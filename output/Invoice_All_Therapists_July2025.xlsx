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oice 2024-2025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m/d/yy"/>
    <numFmt numFmtId="166" formatCode="m/d/yyyy"/>
    <numFmt numFmtId="167" formatCode="mm\-yy"/>
  </numFmts>
  <fonts count="2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4"/>
    </font>
    <font>
      <name val="Calibri"/>
      <charset val="1"/>
      <family val="0"/>
      <color theme="1"/>
      <sz val="9"/>
      <u val="single"/>
    </font>
    <font>
      <name val="Calibri"/>
      <charset val="1"/>
      <family val="0"/>
      <color theme="0"/>
      <sz val="11"/>
    </font>
    <font>
      <name val="Calibri"/>
      <charset val="1"/>
      <family val="0"/>
      <b val="1"/>
      <i val="1"/>
      <color theme="1"/>
      <sz val="9"/>
    </font>
    <font>
      <name val="Calibri"/>
      <charset val="1"/>
      <family val="0"/>
      <color theme="1"/>
      <sz val="9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libri"/>
      <charset val="1"/>
      <family val="0"/>
      <color theme="1"/>
      <sz val="8"/>
    </font>
    <font>
      <name val="Calibri"/>
      <charset val="1"/>
      <family val="0"/>
      <b val="1"/>
      <color theme="1"/>
      <sz val="9"/>
    </font>
    <font>
      <name val="Calibri"/>
      <charset val="1"/>
      <family val="0"/>
      <b val="1"/>
      <color theme="1"/>
      <sz val="8"/>
    </font>
    <font>
      <name val="Calibri"/>
      <charset val="1"/>
      <family val="0"/>
      <b val="1"/>
      <i val="1"/>
      <color theme="4"/>
      <sz val="8"/>
    </font>
    <font>
      <name val="Leelawadee"/>
      <charset val="1"/>
      <family val="0"/>
      <b val="1"/>
      <color theme="1"/>
      <sz val="9"/>
    </font>
    <font>
      <name val="Leelawadee"/>
      <charset val="1"/>
      <family val="0"/>
      <color theme="1"/>
      <sz val="9"/>
    </font>
    <font>
      <name val="Calibri"/>
      <charset val="1"/>
      <family val="0"/>
      <color rgb="FF000000"/>
      <sz val="9"/>
    </font>
    <font>
      <name val="Leelawadee"/>
      <charset val="1"/>
      <family val="0"/>
      <color theme="1"/>
      <sz val="11"/>
    </font>
    <font>
      <name val="Calibri"/>
      <charset val="1"/>
      <family val="0"/>
      <b val="1"/>
      <color rgb="FFFF0000"/>
      <sz val="9"/>
    </font>
    <font>
      <name val="Calibri"/>
      <charset val="1"/>
      <family val="0"/>
      <color rgb="FFFF0000"/>
      <sz val="10"/>
    </font>
    <font>
      <name val="Calibri"/>
      <charset val="1"/>
      <family val="0"/>
      <b val="1"/>
      <color rgb="FF1F497D"/>
      <sz val="9"/>
    </font>
    <font>
      <name val="Calibri"/>
      <charset val="1"/>
      <family val="0"/>
      <i val="1"/>
      <color theme="1"/>
      <sz val="9"/>
    </font>
  </fonts>
  <fills count="6">
    <fill>
      <patternFill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rgb="FFDBE5F1"/>
        <bgColor rgb="FFEEECE1"/>
      </patternFill>
    </fill>
    <fill>
      <patternFill patternType="solid">
        <fgColor rgb="FFEEECE1"/>
        <bgColor rgb="FFDBE5F1"/>
      </patternFill>
    </fill>
    <fill>
      <patternFill patternType="solid">
        <fgColor rgb="FFD8D8D8"/>
        <bgColor rgb="FFDBE5F1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/>
      <right style="medium"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9" fillId="2" borderId="0" applyAlignment="1" pivotButton="0" quotePrefix="0" xfId="0">
      <alignment horizontal="right" vertical="bottom"/>
    </xf>
    <xf numFmtId="0" fontId="10" fillId="3" borderId="1" applyAlignment="1" pivotButton="0" quotePrefix="0" xfId="0">
      <alignment horizontal="center" vertical="bottom"/>
    </xf>
    <xf numFmtId="0" fontId="11" fillId="2" borderId="2" applyAlignment="1" pivotButton="0" quotePrefix="0" xfId="0">
      <alignment horizontal="general" vertical="bottom"/>
    </xf>
    <xf numFmtId="0" fontId="12" fillId="2" borderId="1" applyAlignment="1" pivotButton="0" quotePrefix="0" xfId="0">
      <alignment horizontal="right" vertical="bottom"/>
    </xf>
    <xf numFmtId="0" fontId="12" fillId="2" borderId="3" applyAlignment="1" pivotButton="0" quotePrefix="0" xfId="0">
      <alignment horizontal="right" vertical="bottom"/>
    </xf>
    <xf numFmtId="0" fontId="10" fillId="0" borderId="0" applyAlignment="1" pivotButton="0" quotePrefix="0" xfId="0">
      <alignment horizontal="center" vertical="bottom"/>
    </xf>
    <xf numFmtId="0" fontId="11" fillId="3" borderId="4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5" fontId="13" fillId="2" borderId="0" applyAlignment="1" pivotButton="0" quotePrefix="0" xfId="0">
      <alignment horizontal="right" vertical="bottom"/>
    </xf>
    <xf numFmtId="0" fontId="1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right" vertical="bottom"/>
    </xf>
    <xf numFmtId="164" fontId="11" fillId="2" borderId="0" applyAlignment="1" pivotButton="0" quotePrefix="0" xfId="0">
      <alignment horizontal="center" vertical="bottom"/>
    </xf>
    <xf numFmtId="0" fontId="9" fillId="4" borderId="5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bottom" wrapTex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bottom" wrapText="1"/>
    </xf>
    <xf numFmtId="0" fontId="9" fillId="4" borderId="1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2" borderId="1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 vertical="bottom"/>
    </xf>
    <xf numFmtId="1" fontId="10" fillId="0" borderId="11" applyAlignment="1" pivotButton="0" quotePrefix="0" xfId="0">
      <alignment horizontal="center" vertical="bottom"/>
    </xf>
    <xf numFmtId="2" fontId="10" fillId="0" borderId="11" applyAlignment="1" pivotButton="0" quotePrefix="0" xfId="0">
      <alignment horizontal="center" vertical="bottom"/>
    </xf>
    <xf numFmtId="164" fontId="10" fillId="0" borderId="11" applyAlignment="1" pivotButton="0" quotePrefix="0" xfId="0">
      <alignment horizontal="center" vertical="bottom"/>
    </xf>
    <xf numFmtId="0" fontId="10" fillId="0" borderId="11" applyAlignment="1" pivotButton="0" quotePrefix="0" xfId="0">
      <alignment horizontal="center" vertical="bottom"/>
    </xf>
    <xf numFmtId="164" fontId="8" fillId="0" borderId="1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right" vertical="bottom"/>
    </xf>
    <xf numFmtId="167" fontId="10" fillId="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general" vertical="center"/>
    </xf>
    <xf numFmtId="0" fontId="18" fillId="2" borderId="0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bottom"/>
    </xf>
    <xf numFmtId="164" fontId="20" fillId="3" borderId="1" applyAlignment="1" pivotButton="0" quotePrefix="0" xfId="0">
      <alignment horizontal="center" vertical="bottom"/>
    </xf>
    <xf numFmtId="164" fontId="10" fillId="3" borderId="1" applyAlignment="1" pivotButton="0" quotePrefix="0" xfId="0">
      <alignment horizontal="center" vertical="bottom"/>
    </xf>
    <xf numFmtId="0" fontId="8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12" fillId="5" borderId="5" applyAlignment="1" pivotButton="0" quotePrefix="0" xfId="0">
      <alignment horizontal="right" vertical="bottom"/>
    </xf>
    <xf numFmtId="164" fontId="9" fillId="5" borderId="12" applyAlignment="1" pivotButton="0" quotePrefix="0" xfId="0">
      <alignment horizontal="center" vertical="bottom"/>
    </xf>
    <xf numFmtId="0" fontId="8" fillId="0" borderId="13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bottom"/>
    </xf>
    <xf numFmtId="165" fontId="21" fillId="2" borderId="0" applyAlignment="1" pivotButton="0" quotePrefix="0" xfId="0">
      <alignment horizontal="right" vertical="bottom"/>
    </xf>
    <xf numFmtId="166" fontId="8" fillId="2" borderId="0" applyAlignment="1" pivotButton="0" quotePrefix="0" xfId="0">
      <alignment horizontal="center" vertical="bottom"/>
    </xf>
    <xf numFmtId="164" fontId="10" fillId="2" borderId="0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center"/>
    </xf>
    <xf numFmtId="166" fontId="17" fillId="0" borderId="1" applyAlignment="1" pivotButton="0" quotePrefix="0" xfId="0">
      <alignment horizontal="center" vertical="center"/>
    </xf>
    <xf numFmtId="0" fontId="17" fillId="0" borderId="14" applyAlignment="1" pivotButton="0" quotePrefix="0" xfId="0">
      <alignment horizontal="left" vertical="bottom"/>
    </xf>
    <xf numFmtId="166" fontId="8" fillId="2" borderId="11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9" fillId="2" borderId="0" applyAlignment="1" pivotButton="0" quotePrefix="0" xfId="0">
      <alignment horizontal="right" vertical="bottom"/>
    </xf>
    <xf numFmtId="0" fontId="10" fillId="3" borderId="1" applyAlignment="1" pivotButton="0" quotePrefix="0" xfId="0">
      <alignment horizontal="center" vertical="bottom"/>
    </xf>
    <xf numFmtId="0" fontId="0" fillId="0" borderId="16" pivotButton="0" quotePrefix="0" xfId="0"/>
    <xf numFmtId="0" fontId="11" fillId="2" borderId="2" applyAlignment="1" pivotButton="0" quotePrefix="0" xfId="0">
      <alignment horizontal="general" vertical="bottom"/>
    </xf>
    <xf numFmtId="0" fontId="12" fillId="2" borderId="1" applyAlignment="1" pivotButton="0" quotePrefix="0" xfId="0">
      <alignment horizontal="right" vertical="bottom"/>
    </xf>
    <xf numFmtId="0" fontId="12" fillId="2" borderId="3" applyAlignment="1" pivotButton="0" quotePrefix="0" xfId="0">
      <alignment horizontal="right" vertical="bottom"/>
    </xf>
    <xf numFmtId="0" fontId="0" fillId="0" borderId="4" pivotButton="0" quotePrefix="0" xfId="0"/>
    <xf numFmtId="0" fontId="10" fillId="0" borderId="0" applyAlignment="1" pivotButton="0" quotePrefix="0" xfId="0">
      <alignment horizontal="center" vertical="bottom"/>
    </xf>
    <xf numFmtId="0" fontId="11" fillId="3" borderId="4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5" fontId="13" fillId="2" borderId="0" applyAlignment="1" pivotButton="0" quotePrefix="0" xfId="0">
      <alignment horizontal="right" vertical="bottom"/>
    </xf>
    <xf numFmtId="0" fontId="1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right" vertical="bottom"/>
    </xf>
    <xf numFmtId="164" fontId="11" fillId="2" borderId="0" applyAlignment="1" pivotButton="0" quotePrefix="0" xfId="0">
      <alignment horizontal="center" vertical="bottom"/>
    </xf>
    <xf numFmtId="0" fontId="9" fillId="4" borderId="5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bottom" wrapTex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bottom" wrapText="1"/>
    </xf>
    <xf numFmtId="0" fontId="9" fillId="4" borderId="1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0" borderId="1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 vertical="bottom"/>
    </xf>
    <xf numFmtId="1" fontId="10" fillId="0" borderId="11" applyAlignment="1" pivotButton="0" quotePrefix="0" xfId="0">
      <alignment horizontal="center" vertical="bottom"/>
    </xf>
    <xf numFmtId="2" fontId="10" fillId="0" borderId="11" applyAlignment="1" pivotButton="0" quotePrefix="0" xfId="0">
      <alignment horizontal="center" vertical="bottom"/>
    </xf>
    <xf numFmtId="164" fontId="10" fillId="0" borderId="11" applyAlignment="1" pivotButton="0" quotePrefix="0" xfId="0">
      <alignment horizontal="center" vertical="bottom"/>
    </xf>
    <xf numFmtId="0" fontId="10" fillId="0" borderId="11" applyAlignment="1" pivotButton="0" quotePrefix="0" xfId="0">
      <alignment horizontal="center" vertical="bottom"/>
    </xf>
    <xf numFmtId="164" fontId="8" fillId="0" borderId="1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right" vertical="bottom"/>
    </xf>
    <xf numFmtId="167" fontId="10" fillId="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general" vertical="center"/>
    </xf>
    <xf numFmtId="0" fontId="18" fillId="2" borderId="0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bottom"/>
    </xf>
    <xf numFmtId="164" fontId="20" fillId="3" borderId="1" applyAlignment="1" pivotButton="0" quotePrefix="0" xfId="0">
      <alignment horizontal="center" vertical="bottom"/>
    </xf>
    <xf numFmtId="164" fontId="10" fillId="3" borderId="1" applyAlignment="1" pivotButton="0" quotePrefix="0" xfId="0">
      <alignment horizontal="center" vertical="bottom"/>
    </xf>
    <xf numFmtId="0" fontId="8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12" fillId="5" borderId="5" applyAlignment="1" pivotButton="0" quotePrefix="0" xfId="0">
      <alignment horizontal="right" vertical="bottom"/>
    </xf>
    <xf numFmtId="164" fontId="9" fillId="5" borderId="12" applyAlignment="1" pivotButton="0" quotePrefix="0" xfId="0">
      <alignment horizontal="center" vertical="bottom"/>
    </xf>
    <xf numFmtId="0" fontId="8" fillId="0" borderId="13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bottom"/>
    </xf>
    <xf numFmtId="165" fontId="21" fillId="2" borderId="0" applyAlignment="1" pivotButton="0" quotePrefix="0" xfId="0">
      <alignment horizontal="right" vertical="bottom"/>
    </xf>
    <xf numFmtId="166" fontId="8" fillId="2" borderId="0" applyAlignment="1" pivotButton="0" quotePrefix="0" xfId="0">
      <alignment horizontal="center" vertical="bottom"/>
    </xf>
    <xf numFmtId="164" fontId="10" fillId="2" borderId="0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center"/>
    </xf>
    <xf numFmtId="166" fontId="17" fillId="0" borderId="1" applyAlignment="1" pivotButton="0" quotePrefix="0" xfId="0">
      <alignment horizontal="center" vertical="center"/>
    </xf>
    <xf numFmtId="0" fontId="17" fillId="0" borderId="14" applyAlignment="1" pivotButton="0" quotePrefix="0" xfId="0">
      <alignment horizontal="left" vertical="bottom"/>
    </xf>
    <xf numFmtId="166" fontId="8" fillId="0" borderId="11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bottom"/>
    </xf>
    <xf numFmtId="0" fontId="8" fillId="2" borderId="11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B8CCE4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EEECE1"/>
      <rgbColor rgb="FFDBE5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L100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7" activeCellId="0" sqref="A7"/>
    </sheetView>
  </sheetViews>
  <sheetFormatPr baseColWidth="8" defaultColWidth="14.43359375" defaultRowHeight="15" customHeight="1" zeroHeight="0" outlineLevelRow="0"/>
  <cols>
    <col width="15.43" customWidth="1" style="79" min="1" max="1"/>
    <col width="11.71" customWidth="1" style="79" min="2" max="3"/>
    <col width="21.71" customWidth="1" style="79" min="4" max="4"/>
    <col width="25.85" customWidth="1" style="79" min="5" max="5"/>
    <col width="13.43" customWidth="1" style="79" min="6" max="6"/>
    <col hidden="1" width="10.71" customWidth="1" style="79" min="7" max="7"/>
    <col width="11.14" customWidth="1" style="79" min="8" max="8"/>
    <col width="16.29" customWidth="1" style="79" min="9" max="9"/>
    <col hidden="1" width="11.43" customWidth="1" style="79" min="10" max="10"/>
    <col width="13.86" customWidth="1" style="79" min="11" max="11"/>
    <col width="15.85" customWidth="1" style="79" min="12" max="12"/>
    <col width="20.43" customWidth="1" style="79" min="13" max="13"/>
    <col width="9.289999999999999" customWidth="1" style="79" min="14" max="14"/>
    <col width="15.71" customWidth="1" style="79" min="15" max="15"/>
    <col hidden="1" width="24" customWidth="1" style="79" min="16" max="16"/>
    <col hidden="1" width="22.29" customWidth="1" style="79" min="17" max="17"/>
    <col hidden="1" width="20.71" customWidth="1" style="79" min="18" max="18"/>
    <col hidden="1" width="24.43" customWidth="1" style="79" min="19" max="24"/>
    <col hidden="1" width="17.43" customWidth="1" style="79" min="25" max="26"/>
    <col hidden="1" width="17.29" customWidth="1" style="79" min="27" max="34"/>
    <col hidden="1" width="9.140000000000001" customWidth="1" style="79" min="35" max="38"/>
    <col hidden="1" width="14.43" customWidth="1" style="79" min="39" max="39"/>
    <col hidden="1" width="9.140000000000001" customWidth="1" style="79" min="40" max="44"/>
    <col width="9.140000000000001" customWidth="1" style="79" min="45" max="45"/>
    <col width="8.859999999999999" customWidth="1" style="79" min="46" max="64"/>
  </cols>
  <sheetData>
    <row r="1" ht="17.35" customHeight="1" s="80">
      <c r="A1" s="81" t="n"/>
      <c r="B1" s="82" t="inlineStr">
        <is>
          <t>Monthly Billing Invoice for Therapy  Services</t>
        </is>
      </c>
      <c r="F1" s="82" t="n"/>
      <c r="G1" s="83" t="n"/>
      <c r="H1" s="84" t="inlineStr">
        <is>
          <t>INVOICE TO:   contract.billing@pacyber.org</t>
        </is>
      </c>
      <c r="I1" s="83" t="n"/>
      <c r="J1" s="83" t="n"/>
      <c r="K1" s="83" t="n"/>
      <c r="L1" s="83" t="n"/>
      <c r="M1" s="83" t="n"/>
      <c r="N1" s="83" t="n"/>
      <c r="O1" s="83" t="n"/>
      <c r="P1" s="83" t="n"/>
      <c r="Q1" s="79" t="n"/>
      <c r="R1" s="79" t="n"/>
      <c r="S1" s="79" t="n"/>
      <c r="T1" s="79" t="n"/>
      <c r="U1" s="79" t="n"/>
      <c r="V1" s="79" t="n"/>
      <c r="W1" s="79" t="n"/>
      <c r="X1" s="79" t="n"/>
      <c r="Z1" s="85" t="n"/>
      <c r="AA1" s="85" t="n"/>
      <c r="AB1" s="85" t="n"/>
      <c r="AT1" s="81" t="n"/>
    </row>
    <row r="2" ht="5.25" customHeight="1" s="80">
      <c r="A2" s="81" t="n"/>
      <c r="B2" s="86" t="n"/>
      <c r="K2" s="87" t="n"/>
      <c r="L2" s="87" t="n"/>
      <c r="M2" s="87" t="n"/>
      <c r="N2" s="87" t="n"/>
      <c r="O2" s="87" t="n"/>
      <c r="P2" s="88" t="n"/>
      <c r="Q2" s="89" t="n"/>
      <c r="R2" s="79" t="n"/>
      <c r="S2" s="79" t="n"/>
      <c r="T2" s="79" t="n"/>
      <c r="U2" s="79" t="n"/>
      <c r="V2" s="79" t="n"/>
      <c r="W2" s="79" t="n"/>
      <c r="X2" s="79" t="n"/>
      <c r="Z2" s="85" t="n"/>
      <c r="AA2" s="85" t="n"/>
      <c r="AB2" s="85" t="n"/>
      <c r="AT2" s="81" t="n"/>
    </row>
    <row r="3" ht="15" customHeight="1" s="80">
      <c r="A3" s="81" t="n"/>
      <c r="B3" s="87" t="n"/>
      <c r="C3" s="87" t="n"/>
      <c r="D3" s="90" t="inlineStr">
        <is>
          <t>Provider (company) Name :</t>
        </is>
      </c>
      <c r="E3" s="91" t="inlineStr">
        <is>
          <t>Therapy Source Inc</t>
        </is>
      </c>
      <c r="F3" s="92" t="n"/>
      <c r="G3" s="93" t="n"/>
      <c r="H3" s="94" t="inlineStr">
        <is>
          <t>Phone:</t>
        </is>
      </c>
      <c r="I3" s="91" t="inlineStr">
        <is>
          <t>484-342-2000</t>
        </is>
      </c>
      <c r="J3" s="92" t="n"/>
      <c r="K3" s="95" t="inlineStr">
        <is>
          <t>Email:</t>
        </is>
      </c>
      <c r="L3" s="91" t="inlineStr">
        <is>
          <t>financegroup@txsource.com</t>
        </is>
      </c>
      <c r="M3" s="96" t="n"/>
      <c r="N3" s="92" t="n"/>
      <c r="O3" s="97" t="n"/>
      <c r="P3" s="97" t="n"/>
      <c r="Q3" s="89" t="n"/>
      <c r="R3" s="79" t="n"/>
      <c r="S3" s="79" t="n"/>
      <c r="T3" s="79" t="n"/>
      <c r="U3" s="79" t="n"/>
      <c r="V3" s="79" t="n"/>
      <c r="W3" s="79" t="n"/>
      <c r="X3" s="79" t="n"/>
      <c r="Z3" s="85" t="n"/>
      <c r="AA3" s="85" t="n"/>
      <c r="AB3" s="85" t="n"/>
      <c r="AT3" s="81" t="n"/>
    </row>
    <row r="4" ht="15" customHeight="1" s="80">
      <c r="A4" s="81" t="n"/>
      <c r="B4" s="87" t="n"/>
      <c r="C4" s="87" t="n"/>
      <c r="D4" s="90" t="inlineStr">
        <is>
          <t xml:space="preserve">Company Street: (for check mailing): </t>
        </is>
      </c>
      <c r="E4" s="91" t="inlineStr">
        <is>
          <t>5215 Militia Hill Rd</t>
        </is>
      </c>
      <c r="F4" s="92" t="n"/>
      <c r="G4" s="98" t="n"/>
      <c r="H4" s="99" t="n"/>
      <c r="I4" s="94" t="inlineStr">
        <is>
          <t xml:space="preserve">City, State, Zip Code: </t>
        </is>
      </c>
      <c r="J4" s="92" t="n"/>
      <c r="K4" s="100" t="inlineStr">
        <is>
          <t>Plymouth Meeting, PA 19462</t>
        </is>
      </c>
      <c r="L4" s="96" t="n"/>
      <c r="M4" s="96" t="n"/>
      <c r="N4" s="92" t="n"/>
      <c r="O4" s="101" t="n"/>
      <c r="P4" s="101" t="n"/>
      <c r="Q4" s="89" t="n"/>
      <c r="R4" s="79" t="n"/>
      <c r="S4" s="79" t="n"/>
      <c r="T4" s="79" t="n"/>
      <c r="U4" s="79" t="n"/>
      <c r="V4" s="79" t="n"/>
      <c r="W4" s="79" t="n"/>
      <c r="X4" s="79" t="n"/>
      <c r="Z4" s="85" t="n"/>
      <c r="AA4" s="85" t="n"/>
      <c r="AB4" s="85" t="n"/>
      <c r="AT4" s="81" t="n"/>
    </row>
    <row r="5" ht="15" customHeight="1" s="80">
      <c r="A5" s="81" t="n"/>
      <c r="B5" s="102" t="n"/>
      <c r="C5" s="102" t="n"/>
      <c r="D5" s="103" t="n"/>
      <c r="E5" s="87" t="n"/>
      <c r="F5" s="87" t="n"/>
      <c r="G5" s="104" t="n"/>
      <c r="H5" s="88" t="n"/>
      <c r="I5" s="105" t="n"/>
      <c r="J5" s="106" t="n"/>
      <c r="Q5" s="79" t="n"/>
      <c r="R5" s="79" t="n"/>
      <c r="S5" s="79" t="n"/>
      <c r="T5" s="79" t="n"/>
      <c r="U5" s="79" t="n"/>
      <c r="V5" s="79" t="n"/>
      <c r="W5" s="79" t="n"/>
      <c r="X5" s="79" t="n"/>
      <c r="Z5" s="85" t="n"/>
      <c r="AA5" s="85" t="n"/>
      <c r="AB5" s="85" t="n"/>
      <c r="AT5" s="81" t="n"/>
    </row>
    <row r="6" ht="53.25" customHeight="1" s="80">
      <c r="A6" s="107" t="inlineStr">
        <is>
          <t>Therapist Name</t>
        </is>
      </c>
      <c r="B6" s="108" t="inlineStr">
        <is>
          <t>Date of Service</t>
        </is>
      </c>
      <c r="C6" s="109" t="inlineStr">
        <is>
          <t>PA Cyber Student ID</t>
        </is>
      </c>
      <c r="D6" s="109" t="inlineStr">
        <is>
          <t>Student Name</t>
        </is>
      </c>
      <c r="E6" s="108" t="inlineStr">
        <is>
          <t>Service</t>
        </is>
      </c>
      <c r="F6" s="108" t="inlineStr">
        <is>
          <t>Therapy ONLY Session Minutes on IEP</t>
        </is>
      </c>
      <c r="G6" s="110" t="inlineStr">
        <is>
          <t xml:space="preserve">min to hrs </t>
        </is>
      </c>
      <c r="H6" s="108" t="inlineStr">
        <is>
          <t>Contracted Rate</t>
        </is>
      </c>
      <c r="I6" s="111" t="inlineStr">
        <is>
          <t>Travel for Therapy (Y/N)</t>
        </is>
      </c>
      <c r="J6" s="112" t="inlineStr">
        <is>
          <t>before test</t>
        </is>
      </c>
      <c r="K6" s="113" t="inlineStr">
        <is>
          <t>Total</t>
        </is>
      </c>
      <c r="L6" s="114" t="n"/>
      <c r="M6" s="87" t="n"/>
      <c r="N6" s="87" t="n"/>
      <c r="O6" s="104" t="n"/>
      <c r="P6" s="115" t="inlineStr">
        <is>
          <t>Therapy</t>
        </is>
      </c>
      <c r="Q6" s="115" t="inlineStr">
        <is>
          <t>Service</t>
        </is>
      </c>
      <c r="R6" s="115" t="inlineStr">
        <is>
          <t>Indirect</t>
        </is>
      </c>
      <c r="S6" s="115" t="n"/>
      <c r="T6" s="115" t="n"/>
      <c r="U6" s="116" t="inlineStr">
        <is>
          <t>List Check</t>
        </is>
      </c>
      <c r="V6" s="117" t="inlineStr">
        <is>
          <t>For Therapy</t>
        </is>
      </c>
      <c r="W6" s="117" t="inlineStr">
        <is>
          <t>For Evals</t>
        </is>
      </c>
      <c r="X6" s="118">
        <f>R8</f>
        <v/>
      </c>
      <c r="Y6" s="118">
        <f>$R9</f>
        <v/>
      </c>
      <c r="Z6" s="118">
        <f>$R10</f>
        <v/>
      </c>
      <c r="AA6" s="118">
        <f>$R11</f>
        <v/>
      </c>
      <c r="AB6" s="118">
        <f>$R12</f>
        <v/>
      </c>
      <c r="AC6" s="118">
        <f>$R13</f>
        <v/>
      </c>
      <c r="AD6" s="118">
        <f>$R14</f>
        <v/>
      </c>
      <c r="AE6" s="118">
        <f>$R15</f>
        <v/>
      </c>
      <c r="AF6" s="118">
        <f>$R16</f>
        <v/>
      </c>
      <c r="AG6" s="118">
        <f>$R17</f>
        <v/>
      </c>
      <c r="AH6" s="118">
        <f>$R18</f>
        <v/>
      </c>
      <c r="AI6" s="118">
        <f>$R19</f>
        <v/>
      </c>
      <c r="AJ6" s="119">
        <f>$R21</f>
        <v/>
      </c>
      <c r="AK6" s="119">
        <f>$R24</f>
        <v/>
      </c>
      <c r="AL6" s="118">
        <f>$R25</f>
        <v/>
      </c>
      <c r="AM6" s="120">
        <f>$R26</f>
        <v/>
      </c>
      <c r="AN6" s="119">
        <f>$R27</f>
        <v/>
      </c>
      <c r="AO6" s="119">
        <f>$R28</f>
        <v/>
      </c>
      <c r="AP6" s="119">
        <f>$R29</f>
        <v/>
      </c>
      <c r="AQ6" s="118">
        <f>$R30</f>
        <v/>
      </c>
      <c r="AR6" s="119">
        <f>$R31</f>
        <v/>
      </c>
      <c r="AS6" s="121" t="n"/>
      <c r="AT6" s="119" t="n"/>
      <c r="AU6" s="122" t="n"/>
      <c r="AV6" s="79" t="n"/>
      <c r="AW6" s="79" t="n"/>
      <c r="AX6" s="79" t="n"/>
      <c r="AY6" s="79" t="n"/>
      <c r="AZ6" s="79" t="n"/>
      <c r="BA6" s="79" t="n"/>
      <c r="BB6" s="79" t="n"/>
      <c r="BC6" s="79" t="n"/>
      <c r="BD6" s="79" t="n"/>
      <c r="BE6" s="79" t="n"/>
      <c r="BF6" s="79" t="n"/>
      <c r="BG6" s="79" t="n"/>
      <c r="BH6" s="79" t="n"/>
      <c r="BI6" s="79" t="n"/>
      <c r="BJ6" s="79" t="n"/>
      <c r="BK6" s="79" t="n"/>
      <c r="BL6" s="79" t="n"/>
    </row>
    <row r="7" ht="15" customHeight="1" s="80">
      <c r="A7" s="123" t="inlineStr">
        <is>
          <t>Darcy Leoni</t>
        </is>
      </c>
      <c r="B7" s="124" t="inlineStr">
        <is>
          <t>07/11/2025</t>
        </is>
      </c>
      <c r="C7" s="125" t="inlineStr">
        <is>
          <t>ah220152</t>
        </is>
      </c>
      <c r="D7" s="126" t="inlineStr">
        <is>
          <t>Alexis Hearn</t>
        </is>
      </c>
      <c r="E7" s="127" t="inlineStr">
        <is>
          <t>SLP Eval</t>
        </is>
      </c>
      <c r="F7" s="128" t="n">
        <v>60</v>
      </c>
      <c r="G7" s="129" t="n"/>
      <c r="H7" s="130" t="n"/>
      <c r="I7" s="131" t="n"/>
      <c r="J7" s="130">
        <f>IF(COUNTIF(B7:E7,"*")=0,"",IF(T7=1,"Invalid Service",IF(AND(V7=1,F7=""),"Add Session Mins",IF(AND(E7&gt;0,H7="",T7=""),"Enter Contract Rate",IF(AND(E7="IEP mtg, prep, rept",F7&gt;0),(G7*H7),IF(AND(E7&gt;0,F7&gt;0,H7&gt;0,I7=""),"Enter Travel",IF(AND(F7&gt;0,I7="Y"),(G7*H7)+$M$10,IF(AND(F7&gt;0,I7="N"),(G7*H7),H7))))))))</f>
        <v/>
      </c>
      <c r="K7" s="132">
        <f>J7</f>
        <v/>
      </c>
      <c r="L7" s="133" t="inlineStr">
        <is>
          <t xml:space="preserve">Service MM-YY: </t>
        </is>
      </c>
      <c r="M7" s="134" t="n"/>
      <c r="N7" s="87" t="n"/>
      <c r="O7" s="87" t="n"/>
      <c r="P7" s="135" t="inlineStr">
        <is>
          <t>Behavior Support</t>
        </is>
      </c>
      <c r="Q7" s="135" t="inlineStr">
        <is>
          <t>Evaluation</t>
        </is>
      </c>
      <c r="R7" s="135" t="inlineStr">
        <is>
          <t xml:space="preserve">-   SERVICES:               </t>
        </is>
      </c>
      <c r="S7" s="135" t="inlineStr">
        <is>
          <t>Y</t>
        </is>
      </c>
      <c r="T7" s="136">
        <f>IF(AND(E7&gt;0,U7=0),1,"")</f>
        <v/>
      </c>
      <c r="U7" s="136">
        <f>SUM(X7:AR7)</f>
        <v/>
      </c>
      <c r="V7" s="136">
        <f>IF(E7=$Q$16,0,SUM(X7:AI7))</f>
        <v/>
      </c>
      <c r="W7" s="136">
        <f>SUM(AK7:AR7)</f>
        <v/>
      </c>
      <c r="X7" s="136">
        <f>IF(E7=$X$6,1,"")</f>
        <v/>
      </c>
      <c r="Y7" s="136">
        <f>IF(E7=$Y$6,1,"")</f>
        <v/>
      </c>
      <c r="Z7" s="136">
        <f>IF(E7=$Z$6,1,"")</f>
        <v/>
      </c>
      <c r="AA7" s="136">
        <f>IF(E7=$AA$6,1,"")</f>
        <v/>
      </c>
      <c r="AB7" s="136">
        <f>IF(E7=$AB$6,1,"")</f>
        <v/>
      </c>
      <c r="AC7" s="136">
        <f>IF(E7=$AC$6,1,"")</f>
        <v/>
      </c>
      <c r="AD7" s="136">
        <f>IF(E7=$AD$6,1,"")</f>
        <v/>
      </c>
      <c r="AE7" s="136">
        <f>IF(E7=$AE$6,1,"")</f>
        <v/>
      </c>
      <c r="AF7" s="136">
        <f>IF(E7=$AF$6,1,"")</f>
        <v/>
      </c>
      <c r="AG7" s="136">
        <f>IF(E7=$AG$6,1,"")</f>
        <v/>
      </c>
      <c r="AH7" s="136">
        <f>IF(E7=$AH$6,1,"")</f>
        <v/>
      </c>
      <c r="AI7" s="136">
        <f>IF(E7=$AI$6,1,"")</f>
        <v/>
      </c>
      <c r="AJ7" s="136">
        <f>IF(E7=$AJ$6,1,"")</f>
        <v/>
      </c>
      <c r="AK7" s="81">
        <f>IF(E7=$AK$6,1,"")</f>
        <v/>
      </c>
      <c r="AL7" s="81">
        <f>IF(E7=$AL$6,1,"")</f>
        <v/>
      </c>
      <c r="AM7" s="81">
        <f>IF(E7=$AM$6,1,"")</f>
        <v/>
      </c>
      <c r="AN7" s="81">
        <f>IF(E7=$AN$6,1,"")</f>
        <v/>
      </c>
      <c r="AO7" s="81">
        <f>IF(E7=$AO$6,1,"")</f>
        <v/>
      </c>
      <c r="AP7" s="81">
        <f>IF(E7=$AP$6,1,"")</f>
        <v/>
      </c>
      <c r="AQ7" s="81">
        <f>IF(E7=$AQ$6,1,"")</f>
        <v/>
      </c>
      <c r="AR7" s="81">
        <f>IF(E7=$AR$6,1,"")</f>
        <v/>
      </c>
      <c r="AS7" s="81" t="n"/>
    </row>
    <row r="8" ht="15" customHeight="1" s="80">
      <c r="A8" s="123" t="inlineStr">
        <is>
          <t>Eileen Blaha</t>
        </is>
      </c>
      <c r="B8" s="124" t="inlineStr">
        <is>
          <t>07/07/2025</t>
        </is>
      </c>
      <c r="C8" s="125" t="inlineStr">
        <is>
          <t>ca220735</t>
        </is>
      </c>
      <c r="D8" s="126" t="inlineStr">
        <is>
          <t>Caius Allen</t>
        </is>
      </c>
      <c r="E8" s="127" t="inlineStr">
        <is>
          <t>OT</t>
        </is>
      </c>
      <c r="F8" s="128" t="n">
        <v>60</v>
      </c>
      <c r="G8" s="129" t="n"/>
      <c r="H8" s="130" t="n"/>
      <c r="I8" s="131" t="n"/>
      <c r="J8" s="131">
        <f>IF(COUNTIF(B8:E8,"*")=0,"",IF(T8=1,"Invalid Service",IF(AND(V8=1,F8=""),"Add Session Mins",IF(AND(E8&gt;0,H8="",T8=""),"Enter Contract Rate",IF(AND(E8="IEP mtg, prep, rept",F8&gt;0),(G8*H8),IF(AND(E8&gt;0,F8&gt;0,H8&gt;0,I8=""),"Enter Travel",IF(AND(F8&gt;0,I8="Y"),(G8*H8)+$M$10,IF(AND(F8&gt;0,I8="N"),(G8*H8),H8))))))))</f>
        <v/>
      </c>
      <c r="K8" s="132">
        <f>J8</f>
        <v/>
      </c>
      <c r="L8" s="133" t="inlineStr">
        <is>
          <t xml:space="preserve">Account #: </t>
        </is>
      </c>
      <c r="M8" s="91" t="n">
        <v>157</v>
      </c>
      <c r="N8" s="87" t="n"/>
      <c r="O8" s="87" t="n"/>
      <c r="P8" s="135" t="inlineStr">
        <is>
          <t>Counseling</t>
        </is>
      </c>
      <c r="Q8" s="135" t="inlineStr">
        <is>
          <t>Therapy</t>
        </is>
      </c>
      <c r="R8" s="135" t="inlineStr">
        <is>
          <t>Behavior Support</t>
        </is>
      </c>
      <c r="S8" s="135" t="inlineStr">
        <is>
          <t>N</t>
        </is>
      </c>
      <c r="T8" s="136">
        <f>IF(AND(E8&gt;0,U8=0),1,"")</f>
        <v/>
      </c>
      <c r="U8" s="136">
        <f>SUM(X8:AR8)</f>
        <v/>
      </c>
      <c r="V8" s="136">
        <f>IF(E8=$Q$16,0,SUM(X8:AI8))</f>
        <v/>
      </c>
      <c r="W8" s="136">
        <f>SUM(AK8:AR8)</f>
        <v/>
      </c>
      <c r="X8" s="136">
        <f>IF(E8=$X$6,1,"")</f>
        <v/>
      </c>
      <c r="Y8" s="136">
        <f>IF(E8=$Y$6,1,"")</f>
        <v/>
      </c>
      <c r="Z8" s="136">
        <f>IF(E8=$Z$6,1,"")</f>
        <v/>
      </c>
      <c r="AA8" s="136">
        <f>IF(E8=$AA$6,1,"")</f>
        <v/>
      </c>
      <c r="AB8" s="136">
        <f>IF(E8=$AB$6,1,"")</f>
        <v/>
      </c>
      <c r="AC8" s="136">
        <f>IF(E8=$AC$6,1,"")</f>
        <v/>
      </c>
      <c r="AD8" s="136">
        <f>IF(E8=$AD$6,1,"")</f>
        <v/>
      </c>
      <c r="AE8" s="136">
        <f>IF(E8=$AE$6,1,"")</f>
        <v/>
      </c>
      <c r="AF8" s="136">
        <f>IF(E8=$AF$6,1,"")</f>
        <v/>
      </c>
      <c r="AG8" s="136">
        <f>IF(E8=$AG$6,1,"")</f>
        <v/>
      </c>
      <c r="AH8" s="136">
        <f>IF(E8=$AH$6,1,"")</f>
        <v/>
      </c>
      <c r="AI8" s="136">
        <f>IF(E8=$AI$6,1,"")</f>
        <v/>
      </c>
      <c r="AJ8" s="136">
        <f>IF(E8=$AJ$6,1,"")</f>
        <v/>
      </c>
      <c r="AK8" s="81">
        <f>IF(E8=$AK$6,1,"")</f>
        <v/>
      </c>
      <c r="AL8" s="81">
        <f>IF(E8=$AL$6,1,"")</f>
        <v/>
      </c>
      <c r="AM8" s="81">
        <f>IF(E8=$AM$6,1,"")</f>
        <v/>
      </c>
      <c r="AN8" s="81">
        <f>IF(E8=$AN$6,1,"")</f>
        <v/>
      </c>
      <c r="AO8" s="81">
        <f>IF(E8=$AO$6,1,"")</f>
        <v/>
      </c>
      <c r="AP8" s="81">
        <f>IF(E8=$AP$6,1,"")</f>
        <v/>
      </c>
      <c r="AQ8" s="81">
        <f>IF(E8=$AQ$6,1,"")</f>
        <v/>
      </c>
      <c r="AR8" s="81">
        <f>IF(E8=$AR$6,1,"")</f>
        <v/>
      </c>
      <c r="AS8" s="81" t="n"/>
    </row>
    <row r="9" ht="15" customHeight="1" s="80">
      <c r="A9" s="123" t="inlineStr">
        <is>
          <t>Eileen Blaha</t>
        </is>
      </c>
      <c r="B9" s="124" t="inlineStr">
        <is>
          <t>07/09/2025</t>
        </is>
      </c>
      <c r="C9" s="125" t="inlineStr">
        <is>
          <t>ca220735</t>
        </is>
      </c>
      <c r="D9" s="126" t="inlineStr">
        <is>
          <t>Caius Allen</t>
        </is>
      </c>
      <c r="E9" s="127" t="inlineStr">
        <is>
          <t>OT</t>
        </is>
      </c>
      <c r="F9" s="128" t="n">
        <v>30</v>
      </c>
      <c r="G9" s="129" t="n"/>
      <c r="H9" s="130" t="n"/>
      <c r="I9" s="131" t="n"/>
      <c r="J9" s="130">
        <f>IF(COUNTIF(B9:E9,"*")=0,"",IF(T9=1,"Invalid Service",IF(AND(V9=1,F9=""),"Add Session Mins",IF(AND(E9&gt;0,H9="",T9=""),"Enter Contract Rate",IF(AND(E9="IEP mtg, prep, rept",F9&gt;0),(G9*H9),IF(AND(E9&gt;0,F9&gt;0,H9&gt;0,I9=""),"Enter Travel",IF(AND(F9&gt;0,I9="Y"),(G9*H9)+$M$10,IF(AND(F9&gt;0,I9="N"),(G9*H9),H9))))))))</f>
        <v/>
      </c>
      <c r="K9" s="132">
        <f>J9</f>
        <v/>
      </c>
      <c r="L9" s="137" t="inlineStr">
        <is>
          <t xml:space="preserve">Invoice Total: </t>
        </is>
      </c>
      <c r="M9" s="138" t="n"/>
      <c r="N9" s="87" t="n"/>
      <c r="O9" s="87" t="n"/>
      <c r="P9" s="135" t="inlineStr">
        <is>
          <t>Hearing</t>
        </is>
      </c>
      <c r="Q9" s="135" t="inlineStr">
        <is>
          <t xml:space="preserve">Easy Trac Log </t>
        </is>
      </c>
      <c r="R9" s="135" t="inlineStr">
        <is>
          <t>Counseling</t>
        </is>
      </c>
      <c r="S9" s="135" t="n"/>
      <c r="T9" s="136">
        <f>IF(AND(E9&gt;0,U9=0),1,"")</f>
        <v/>
      </c>
      <c r="U9" s="136">
        <f>SUM(X9:AR9)</f>
        <v/>
      </c>
      <c r="V9" s="136">
        <f>IF(E9=$Q$16,0,SUM(X9:AI9))</f>
        <v/>
      </c>
      <c r="W9" s="136">
        <f>SUM(AK9:AR9)</f>
        <v/>
      </c>
      <c r="X9" s="136">
        <f>IF(E9=$X$6,1,"")</f>
        <v/>
      </c>
      <c r="Y9" s="136">
        <f>IF(E9=$Y$6,1,"")</f>
        <v/>
      </c>
      <c r="Z9" s="136">
        <f>IF(E9=$Z$6,1,"")</f>
        <v/>
      </c>
      <c r="AA9" s="136">
        <f>IF(E9=$AA$6,1,"")</f>
        <v/>
      </c>
      <c r="AB9" s="136">
        <f>IF(E9=$AB$6,1,"")</f>
        <v/>
      </c>
      <c r="AC9" s="136">
        <f>IF(E9=$AC$6,1,"")</f>
        <v/>
      </c>
      <c r="AD9" s="136">
        <f>IF(E9=$AD$6,1,"")</f>
        <v/>
      </c>
      <c r="AE9" s="136">
        <f>IF(E9=$AE$6,1,"")</f>
        <v/>
      </c>
      <c r="AF9" s="136">
        <f>IF(E9=$AF$6,1,"")</f>
        <v/>
      </c>
      <c r="AG9" s="136">
        <f>IF(E9=$AG$6,1,"")</f>
        <v/>
      </c>
      <c r="AH9" s="136">
        <f>IF(E9=$AH$6,1,"")</f>
        <v/>
      </c>
      <c r="AI9" s="136">
        <f>IF(E9=$AI$6,1,"")</f>
        <v/>
      </c>
      <c r="AJ9" s="136">
        <f>IF(E9=$AJ$6,1,"")</f>
        <v/>
      </c>
      <c r="AK9" s="81">
        <f>IF(E9=$AK$6,1,"")</f>
        <v/>
      </c>
      <c r="AL9" s="81">
        <f>IF(E9=$AL$6,1,"")</f>
        <v/>
      </c>
      <c r="AM9" s="81">
        <f>IF(E9=$AM$6,1,"")</f>
        <v/>
      </c>
      <c r="AN9" s="81">
        <f>IF(E9=$AN$6,1,"")</f>
        <v/>
      </c>
      <c r="AO9" s="81">
        <f>IF(E9=$AO$6,1,"")</f>
        <v/>
      </c>
      <c r="AP9" s="81">
        <f>IF(E9=$AP$6,1,"")</f>
        <v/>
      </c>
      <c r="AQ9" s="81">
        <f>IF(E9=$AQ$6,1,"")</f>
        <v/>
      </c>
      <c r="AR9" s="81">
        <f>IF(E9=$AR$6,1,"")</f>
        <v/>
      </c>
      <c r="AS9" s="81" t="n"/>
    </row>
    <row r="10" ht="15" customHeight="1" s="80">
      <c r="A10" s="123" t="inlineStr">
        <is>
          <t>Jennifer Oswald</t>
        </is>
      </c>
      <c r="B10" s="124" t="inlineStr">
        <is>
          <t>07/08/2025</t>
        </is>
      </c>
      <c r="C10" s="125" t="inlineStr">
        <is>
          <t>jf150733</t>
        </is>
      </c>
      <c r="D10" s="126" t="inlineStr">
        <is>
          <t>Jacob</t>
        </is>
      </c>
      <c r="E10" s="127" t="inlineStr">
        <is>
          <t>OT</t>
        </is>
      </c>
      <c r="F10" s="128" t="n">
        <v>45</v>
      </c>
      <c r="G10" s="129" t="n"/>
      <c r="H10" s="130" t="n"/>
      <c r="I10" s="131" t="n"/>
      <c r="J10" s="131">
        <f>IF(COUNTIF(B10:E10,"*")=0,"",IF(T10=1,"Invalid Service",IF(AND(V10=1,F10=""),"Add Session Mins",IF(AND(E10&gt;0,H10="",T10=""),"Enter Contract Rate",IF(AND(E10="IEP mtg, prep, rept",F10&gt;0),(G10*H10),IF(AND(E10&gt;0,F10&gt;0,H10&gt;0,I10=""),"Enter Travel",IF(AND(F10&gt;0,I10="Y"),(G10*H10)+$M$10,IF(AND(F10&gt;0,I10="N"),(G10*H10),H10))))))))</f>
        <v/>
      </c>
      <c r="K10" s="132">
        <f>J10</f>
        <v/>
      </c>
      <c r="L10" s="94" t="inlineStr">
        <is>
          <t xml:space="preserve">Travel Rate: </t>
        </is>
      </c>
      <c r="M10" s="139" t="n">
        <v>40</v>
      </c>
      <c r="N10" s="87" t="n"/>
      <c r="O10" s="87" t="n"/>
      <c r="P10" s="135" t="inlineStr">
        <is>
          <t>Instructional Aide</t>
        </is>
      </c>
      <c r="Q10" s="135" t="inlineStr">
        <is>
          <t xml:space="preserve">ESY Determination        </t>
        </is>
      </c>
      <c r="R10" s="135" t="inlineStr">
        <is>
          <t>Hearing</t>
        </is>
      </c>
      <c r="S10" s="135" t="n"/>
      <c r="T10" s="136">
        <f>IF(AND(E10&gt;0,U10=0),1,"")</f>
        <v/>
      </c>
      <c r="U10" s="136">
        <f>SUM(X10:AR10)</f>
        <v/>
      </c>
      <c r="V10" s="136">
        <f>IF(E10=$Q$16,0,SUM(X10:AI10))</f>
        <v/>
      </c>
      <c r="W10" s="136">
        <f>SUM(AK10:AR10)</f>
        <v/>
      </c>
      <c r="X10" s="136">
        <f>IF(E10=$X$6,1,"")</f>
        <v/>
      </c>
      <c r="Y10" s="136">
        <f>IF(E10=$Y$6,1,"")</f>
        <v/>
      </c>
      <c r="Z10" s="136">
        <f>IF(E10=$Z$6,1,"")</f>
        <v/>
      </c>
      <c r="AA10" s="136">
        <f>IF(E10=$AA$6,1,"")</f>
        <v/>
      </c>
      <c r="AB10" s="136">
        <f>IF(E10=$AB$6,1,"")</f>
        <v/>
      </c>
      <c r="AC10" s="136">
        <f>IF(E10=$AC$6,1,"")</f>
        <v/>
      </c>
      <c r="AD10" s="136">
        <f>IF(E10=$AD$6,1,"")</f>
        <v/>
      </c>
      <c r="AE10" s="136">
        <f>IF(E10=$AE$6,1,"")</f>
        <v/>
      </c>
      <c r="AF10" s="136">
        <f>IF(E10=$AF$6,1,"")</f>
        <v/>
      </c>
      <c r="AG10" s="136">
        <f>IF(E10=$AG$6,1,"")</f>
        <v/>
      </c>
      <c r="AH10" s="136">
        <f>IF(E10=$AH$6,1,"")</f>
        <v/>
      </c>
      <c r="AI10" s="136">
        <f>IF(E10=$AI$6,1,"")</f>
        <v/>
      </c>
      <c r="AJ10" s="136">
        <f>IF(E10=$AJ$6,1,"")</f>
        <v/>
      </c>
      <c r="AK10" s="81">
        <f>IF(E10=$AK$6,1,"")</f>
        <v/>
      </c>
      <c r="AL10" s="81">
        <f>IF(E10=$AL$6,1,"")</f>
        <v/>
      </c>
      <c r="AM10" s="81">
        <f>IF(E10=$AM$6,1,"")</f>
        <v/>
      </c>
      <c r="AN10" s="81">
        <f>IF(E10=$AN$6,1,"")</f>
        <v/>
      </c>
      <c r="AO10" s="81">
        <f>IF(E10=$AO$6,1,"")</f>
        <v/>
      </c>
      <c r="AP10" s="81">
        <f>IF(E10=$AP$6,1,"")</f>
        <v/>
      </c>
      <c r="AQ10" s="81">
        <f>IF(E10=$AQ$6,1,"")</f>
        <v/>
      </c>
      <c r="AR10" s="81">
        <f>IF(E10=$AR$6,1,"")</f>
        <v/>
      </c>
      <c r="AS10" s="81" t="n"/>
    </row>
    <row r="11" ht="15" customHeight="1" s="80">
      <c r="A11" s="123" t="inlineStr">
        <is>
          <t>Jennifer Oswald</t>
        </is>
      </c>
      <c r="B11" s="124" t="inlineStr">
        <is>
          <t>07/15/2025</t>
        </is>
      </c>
      <c r="C11" s="140" t="inlineStr">
        <is>
          <t>jf150733</t>
        </is>
      </c>
      <c r="D11" s="141" t="inlineStr">
        <is>
          <t>Jacob</t>
        </is>
      </c>
      <c r="E11" s="127" t="inlineStr">
        <is>
          <t>OT</t>
        </is>
      </c>
      <c r="F11" s="128" t="n">
        <v>45</v>
      </c>
      <c r="G11" s="129" t="n"/>
      <c r="H11" s="130" t="n"/>
      <c r="I11" s="131" t="n"/>
      <c r="J11" s="131">
        <f>IF(COUNTIF(B11:E11,"*")=0,"",IF(T11=1,"Invalid Service",IF(AND(V11=1,F11=""),"Add Session Mins",IF(AND(E11&gt;0,H11="",T11=""),"Enter Contract Rate",IF(AND(E11="IEP mtg, prep, rept",F11&gt;0),(G11*H11),IF(AND(E11&gt;0,F11&gt;0,H11&gt;0,I11=""),"Enter Travel",IF(AND(F11&gt;0,I11="Y"),(G11*H11)+$M$10,IF(AND(F11&gt;0,I11="N"),(G11*H11),H11))))))))</f>
        <v/>
      </c>
      <c r="K11" s="132">
        <f>J11</f>
        <v/>
      </c>
      <c r="L11" s="142" t="inlineStr">
        <is>
          <t xml:space="preserve">Total As Entered: </t>
        </is>
      </c>
      <c r="M11" s="143">
        <f>SUM(K7:K1507)</f>
        <v/>
      </c>
      <c r="N11" s="87" t="n"/>
      <c r="O11" s="87" t="n"/>
      <c r="P11" s="135" t="inlineStr">
        <is>
          <t>O &amp; M</t>
        </is>
      </c>
      <c r="Q11" s="135" t="inlineStr">
        <is>
          <t>IEP mtg, prep, rept</t>
        </is>
      </c>
      <c r="R11" s="135" t="inlineStr">
        <is>
          <t>Instructional Aide</t>
        </is>
      </c>
      <c r="S11" s="135" t="n"/>
      <c r="T11" s="136">
        <f>IF(AND(E11&gt;0,U11=0),1,"")</f>
        <v/>
      </c>
      <c r="U11" s="136">
        <f>SUM(X11:AR11)</f>
        <v/>
      </c>
      <c r="V11" s="136">
        <f>IF(E11=$Q$16,0,SUM(X11:AI11))</f>
        <v/>
      </c>
      <c r="W11" s="136">
        <f>SUM(AK11:AR11)</f>
        <v/>
      </c>
      <c r="X11" s="136">
        <f>IF(E11=$X$6,1,"")</f>
        <v/>
      </c>
      <c r="Y11" s="136">
        <f>IF(E11=$Y$6,1,"")</f>
        <v/>
      </c>
      <c r="Z11" s="136">
        <f>IF(E11=$Z$6,1,"")</f>
        <v/>
      </c>
      <c r="AA11" s="136">
        <f>IF(E11=$AA$6,1,"")</f>
        <v/>
      </c>
      <c r="AB11" s="136">
        <f>IF(E11=$AB$6,1,"")</f>
        <v/>
      </c>
      <c r="AC11" s="136">
        <f>IF(E11=$AC$6,1,"")</f>
        <v/>
      </c>
      <c r="AD11" s="136">
        <f>IF(E11=$AD$6,1,"")</f>
        <v/>
      </c>
      <c r="AE11" s="136">
        <f>IF(E11=$AE$6,1,"")</f>
        <v/>
      </c>
      <c r="AF11" s="136">
        <f>IF(E11=$AF$6,1,"")</f>
        <v/>
      </c>
      <c r="AG11" s="136">
        <f>IF(E11=$AG$6,1,"")</f>
        <v/>
      </c>
      <c r="AH11" s="136">
        <f>IF(E11=$AH$6,1,"")</f>
        <v/>
      </c>
      <c r="AI11" s="136">
        <f>IF(E11=$AI$6,1,"")</f>
        <v/>
      </c>
      <c r="AJ11" s="136">
        <f>IF(E11=$AJ$6,1,"")</f>
        <v/>
      </c>
      <c r="AK11" s="81">
        <f>IF(E11=$AK$6,1,"")</f>
        <v/>
      </c>
      <c r="AL11" s="81">
        <f>IF(E11=$AL$6,1,"")</f>
        <v/>
      </c>
      <c r="AM11" s="81">
        <f>IF(E11=$AM$6,1,"")</f>
        <v/>
      </c>
      <c r="AN11" s="81">
        <f>IF(E11=$AN$6,1,"")</f>
        <v/>
      </c>
      <c r="AO11" s="81">
        <f>IF(E11=$AO$6,1,"")</f>
        <v/>
      </c>
      <c r="AP11" s="81">
        <f>IF(E11=$AP$6,1,"")</f>
        <v/>
      </c>
      <c r="AQ11" s="81">
        <f>IF(E11=$AQ$6,1,"")</f>
        <v/>
      </c>
      <c r="AR11" s="81">
        <f>IF(E11=$AR$6,1,"")</f>
        <v/>
      </c>
      <c r="AS11" s="81" t="n"/>
    </row>
    <row r="12" ht="15" customHeight="1" s="80">
      <c r="A12" s="123" t="inlineStr">
        <is>
          <t>Jennifer Oswald</t>
        </is>
      </c>
      <c r="B12" s="124" t="inlineStr">
        <is>
          <t>07/22/2025</t>
        </is>
      </c>
      <c r="C12" s="125" t="inlineStr">
        <is>
          <t>jf150733</t>
        </is>
      </c>
      <c r="D12" s="144" t="inlineStr">
        <is>
          <t>Jacob</t>
        </is>
      </c>
      <c r="E12" s="127" t="inlineStr">
        <is>
          <t>OT</t>
        </is>
      </c>
      <c r="F12" s="128" t="n">
        <v>45</v>
      </c>
      <c r="G12" s="129" t="n"/>
      <c r="H12" s="130" t="n"/>
      <c r="I12" s="131" t="n"/>
      <c r="J12" s="131">
        <f>IF(COUNTIF(B12:E12,"*")=0,"",IF(T12=1,"Invalid Service",IF(AND(V12=1,F12=""),"Add Session Mins",IF(AND(E12&gt;0,H12="",T12=""),"Enter Contract Rate",IF(AND(E12="IEP mtg, prep, rept",F12&gt;0),(G12*H12),IF(AND(E12&gt;0,F12&gt;0,H12&gt;0,I12=""),"Enter Travel",IF(AND(F12&gt;0,I12="Y"),(G12*H12)+$M$10,IF(AND(F12&gt;0,I12="N"),(G12*H12),H12))))))))</f>
        <v/>
      </c>
      <c r="K12" s="145">
        <f>J12</f>
        <v/>
      </c>
      <c r="L12" s="146" t="n"/>
      <c r="M12" s="147" t="n"/>
      <c r="N12" s="104" t="n"/>
      <c r="O12" s="87" t="n"/>
      <c r="P12" s="135" t="inlineStr">
        <is>
          <t>Occupational Therapy</t>
        </is>
      </c>
      <c r="Q12" s="135" t="inlineStr">
        <is>
          <t xml:space="preserve">Late Cancel </t>
        </is>
      </c>
      <c r="R12" s="135" t="inlineStr">
        <is>
          <t>O &amp; M</t>
        </is>
      </c>
      <c r="S12" s="135" t="n"/>
      <c r="T12" s="136">
        <f>IF(AND(E12&gt;0,U12=0),1,"")</f>
        <v/>
      </c>
      <c r="U12" s="136">
        <f>SUM(X12:AR12)</f>
        <v/>
      </c>
      <c r="V12" s="136">
        <f>IF(E12=$Q$16,0,SUM(X12:AI12))</f>
        <v/>
      </c>
      <c r="W12" s="136">
        <f>SUM(AK12:AR12)</f>
        <v/>
      </c>
      <c r="X12" s="136">
        <f>IF(E12=$X$6,1,"")</f>
        <v/>
      </c>
      <c r="Y12" s="136">
        <f>IF(E12=$Y$6,1,"")</f>
        <v/>
      </c>
      <c r="Z12" s="136">
        <f>IF(E12=$Z$6,1,"")</f>
        <v/>
      </c>
      <c r="AA12" s="136">
        <f>IF(E12=$AA$6,1,"")</f>
        <v/>
      </c>
      <c r="AB12" s="136">
        <f>IF(E12=$AB$6,1,"")</f>
        <v/>
      </c>
      <c r="AC12" s="136">
        <f>IF(E12=$AC$6,1,"")</f>
        <v/>
      </c>
      <c r="AD12" s="136">
        <f>IF(E12=$AD$6,1,"")</f>
        <v/>
      </c>
      <c r="AE12" s="136">
        <f>IF(E12=$AE$6,1,"")</f>
        <v/>
      </c>
      <c r="AF12" s="136">
        <f>IF(E12=$AF$6,1,"")</f>
        <v/>
      </c>
      <c r="AG12" s="136">
        <f>IF(E12=$AG$6,1,"")</f>
        <v/>
      </c>
      <c r="AH12" s="136">
        <f>IF(E12=$AH$6,1,"")</f>
        <v/>
      </c>
      <c r="AI12" s="136">
        <f>IF(E12=$AI$6,1,"")</f>
        <v/>
      </c>
      <c r="AJ12" s="136">
        <f>IF(E12=$AJ$6,1,"")</f>
        <v/>
      </c>
      <c r="AK12" s="81">
        <f>IF(E12=$AK$6,1,"")</f>
        <v/>
      </c>
      <c r="AL12" s="81">
        <f>IF(E12=$AL$6,1,"")</f>
        <v/>
      </c>
      <c r="AM12" s="81">
        <f>IF(E12=$AM$6,1,"")</f>
        <v/>
      </c>
      <c r="AN12" s="81">
        <f>IF(E12=$AN$6,1,"")</f>
        <v/>
      </c>
      <c r="AO12" s="81">
        <f>IF(E12=$AO$6,1,"")</f>
        <v/>
      </c>
      <c r="AP12" s="81">
        <f>IF(E12=$AP$6,1,"")</f>
        <v/>
      </c>
      <c r="AQ12" s="81">
        <f>IF(E12=$AQ$6,1,"")</f>
        <v/>
      </c>
      <c r="AR12" s="81">
        <f>IF(E12=$AR$6,1,"")</f>
        <v/>
      </c>
      <c r="AS12" s="81" t="n"/>
    </row>
    <row r="13" ht="15" customHeight="1" s="80">
      <c r="A13" s="123" t="inlineStr">
        <is>
          <t>Jennifer Oswald</t>
        </is>
      </c>
      <c r="B13" s="124" t="inlineStr">
        <is>
          <t>07/29/2025</t>
        </is>
      </c>
      <c r="C13" s="125" t="inlineStr">
        <is>
          <t>jf150733</t>
        </is>
      </c>
      <c r="D13" s="144" t="inlineStr">
        <is>
          <t>Jacob</t>
        </is>
      </c>
      <c r="E13" s="127" t="inlineStr">
        <is>
          <t>OT</t>
        </is>
      </c>
      <c r="F13" s="128" t="n">
        <v>45</v>
      </c>
      <c r="G13" s="129" t="n"/>
      <c r="H13" s="130" t="n"/>
      <c r="I13" s="131" t="n"/>
      <c r="J13" s="131">
        <f>IF(COUNTIF(B13:E13,"*")=0,"",IF(T13=1,"Invalid Service",IF(AND(V13=1,F13=""),"Add Session Mins",IF(AND(E13&gt;0,H13="",T13=""),"Enter Contract Rate",IF(AND(E13="IEP mtg, prep, rept",F13&gt;0),(G13*H13),IF(AND(E13&gt;0,F13&gt;0,H13&gt;0,I13=""),"Enter Travel",IF(AND(F13&gt;0,I13="Y"),(G13*H13)+$M$10,IF(AND(F13&gt;0,I13="N"),(G13*H13),H13))))))))</f>
        <v/>
      </c>
      <c r="K13" s="132">
        <f>J13</f>
        <v/>
      </c>
      <c r="L13" s="148" t="n"/>
      <c r="M13" s="148" t="n"/>
      <c r="N13" s="148" t="n"/>
      <c r="O13" s="99" t="n"/>
      <c r="P13" s="135" t="inlineStr">
        <is>
          <t xml:space="preserve">Personal Care Assistant         </t>
        </is>
      </c>
      <c r="Q13" s="135" t="inlineStr">
        <is>
          <t>No Show</t>
        </is>
      </c>
      <c r="R13" s="135" t="inlineStr">
        <is>
          <t>Occupational Therapy</t>
        </is>
      </c>
      <c r="S13" s="135" t="n"/>
      <c r="T13" s="136">
        <f>IF(AND(E13&gt;0,U13=0),1,"")</f>
        <v/>
      </c>
      <c r="U13" s="136">
        <f>SUM(X13:AR13)</f>
        <v/>
      </c>
      <c r="V13" s="136">
        <f>IF(E13=$Q$16,0,SUM(X13:AI13))</f>
        <v/>
      </c>
      <c r="W13" s="136">
        <f>SUM(AK13:AR13)</f>
        <v/>
      </c>
      <c r="X13" s="136">
        <f>IF(E13=$X$6,1,"")</f>
        <v/>
      </c>
      <c r="Y13" s="136">
        <f>IF(E13=$Y$6,1,"")</f>
        <v/>
      </c>
      <c r="Z13" s="136">
        <f>IF(E13=$Z$6,1,"")</f>
        <v/>
      </c>
      <c r="AA13" s="136">
        <f>IF(E13=$AA$6,1,"")</f>
        <v/>
      </c>
      <c r="AB13" s="136">
        <f>IF(E13=$AB$6,1,"")</f>
        <v/>
      </c>
      <c r="AC13" s="136">
        <f>IF(E13=$AC$6,1,"")</f>
        <v/>
      </c>
      <c r="AD13" s="136">
        <f>IF(E13=$AD$6,1,"")</f>
        <v/>
      </c>
      <c r="AE13" s="136">
        <f>IF(E13=$AE$6,1,"")</f>
        <v/>
      </c>
      <c r="AF13" s="136">
        <f>IF(E13=$AF$6,1,"")</f>
        <v/>
      </c>
      <c r="AG13" s="136">
        <f>IF(E13=$AG$6,1,"")</f>
        <v/>
      </c>
      <c r="AH13" s="136">
        <f>IF(E13=$AH$6,1,"")</f>
        <v/>
      </c>
      <c r="AI13" s="136">
        <f>IF(E13=$AI$6,1,"")</f>
        <v/>
      </c>
      <c r="AJ13" s="136">
        <f>IF(E13=$AJ$6,1,"")</f>
        <v/>
      </c>
      <c r="AK13" s="81">
        <f>IF(E13=$AK$6,1,"")</f>
        <v/>
      </c>
      <c r="AL13" s="81">
        <f>IF(E13=$AL$6,1,"")</f>
        <v/>
      </c>
      <c r="AM13" s="81">
        <f>IF(E13=$AM$6,1,"")</f>
        <v/>
      </c>
      <c r="AN13" s="81">
        <f>IF(E13=$AN$6,1,"")</f>
        <v/>
      </c>
      <c r="AO13" s="81">
        <f>IF(E13=$AO$6,1,"")</f>
        <v/>
      </c>
      <c r="AP13" s="81">
        <f>IF(E13=$AP$6,1,"")</f>
        <v/>
      </c>
      <c r="AQ13" s="81">
        <f>IF(E13=$AQ$6,1,"")</f>
        <v/>
      </c>
      <c r="AR13" s="81">
        <f>IF(E13=$AR$6,1,"")</f>
        <v/>
      </c>
      <c r="AS13" s="81" t="n"/>
    </row>
    <row r="14" ht="15" customHeight="1" s="80">
      <c r="A14" s="123" t="inlineStr">
        <is>
          <t>Barbara Molek</t>
        </is>
      </c>
      <c r="B14" s="124" t="inlineStr">
        <is>
          <t>07/07/2025</t>
        </is>
      </c>
      <c r="C14" s="125" t="inlineStr">
        <is>
          <t>jp199275</t>
        </is>
      </c>
      <c r="D14" s="144" t="inlineStr">
        <is>
          <t>Jahday</t>
        </is>
      </c>
      <c r="E14" s="127" t="inlineStr">
        <is>
          <t>OT TW</t>
        </is>
      </c>
      <c r="F14" s="128" t="n">
        <v>45</v>
      </c>
      <c r="G14" s="129" t="n"/>
      <c r="H14" s="130" t="n"/>
      <c r="I14" s="131" t="n"/>
      <c r="J14" s="131">
        <f>IF(COUNTIF(B14:E14,"*")=0,"",IF(T14=1,"Invalid Service",IF(AND(V14=1,F14=""),"Add Session Mins",IF(AND(E14&gt;0,H14="",T14=""),"Enter Contract Rate",IF(AND(E14="IEP mtg, prep, rept",F14&gt;0),(G14*H14),IF(AND(E14&gt;0,F14&gt;0,H14&gt;0,I14=""),"Enter Travel",IF(AND(F14&gt;0,I14="Y"),(G14*H14)+$M$10,IF(AND(F14&gt;0,I14="N"),(G14*H14),H14))))))))</f>
        <v/>
      </c>
      <c r="K14" s="132">
        <f>J14</f>
        <v/>
      </c>
      <c r="L14" s="148" t="n"/>
      <c r="M14" s="148" t="n"/>
      <c r="N14" s="148" t="n"/>
      <c r="O14" s="87" t="n"/>
      <c r="P14" s="135" t="inlineStr">
        <is>
          <t>Physical Therapy</t>
        </is>
      </c>
      <c r="Q14" s="135" t="inlineStr">
        <is>
          <t>Quarterly Progress Report</t>
        </is>
      </c>
      <c r="R14" s="135" t="inlineStr">
        <is>
          <t>Personal Care Assistant</t>
        </is>
      </c>
      <c r="S14" s="135" t="n"/>
      <c r="T14" s="136">
        <f>IF(AND(E14&gt;0,U14=0),1,"")</f>
        <v/>
      </c>
      <c r="U14" s="136">
        <f>SUM(X14:AR14)</f>
        <v/>
      </c>
      <c r="V14" s="136">
        <f>IF(E14=$Q$16,0,SUM(X14:AI14))</f>
        <v/>
      </c>
      <c r="W14" s="136">
        <f>SUM(AK14:AR14)</f>
        <v/>
      </c>
      <c r="X14" s="136">
        <f>IF(E14=$X$6,1,"")</f>
        <v/>
      </c>
      <c r="Y14" s="136">
        <f>IF(E14=$Y$6,1,"")</f>
        <v/>
      </c>
      <c r="Z14" s="136">
        <f>IF(E14=$Z$6,1,"")</f>
        <v/>
      </c>
      <c r="AA14" s="136">
        <f>IF(E14=$AA$6,1,"")</f>
        <v/>
      </c>
      <c r="AB14" s="136">
        <f>IF(E14=$AB$6,1,"")</f>
        <v/>
      </c>
      <c r="AC14" s="136">
        <f>IF(E14=$AC$6,1,"")</f>
        <v/>
      </c>
      <c r="AD14" s="136">
        <f>IF(E14=$AD$6,1,"")</f>
        <v/>
      </c>
      <c r="AE14" s="136">
        <f>IF(E14=$AE$6,1,"")</f>
        <v/>
      </c>
      <c r="AF14" s="136">
        <f>IF(E14=$AF$6,1,"")</f>
        <v/>
      </c>
      <c r="AG14" s="136">
        <f>IF(E14=$AG$6,1,"")</f>
        <v/>
      </c>
      <c r="AH14" s="136">
        <f>IF(E14=$AH$6,1,"")</f>
        <v/>
      </c>
      <c r="AI14" s="136">
        <f>IF(E14=$AI$6,1,"")</f>
        <v/>
      </c>
      <c r="AJ14" s="136">
        <f>IF(E14=$AJ$6,1,"")</f>
        <v/>
      </c>
      <c r="AK14" s="81">
        <f>IF(E14=$AK$6,1,"")</f>
        <v/>
      </c>
      <c r="AL14" s="81">
        <f>IF(E14=$AL$6,1,"")</f>
        <v/>
      </c>
      <c r="AM14" s="81">
        <f>IF(E14=$AM$6,1,"")</f>
        <v/>
      </c>
      <c r="AN14" s="81">
        <f>IF(E14=$AN$6,1,"")</f>
        <v/>
      </c>
      <c r="AO14" s="81">
        <f>IF(E14=$AO$6,1,"")</f>
        <v/>
      </c>
      <c r="AP14" s="81">
        <f>IF(E14=$AP$6,1,"")</f>
        <v/>
      </c>
      <c r="AQ14" s="81">
        <f>IF(E14=$AQ$6,1,"")</f>
        <v/>
      </c>
      <c r="AR14" s="81">
        <f>IF(E14=$AR$6,1,"")</f>
        <v/>
      </c>
      <c r="AS14" s="81" t="n"/>
    </row>
    <row r="15" ht="15" customHeight="1" s="80">
      <c r="A15" s="123" t="inlineStr">
        <is>
          <t>Barbara Molek</t>
        </is>
      </c>
      <c r="B15" s="124" t="inlineStr">
        <is>
          <t>07/15/2025</t>
        </is>
      </c>
      <c r="C15" s="125" t="inlineStr">
        <is>
          <t>jp199275</t>
        </is>
      </c>
      <c r="D15" s="149" t="inlineStr">
        <is>
          <t>Jahday</t>
        </is>
      </c>
      <c r="E15" s="127" t="inlineStr">
        <is>
          <t>OT TW</t>
        </is>
      </c>
      <c r="F15" s="128" t="n">
        <v>45</v>
      </c>
      <c r="G15" s="129" t="n"/>
      <c r="H15" s="130" t="n"/>
      <c r="I15" s="131" t="n"/>
      <c r="J15" s="131">
        <f>IF(COUNTIF(B15:E15,"*")=0,"",IF(T15=1,"Invalid Service",IF(AND(V15=1,F15=""),"Add Session Mins",IF(AND(E15&gt;0,H15="",T15=""),"Enter Contract Rate",IF(AND(E15="IEP mtg, prep, rept",F15&gt;0),(G15*H15),IF(AND(E15&gt;0,F15&gt;0,H15&gt;0,I15=""),"Enter Travel",IF(AND(F15&gt;0,I15="Y"),(G15*H15)+$M$10,IF(AND(F15&gt;0,I15="N"),(G15*H15),H15))))))))</f>
        <v/>
      </c>
      <c r="K15" s="132">
        <f>J15</f>
        <v/>
      </c>
      <c r="L15" s="148" t="n"/>
      <c r="M15" s="148" t="n"/>
      <c r="N15" s="148" t="n"/>
      <c r="O15" s="87" t="n"/>
      <c r="P15" s="135" t="inlineStr">
        <is>
          <t>Social Skills</t>
        </is>
      </c>
      <c r="Q15" s="135" t="inlineStr">
        <is>
          <t>Additional Travel</t>
        </is>
      </c>
      <c r="R15" s="135" t="inlineStr">
        <is>
          <t>Physical Therapy</t>
        </is>
      </c>
      <c r="S15" s="135" t="n"/>
      <c r="T15" s="136">
        <f>IF(AND(E15&gt;0,U15=0),1,"")</f>
        <v/>
      </c>
      <c r="U15" s="136">
        <f>SUM(X15:AR15)</f>
        <v/>
      </c>
      <c r="V15" s="136">
        <f>IF(E15=$Q$16,0,SUM(X15:AI15))</f>
        <v/>
      </c>
      <c r="W15" s="136">
        <f>SUM(AK15:AR15)</f>
        <v/>
      </c>
      <c r="X15" s="136">
        <f>IF(E15=$X$6,1,"")</f>
        <v/>
      </c>
      <c r="Y15" s="136">
        <f>IF(E15=$Y$6,1,"")</f>
        <v/>
      </c>
      <c r="Z15" s="136">
        <f>IF(E15=$Z$6,1,"")</f>
        <v/>
      </c>
      <c r="AA15" s="136">
        <f>IF(E15=$AA$6,1,"")</f>
        <v/>
      </c>
      <c r="AB15" s="136">
        <f>IF(E15=$AB$6,1,"")</f>
        <v/>
      </c>
      <c r="AC15" s="136">
        <f>IF(E15=$AC$6,1,"")</f>
        <v/>
      </c>
      <c r="AD15" s="136">
        <f>IF(E15=$AD$6,1,"")</f>
        <v/>
      </c>
      <c r="AE15" s="136">
        <f>IF(E15=$AE$6,1,"")</f>
        <v/>
      </c>
      <c r="AF15" s="136">
        <f>IF(E15=$AF$6,1,"")</f>
        <v/>
      </c>
      <c r="AG15" s="136">
        <f>IF(E15=$AG$6,1,"")</f>
        <v/>
      </c>
      <c r="AH15" s="136">
        <f>IF(E15=$AH$6,1,"")</f>
        <v/>
      </c>
      <c r="AI15" s="136">
        <f>IF(E15=$AI$6,1,"")</f>
        <v/>
      </c>
      <c r="AJ15" s="136">
        <f>IF(E15=$AJ$6,1,"")</f>
        <v/>
      </c>
      <c r="AK15" s="81">
        <f>IF(E15=$AK$6,1,"")</f>
        <v/>
      </c>
      <c r="AL15" s="81">
        <f>IF(E15=$AL$6,1,"")</f>
        <v/>
      </c>
      <c r="AM15" s="81">
        <f>IF(E15=$AM$6,1,"")</f>
        <v/>
      </c>
      <c r="AN15" s="81">
        <f>IF(E15=$AN$6,1,"")</f>
        <v/>
      </c>
      <c r="AO15" s="81">
        <f>IF(E15=$AO$6,1,"")</f>
        <v/>
      </c>
      <c r="AP15" s="81">
        <f>IF(E15=$AP$6,1,"")</f>
        <v/>
      </c>
      <c r="AQ15" s="81">
        <f>IF(E15=$AQ$6,1,"")</f>
        <v/>
      </c>
      <c r="AR15" s="81">
        <f>IF(E15=$AR$6,1,"")</f>
        <v/>
      </c>
      <c r="AS15" s="81" t="n"/>
    </row>
    <row r="16" ht="15" customHeight="1" s="80">
      <c r="A16" s="123" t="inlineStr">
        <is>
          <t>Barbara Molek</t>
        </is>
      </c>
      <c r="B16" s="124" t="inlineStr">
        <is>
          <t>07/16/2025</t>
        </is>
      </c>
      <c r="C16" s="125" t="inlineStr">
        <is>
          <t>jp199275</t>
        </is>
      </c>
      <c r="D16" s="149" t="inlineStr">
        <is>
          <t>Jahday</t>
        </is>
      </c>
      <c r="E16" s="127" t="inlineStr">
        <is>
          <t>OT TW</t>
        </is>
      </c>
      <c r="F16" s="128" t="n">
        <v>45</v>
      </c>
      <c r="G16" s="129" t="n"/>
      <c r="H16" s="130" t="n"/>
      <c r="I16" s="131" t="n"/>
      <c r="J16" s="131">
        <f>IF(COUNTIF(B16:E16,"*")=0,"",IF(T16=1,"Invalid Service",IF(AND(V16=1,F16=""),"Add Session Mins",IF(AND(E16&gt;0,H16="",T16=""),"Enter Contract Rate",IF(AND(E16="IEP mtg, prep, rept",F16&gt;0),(G16*H16),IF(AND(E16&gt;0,F16&gt;0,H16&gt;0,I16=""),"Enter Travel",IF(AND(F16&gt;0,I16="Y"),(G16*H16)+$M$10,IF(AND(F16&gt;0,I16="N"),(G16*H16),H16))))))))</f>
        <v/>
      </c>
      <c r="K16" s="132">
        <f>J16</f>
        <v/>
      </c>
      <c r="L16" s="148" t="n"/>
      <c r="M16" s="148" t="n"/>
      <c r="N16" s="148" t="n"/>
      <c r="O16" s="99" t="n"/>
      <c r="P16" s="135" t="inlineStr">
        <is>
          <t>Speech Therapy</t>
        </is>
      </c>
      <c r="Q16" s="135" t="inlineStr">
        <is>
          <t>Additional Prep</t>
        </is>
      </c>
      <c r="R16" s="135" t="inlineStr">
        <is>
          <t>Social Skills</t>
        </is>
      </c>
      <c r="S16" s="135" t="n"/>
      <c r="T16" s="136">
        <f>IF(AND(E16&gt;0,U16=0),1,"")</f>
        <v/>
      </c>
      <c r="U16" s="136">
        <f>SUM(X16:AR16)</f>
        <v/>
      </c>
      <c r="V16" s="136">
        <f>IF(E16=$Q$16,0,SUM(X16:AI16))</f>
        <v/>
      </c>
      <c r="W16" s="136">
        <f>SUM(AK16:AR16)</f>
        <v/>
      </c>
      <c r="X16" s="136">
        <f>IF(E16=$X$6,1,"")</f>
        <v/>
      </c>
      <c r="Y16" s="136">
        <f>IF(E16=$Y$6,1,"")</f>
        <v/>
      </c>
      <c r="Z16" s="136">
        <f>IF(E16=$Z$6,1,"")</f>
        <v/>
      </c>
      <c r="AA16" s="136">
        <f>IF(E16=$AA$6,1,"")</f>
        <v/>
      </c>
      <c r="AB16" s="136">
        <f>IF(E16=$AB$6,1,"")</f>
        <v/>
      </c>
      <c r="AC16" s="136">
        <f>IF(E16=$AC$6,1,"")</f>
        <v/>
      </c>
      <c r="AD16" s="136">
        <f>IF(E16=$AD$6,1,"")</f>
        <v/>
      </c>
      <c r="AE16" s="136">
        <f>IF(E16=$AE$6,1,"")</f>
        <v/>
      </c>
      <c r="AF16" s="136">
        <f>IF(E16=$AF$6,1,"")</f>
        <v/>
      </c>
      <c r="AG16" s="136">
        <f>IF(E16=$AG$6,1,"")</f>
        <v/>
      </c>
      <c r="AH16" s="136">
        <f>IF(E16=$AH$6,1,"")</f>
        <v/>
      </c>
      <c r="AI16" s="136">
        <f>IF(E16=$AI$6,1,"")</f>
        <v/>
      </c>
      <c r="AJ16" s="136">
        <f>IF(E16=$AJ$6,1,"")</f>
        <v/>
      </c>
      <c r="AK16" s="81">
        <f>IF(E16=$AK$6,1,"")</f>
        <v/>
      </c>
      <c r="AL16" s="81">
        <f>IF(E16=$AL$6,1,"")</f>
        <v/>
      </c>
      <c r="AM16" s="81">
        <f>IF(E16=$AM$6,1,"")</f>
        <v/>
      </c>
      <c r="AN16" s="81">
        <f>IF(E16=$AN$6,1,"")</f>
        <v/>
      </c>
      <c r="AO16" s="81">
        <f>IF(E16=$AO$6,1,"")</f>
        <v/>
      </c>
      <c r="AP16" s="81">
        <f>IF(E16=$AP$6,1,"")</f>
        <v/>
      </c>
      <c r="AQ16" s="81">
        <f>IF(E16=$AQ$6,1,"")</f>
        <v/>
      </c>
      <c r="AR16" s="81">
        <f>IF(E16=$AR$6,1,"")</f>
        <v/>
      </c>
      <c r="AS16" s="81" t="n"/>
    </row>
    <row r="17" ht="15" customHeight="1" s="80">
      <c r="A17" s="123" t="inlineStr">
        <is>
          <t>Mandi Slattery-Bauer</t>
        </is>
      </c>
      <c r="B17" s="124" t="inlineStr">
        <is>
          <t>07/07/2025</t>
        </is>
      </c>
      <c r="C17" s="125" t="inlineStr">
        <is>
          <t>jp189526</t>
        </is>
      </c>
      <c r="D17" s="149" t="inlineStr">
        <is>
          <t>Jake</t>
        </is>
      </c>
      <c r="E17" s="127" t="inlineStr">
        <is>
          <t>SLP</t>
        </is>
      </c>
      <c r="F17" s="128" t="n">
        <v>60</v>
      </c>
      <c r="G17" s="129" t="n"/>
      <c r="H17" s="130" t="n"/>
      <c r="I17" s="131" t="n"/>
      <c r="J17" s="131">
        <f>IF(COUNTIF(B17:E17,"*")=0,"",IF(T17=1,"Invalid Service",IF(AND(V17=1,F17=""),"Add Session Mins",IF(AND(E17&gt;0,H17="",T17=""),"Enter Contract Rate",IF(AND(E17="IEP mtg, prep, rept",F17&gt;0),(G17*H17),IF(AND(E17&gt;0,F17&gt;0,H17&gt;0,I17=""),"Enter Travel",IF(AND(F17&gt;0,I17="Y"),(G17*H17)+$M$10,IF(AND(F17&gt;0,I17="N"),(G17*H17),H17))))))))</f>
        <v/>
      </c>
      <c r="K17" s="132">
        <f>J17</f>
        <v/>
      </c>
      <c r="L17" s="148" t="n"/>
      <c r="M17" s="148" t="n"/>
      <c r="N17" s="148" t="n"/>
      <c r="O17" s="99" t="n"/>
      <c r="P17" s="135" t="inlineStr">
        <is>
          <t>Tutoring</t>
        </is>
      </c>
      <c r="Q17" s="81" t="n"/>
      <c r="R17" s="135" t="inlineStr">
        <is>
          <t>Speech Therapy</t>
        </is>
      </c>
      <c r="S17" s="135" t="n"/>
      <c r="T17" s="136">
        <f>IF(AND(E17&gt;0,U17=0),1,"")</f>
        <v/>
      </c>
      <c r="U17" s="136">
        <f>SUM(X17:AR17)</f>
        <v/>
      </c>
      <c r="V17" s="136">
        <f>IF(E17=$Q$16,0,SUM(X17:AI17))</f>
        <v/>
      </c>
      <c r="W17" s="136">
        <f>SUM(AK17:AR17)</f>
        <v/>
      </c>
      <c r="X17" s="136">
        <f>IF(E17=$X$6,1,"")</f>
        <v/>
      </c>
      <c r="Y17" s="136">
        <f>IF(E17=$Y$6,1,"")</f>
        <v/>
      </c>
      <c r="Z17" s="136">
        <f>IF(E17=$Z$6,1,"")</f>
        <v/>
      </c>
      <c r="AA17" s="136">
        <f>IF(E17=$AA$6,1,"")</f>
        <v/>
      </c>
      <c r="AB17" s="136">
        <f>IF(E17=$AB$6,1,"")</f>
        <v/>
      </c>
      <c r="AC17" s="136">
        <f>IF(E17=$AC$6,1,"")</f>
        <v/>
      </c>
      <c r="AD17" s="136">
        <f>IF(E17=$AD$6,1,"")</f>
        <v/>
      </c>
      <c r="AE17" s="136">
        <f>IF(E17=$AE$6,1,"")</f>
        <v/>
      </c>
      <c r="AF17" s="136">
        <f>IF(E17=$AF$6,1,"")</f>
        <v/>
      </c>
      <c r="AG17" s="136">
        <f>IF(E17=$AG$6,1,"")</f>
        <v/>
      </c>
      <c r="AH17" s="136">
        <f>IF(E17=$AH$6,1,"")</f>
        <v/>
      </c>
      <c r="AI17" s="136">
        <f>IF(E17=$AI$6,1,"")</f>
        <v/>
      </c>
      <c r="AJ17" s="136">
        <f>IF(E17=$AJ$6,1,"")</f>
        <v/>
      </c>
      <c r="AK17" s="81">
        <f>IF(E17=$AK$6,1,"")</f>
        <v/>
      </c>
      <c r="AL17" s="81">
        <f>IF(E17=$AL$6,1,"")</f>
        <v/>
      </c>
      <c r="AM17" s="81">
        <f>IF(E17=$AM$6,1,"")</f>
        <v/>
      </c>
      <c r="AN17" s="81">
        <f>IF(E17=$AN$6,1,"")</f>
        <v/>
      </c>
      <c r="AO17" s="81">
        <f>IF(E17=$AO$6,1,"")</f>
        <v/>
      </c>
      <c r="AP17" s="81">
        <f>IF(E17=$AP$6,1,"")</f>
        <v/>
      </c>
      <c r="AQ17" s="81">
        <f>IF(E17=$AQ$6,1,"")</f>
        <v/>
      </c>
      <c r="AR17" s="81">
        <f>IF(E17=$AR$6,1,"")</f>
        <v/>
      </c>
      <c r="AS17" s="81" t="n"/>
    </row>
    <row r="18" ht="15" customHeight="1" s="80">
      <c r="A18" s="123" t="inlineStr">
        <is>
          <t>Mandi Slattery-Bauer</t>
        </is>
      </c>
      <c r="B18" s="150" t="inlineStr">
        <is>
          <t>07/08/2025</t>
        </is>
      </c>
      <c r="C18" s="125" t="inlineStr">
        <is>
          <t>jp189526</t>
        </is>
      </c>
      <c r="D18" s="151" t="inlineStr">
        <is>
          <t>Jake</t>
        </is>
      </c>
      <c r="E18" s="127" t="inlineStr">
        <is>
          <t>SLP</t>
        </is>
      </c>
      <c r="F18" s="128" t="n">
        <v>60</v>
      </c>
      <c r="G18" s="129" t="n"/>
      <c r="H18" s="130" t="n"/>
      <c r="I18" s="131" t="n"/>
      <c r="J18" s="131">
        <f>IF(COUNTIF(B18:E18,"*")=0,"",IF(T18=1,"Invalid Service",IF(AND(V18=1,F18=""),"Add Session Mins",IF(AND(E18&gt;0,H18="",T18=""),"Enter Contract Rate",IF(AND(E18="IEP mtg, prep, rept",F18&gt;0),(G18*H18),IF(AND(E18&gt;0,F18&gt;0,H18&gt;0,I18=""),"Enter Travel",IF(AND(F18&gt;0,I18="Y"),(G18*H18)+$M$10,IF(AND(F18&gt;0,I18="N"),(G18*H18),H18))))))))</f>
        <v/>
      </c>
      <c r="K18" s="132">
        <f>J18</f>
        <v/>
      </c>
      <c r="L18" s="148" t="n"/>
      <c r="M18" s="148" t="n"/>
      <c r="N18" s="148" t="n"/>
      <c r="O18" s="99" t="n"/>
      <c r="P18" s="135" t="inlineStr">
        <is>
          <t>Vision Therapy</t>
        </is>
      </c>
      <c r="Q18" s="81" t="n"/>
      <c r="R18" s="135" t="inlineStr">
        <is>
          <t>Tutoring</t>
        </is>
      </c>
      <c r="S18" s="135" t="n"/>
      <c r="T18" s="136">
        <f>IF(AND(E18&gt;0,U18=0),1,"")</f>
        <v/>
      </c>
      <c r="U18" s="136">
        <f>SUM(X18:AR18)</f>
        <v/>
      </c>
      <c r="V18" s="136">
        <f>IF(E18=$Q$16,0,SUM(X18:AI18))</f>
        <v/>
      </c>
      <c r="W18" s="136">
        <f>SUM(AK18:AR18)</f>
        <v/>
      </c>
      <c r="X18" s="136">
        <f>IF(E18=$X$6,1,"")</f>
        <v/>
      </c>
      <c r="Y18" s="136">
        <f>IF(E18=$Y$6,1,"")</f>
        <v/>
      </c>
      <c r="Z18" s="136">
        <f>IF(E18=$Z$6,1,"")</f>
        <v/>
      </c>
      <c r="AA18" s="136">
        <f>IF(E18=$AA$6,1,"")</f>
        <v/>
      </c>
      <c r="AB18" s="136">
        <f>IF(E18=$AB$6,1,"")</f>
        <v/>
      </c>
      <c r="AC18" s="136">
        <f>IF(E18=$AC$6,1,"")</f>
        <v/>
      </c>
      <c r="AD18" s="136">
        <f>IF(E18=$AD$6,1,"")</f>
        <v/>
      </c>
      <c r="AE18" s="136">
        <f>IF(E18=$AE$6,1,"")</f>
        <v/>
      </c>
      <c r="AF18" s="136">
        <f>IF(E18=$AF$6,1,"")</f>
        <v/>
      </c>
      <c r="AG18" s="136">
        <f>IF(E18=$AG$6,1,"")</f>
        <v/>
      </c>
      <c r="AH18" s="136">
        <f>IF(E18=$AH$6,1,"")</f>
        <v/>
      </c>
      <c r="AI18" s="136">
        <f>IF(E18=$AI$6,1,"")</f>
        <v/>
      </c>
      <c r="AJ18" s="136">
        <f>IF(E18=$AJ$6,1,"")</f>
        <v/>
      </c>
      <c r="AK18" s="81">
        <f>IF(E18=$AK$6,1,"")</f>
        <v/>
      </c>
      <c r="AL18" s="81">
        <f>IF(E18=$AL$6,1,"")</f>
        <v/>
      </c>
      <c r="AM18" s="81">
        <f>IF(E18=$AM$6,1,"")</f>
        <v/>
      </c>
      <c r="AN18" s="81">
        <f>IF(E18=$AN$6,1,"")</f>
        <v/>
      </c>
      <c r="AO18" s="81">
        <f>IF(E18=$AO$6,1,"")</f>
        <v/>
      </c>
      <c r="AP18" s="81">
        <f>IF(E18=$AP$6,1,"")</f>
        <v/>
      </c>
      <c r="AQ18" s="81">
        <f>IF(E18=$AQ$6,1,"")</f>
        <v/>
      </c>
      <c r="AR18" s="81">
        <f>IF(E18=$AR$6,1,"")</f>
        <v/>
      </c>
      <c r="AS18" s="81" t="n"/>
    </row>
    <row r="19" ht="15" customHeight="1" s="80">
      <c r="A19" s="123" t="inlineStr">
        <is>
          <t>Mandi Slattery-Bauer</t>
        </is>
      </c>
      <c r="B19" s="150" t="inlineStr">
        <is>
          <t>07/14/2025</t>
        </is>
      </c>
      <c r="C19" s="125" t="inlineStr">
        <is>
          <t>jp189526</t>
        </is>
      </c>
      <c r="D19" s="151" t="inlineStr">
        <is>
          <t>Jake</t>
        </is>
      </c>
      <c r="E19" s="127" t="inlineStr">
        <is>
          <t>SLP</t>
        </is>
      </c>
      <c r="F19" s="128" t="n">
        <v>60</v>
      </c>
      <c r="G19" s="129" t="n"/>
      <c r="H19" s="130" t="n"/>
      <c r="I19" s="131" t="n"/>
      <c r="J19" s="131">
        <f>IF(COUNTIF(B19:E19,"*")=0,"",IF(T19=1,"Invalid Service",IF(AND(V19=1,F19=""),"Add Session Mins",IF(AND(E19&gt;0,H19="",T19=""),"Enter Contract Rate",IF(AND(E19="IEP mtg, prep, rept",F19&gt;0),(G19*H19),IF(AND(E19&gt;0,F19&gt;0,H19&gt;0,I19=""),"Enter Travel",IF(AND(F19&gt;0,I19="Y"),(G19*H19)+$M$10,IF(AND(F19&gt;0,I19="N"),(G19*H19),H19))))))))</f>
        <v/>
      </c>
      <c r="K19" s="132">
        <f>J19</f>
        <v/>
      </c>
      <c r="L19" s="148" t="n"/>
      <c r="M19" s="148" t="n"/>
      <c r="N19" s="148" t="n"/>
      <c r="O19" s="99" t="n"/>
      <c r="P19" s="135" t="n"/>
      <c r="Q19" s="81" t="n"/>
      <c r="R19" s="135" t="inlineStr">
        <is>
          <t>Vision Therapy</t>
        </is>
      </c>
      <c r="S19" s="135" t="n"/>
      <c r="T19" s="136">
        <f>IF(AND(E19&gt;0,U19=0),1,"")</f>
        <v/>
      </c>
      <c r="U19" s="136">
        <f>SUM(X19:AR19)</f>
        <v/>
      </c>
      <c r="V19" s="136">
        <f>IF(E19=$Q$16,0,SUM(X19:AI19))</f>
        <v/>
      </c>
      <c r="W19" s="136">
        <f>SUM(AK19:AR19)</f>
        <v/>
      </c>
      <c r="X19" s="136">
        <f>IF(E19=$X$6,1,"")</f>
        <v/>
      </c>
      <c r="Y19" s="136">
        <f>IF(E19=$Y$6,1,"")</f>
        <v/>
      </c>
      <c r="Z19" s="136">
        <f>IF(E19=$Z$6,1,"")</f>
        <v/>
      </c>
      <c r="AA19" s="136">
        <f>IF(E19=$AA$6,1,"")</f>
        <v/>
      </c>
      <c r="AB19" s="136">
        <f>IF(E19=$AB$6,1,"")</f>
        <v/>
      </c>
      <c r="AC19" s="136">
        <f>IF(E19=$AC$6,1,"")</f>
        <v/>
      </c>
      <c r="AD19" s="136">
        <f>IF(E19=$AD$6,1,"")</f>
        <v/>
      </c>
      <c r="AE19" s="136">
        <f>IF(E19=$AE$6,1,"")</f>
        <v/>
      </c>
      <c r="AF19" s="136">
        <f>IF(E19=$AF$6,1,"")</f>
        <v/>
      </c>
      <c r="AG19" s="136">
        <f>IF(E19=$AG$6,1,"")</f>
        <v/>
      </c>
      <c r="AH19" s="136">
        <f>IF(E19=$AH$6,1,"")</f>
        <v/>
      </c>
      <c r="AI19" s="136">
        <f>IF(E19=$AI$6,1,"")</f>
        <v/>
      </c>
      <c r="AJ19" s="136">
        <f>IF(E19=$AJ$6,1,"")</f>
        <v/>
      </c>
      <c r="AK19" s="81">
        <f>IF(E19=$AK$6,1,"")</f>
        <v/>
      </c>
      <c r="AL19" s="81">
        <f>IF(E19=$AL$6,1,"")</f>
        <v/>
      </c>
      <c r="AM19" s="81">
        <f>IF(E19=$AM$6,1,"")</f>
        <v/>
      </c>
      <c r="AN19" s="81">
        <f>IF(E19=$AN$6,1,"")</f>
        <v/>
      </c>
      <c r="AO19" s="81">
        <f>IF(E19=$AO$6,1,"")</f>
        <v/>
      </c>
      <c r="AP19" s="81">
        <f>IF(E19=$AP$6,1,"")</f>
        <v/>
      </c>
      <c r="AQ19" s="81">
        <f>IF(E19=$AQ$6,1,"")</f>
        <v/>
      </c>
      <c r="AR19" s="81">
        <f>IF(E19=$AR$6,1,"")</f>
        <v/>
      </c>
      <c r="AS19" s="81" t="n"/>
    </row>
    <row r="20" ht="15" customHeight="1" s="80">
      <c r="A20" s="123" t="inlineStr">
        <is>
          <t>Mandi Slattery-Bauer</t>
        </is>
      </c>
      <c r="B20" s="150" t="inlineStr">
        <is>
          <t>07/15/2025</t>
        </is>
      </c>
      <c r="C20" s="125" t="inlineStr">
        <is>
          <t>jp189526</t>
        </is>
      </c>
      <c r="D20" s="151" t="inlineStr">
        <is>
          <t>Jake</t>
        </is>
      </c>
      <c r="E20" s="127" t="inlineStr">
        <is>
          <t>SLP</t>
        </is>
      </c>
      <c r="F20" s="128" t="n">
        <v>60</v>
      </c>
      <c r="G20" s="129" t="n"/>
      <c r="H20" s="130" t="n"/>
      <c r="I20" s="131" t="n"/>
      <c r="J20" s="131">
        <f>IF(COUNTIF(B20:E20,"*")=0,"",IF(T20=1,"Invalid Service",IF(AND(V20=1,F20=""),"Add Session Mins",IF(AND(E20&gt;0,H20="",T20=""),"Enter Contract Rate",IF(AND(E20="IEP mtg, prep, rept",F20&gt;0),(G20*H20),IF(AND(E20&gt;0,F20&gt;0,H20&gt;0,I20=""),"Enter Travel",IF(AND(F20&gt;0,I20="Y"),(G20*H20)+$M$10,IF(AND(F20&gt;0,I20="N"),(G20*H20),H20))))))))</f>
        <v/>
      </c>
      <c r="K20" s="132">
        <f>J20</f>
        <v/>
      </c>
      <c r="L20" s="148" t="n"/>
      <c r="M20" s="148" t="n"/>
      <c r="N20" s="148" t="n"/>
      <c r="O20" s="99" t="n"/>
      <c r="P20" s="135" t="n"/>
      <c r="Q20" s="81" t="n"/>
      <c r="R20" s="135" t="inlineStr">
        <is>
          <t xml:space="preserve">--------------------                  </t>
        </is>
      </c>
      <c r="S20" s="135" t="n"/>
      <c r="T20" s="136">
        <f>IF(AND(E20&gt;0,U20=0),1,"")</f>
        <v/>
      </c>
      <c r="U20" s="136">
        <f>SUM(X20:AR20)</f>
        <v/>
      </c>
      <c r="V20" s="136">
        <f>IF(E20=$Q$16,0,SUM(X20:AI20))</f>
        <v/>
      </c>
      <c r="W20" s="136">
        <f>SUM(AK20:AR20)</f>
        <v/>
      </c>
      <c r="X20" s="136">
        <f>IF(E20=$X$6,1,"")</f>
        <v/>
      </c>
      <c r="Y20" s="136">
        <f>IF(E20=$Y$6,1,"")</f>
        <v/>
      </c>
      <c r="Z20" s="136">
        <f>IF(E20=$Z$6,1,"")</f>
        <v/>
      </c>
      <c r="AA20" s="136">
        <f>IF(E20=$AA$6,1,"")</f>
        <v/>
      </c>
      <c r="AB20" s="136">
        <f>IF(E20=$AB$6,1,"")</f>
        <v/>
      </c>
      <c r="AC20" s="136">
        <f>IF(E20=$AC$6,1,"")</f>
        <v/>
      </c>
      <c r="AD20" s="136">
        <f>IF(E20=$AD$6,1,"")</f>
        <v/>
      </c>
      <c r="AE20" s="136">
        <f>IF(E20=$AE$6,1,"")</f>
        <v/>
      </c>
      <c r="AF20" s="136">
        <f>IF(E20=$AF$6,1,"")</f>
        <v/>
      </c>
      <c r="AG20" s="136">
        <f>IF(E20=$AG$6,1,"")</f>
        <v/>
      </c>
      <c r="AH20" s="136">
        <f>IF(E20=$AH$6,1,"")</f>
        <v/>
      </c>
      <c r="AI20" s="136">
        <f>IF(E20=$AI$6,1,"")</f>
        <v/>
      </c>
      <c r="AJ20" s="136">
        <f>IF(E20=$AJ$6,1,"")</f>
        <v/>
      </c>
      <c r="AK20" s="81">
        <f>IF(E20=$AK$6,1,"")</f>
        <v/>
      </c>
      <c r="AL20" s="81">
        <f>IF(E20=$AL$6,1,"")</f>
        <v/>
      </c>
      <c r="AM20" s="81">
        <f>IF(E20=$AM$6,1,"")</f>
        <v/>
      </c>
      <c r="AN20" s="81">
        <f>IF(E20=$AN$6,1,"")</f>
        <v/>
      </c>
      <c r="AO20" s="81">
        <f>IF(E20=$AO$6,1,"")</f>
        <v/>
      </c>
      <c r="AP20" s="81">
        <f>IF(E20=$AP$6,1,"")</f>
        <v/>
      </c>
      <c r="AQ20" s="81">
        <f>IF(E20=$AQ$6,1,"")</f>
        <v/>
      </c>
      <c r="AR20" s="81">
        <f>IF(E20=$AR$6,1,"")</f>
        <v/>
      </c>
      <c r="AS20" s="81" t="n"/>
    </row>
    <row r="21" ht="15.75" customHeight="1" s="80">
      <c r="A21" s="123" t="inlineStr">
        <is>
          <t>Mandi Slattery-Bauer</t>
        </is>
      </c>
      <c r="B21" s="124" t="inlineStr">
        <is>
          <t>07/21/2025</t>
        </is>
      </c>
      <c r="C21" s="125" t="inlineStr">
        <is>
          <t>jp189526</t>
        </is>
      </c>
      <c r="D21" s="144" t="inlineStr">
        <is>
          <t>Jake</t>
        </is>
      </c>
      <c r="E21" s="127" t="inlineStr">
        <is>
          <t>SLP</t>
        </is>
      </c>
      <c r="F21" s="128" t="n">
        <v>60</v>
      </c>
      <c r="G21" s="129" t="n"/>
      <c r="H21" s="130" t="n"/>
      <c r="I21" s="131" t="n"/>
      <c r="J21" s="131">
        <f>IF(COUNTIF(B21:E21,"*")=0,"",IF(T21=1,"Invalid Service",IF(AND(V21=1,F21=""),"Add Session Mins",IF(AND(E21&gt;0,H21="",T21=""),"Enter Contract Rate",IF(AND(E21="IEP mtg, prep, rept",F21&gt;0),(G21*H21),IF(AND(E21&gt;0,F21&gt;0,H21&gt;0,I21=""),"Enter Travel",IF(AND(F21&gt;0,I21="Y"),(G21*H21)+$M$10,IF(AND(F21&gt;0,I21="N"),(G21*H21),H21))))))))</f>
        <v/>
      </c>
      <c r="K21" s="132">
        <f>J21</f>
        <v/>
      </c>
      <c r="L21" s="148" t="n"/>
      <c r="M21" s="148" t="n"/>
      <c r="N21" s="148" t="n"/>
      <c r="O21" s="99" t="n"/>
      <c r="P21" s="81" t="n"/>
      <c r="Q21" s="81" t="n"/>
      <c r="R21" s="135" t="inlineStr">
        <is>
          <t>No Show</t>
        </is>
      </c>
      <c r="S21" s="135" t="n"/>
      <c r="T21" s="136">
        <f>IF(AND(E21&gt;0,U21=0),1,"")</f>
        <v/>
      </c>
      <c r="U21" s="136">
        <f>SUM(X21:AR21)</f>
        <v/>
      </c>
      <c r="V21" s="136">
        <f>IF(E21=$Q$16,0,SUM(X21:AI21))</f>
        <v/>
      </c>
      <c r="W21" s="136">
        <f>SUM(AK21:AR21)</f>
        <v/>
      </c>
      <c r="X21" s="136">
        <f>IF(E21=$X$6,1,"")</f>
        <v/>
      </c>
      <c r="Y21" s="136">
        <f>IF(E21=$Y$6,1,"")</f>
        <v/>
      </c>
      <c r="Z21" s="136">
        <f>IF(E21=$Z$6,1,"")</f>
        <v/>
      </c>
      <c r="AA21" s="136">
        <f>IF(E21=$AA$6,1,"")</f>
        <v/>
      </c>
      <c r="AB21" s="136">
        <f>IF(E21=$AB$6,1,"")</f>
        <v/>
      </c>
      <c r="AC21" s="136">
        <f>IF(E21=$AC$6,1,"")</f>
        <v/>
      </c>
      <c r="AD21" s="136">
        <f>IF(E21=$AD$6,1,"")</f>
        <v/>
      </c>
      <c r="AE21" s="136">
        <f>IF(E21=$AE$6,1,"")</f>
        <v/>
      </c>
      <c r="AF21" s="136">
        <f>IF(E21=$AF$6,1,"")</f>
        <v/>
      </c>
      <c r="AG21" s="136">
        <f>IF(E21=$AG$6,1,"")</f>
        <v/>
      </c>
      <c r="AH21" s="136">
        <f>IF(E21=$AH$6,1,"")</f>
        <v/>
      </c>
      <c r="AI21" s="136">
        <f>IF(E21=$AI$6,1,"")</f>
        <v/>
      </c>
      <c r="AJ21" s="136">
        <f>IF(E21=$AJ$6,1,"")</f>
        <v/>
      </c>
      <c r="AK21" s="81">
        <f>IF(E21=$AK$6,1,"")</f>
        <v/>
      </c>
      <c r="AL21" s="81">
        <f>IF(E21=$AL$6,1,"")</f>
        <v/>
      </c>
      <c r="AM21" s="81">
        <f>IF(E21=$AM$6,1,"")</f>
        <v/>
      </c>
      <c r="AN21" s="81">
        <f>IF(E21=$AN$6,1,"")</f>
        <v/>
      </c>
      <c r="AO21" s="81">
        <f>IF(E21=$AO$6,1,"")</f>
        <v/>
      </c>
      <c r="AP21" s="81">
        <f>IF(E21=$AP$6,1,"")</f>
        <v/>
      </c>
      <c r="AQ21" s="81">
        <f>IF(E21=$AQ$6,1,"")</f>
        <v/>
      </c>
      <c r="AR21" s="81">
        <f>IF(E21=$AR$6,1,"")</f>
        <v/>
      </c>
      <c r="AS21" s="81" t="n"/>
    </row>
    <row r="22" ht="15.75" customHeight="1" s="80">
      <c r="A22" s="123" t="inlineStr">
        <is>
          <t>Mandi Slattery-Bauer</t>
        </is>
      </c>
      <c r="B22" s="124" t="inlineStr">
        <is>
          <t>07/22/2025</t>
        </is>
      </c>
      <c r="C22" s="125" t="inlineStr">
        <is>
          <t>jp189526</t>
        </is>
      </c>
      <c r="D22" s="126" t="inlineStr">
        <is>
          <t>Jake</t>
        </is>
      </c>
      <c r="E22" s="127" t="inlineStr">
        <is>
          <t>SLP</t>
        </is>
      </c>
      <c r="F22" s="128" t="n">
        <v>60</v>
      </c>
      <c r="G22" s="129" t="n"/>
      <c r="H22" s="130" t="n"/>
      <c r="I22" s="131" t="n"/>
      <c r="J22" s="131">
        <f>IF(COUNTIF(B22:E22,"*")=0,"",IF(T22=1,"Invalid Service",IF(AND(V22=1,F22=""),"Add Session Mins",IF(AND(E22&gt;0,H22="",T22=""),"Enter Contract Rate",IF(AND(E22="IEP mtg, prep, rept",F22&gt;0),(G22*H22),IF(AND(E22&gt;0,F22&gt;0,H22&gt;0,I22=""),"Enter Travel",IF(AND(F22&gt;0,I22="Y"),(G22*H22)+$M$10,IF(AND(F22&gt;0,I22="N"),(G22*H22),H22))))))))</f>
        <v/>
      </c>
      <c r="K22" s="132">
        <f>J22</f>
        <v/>
      </c>
      <c r="L22" s="148" t="n"/>
      <c r="M22" s="148" t="n"/>
      <c r="N22" s="148" t="n"/>
      <c r="O22" s="99" t="n"/>
      <c r="P22" s="81" t="n"/>
      <c r="Q22" s="81" t="n"/>
      <c r="R22" s="135" t="inlineStr">
        <is>
          <t xml:space="preserve">--------------------                </t>
        </is>
      </c>
      <c r="S22" s="135" t="n"/>
      <c r="T22" s="136">
        <f>IF(AND(E22&gt;0,U22=0),1,"")</f>
        <v/>
      </c>
      <c r="U22" s="136">
        <f>SUM(X22:AR22)</f>
        <v/>
      </c>
      <c r="V22" s="136">
        <f>IF(E22=$Q$16,0,SUM(X22:AI22))</f>
        <v/>
      </c>
      <c r="W22" s="136">
        <f>SUM(AK22:AR22)</f>
        <v/>
      </c>
      <c r="X22" s="136">
        <f>IF(E22=$X$6,1,"")</f>
        <v/>
      </c>
      <c r="Y22" s="136">
        <f>IF(E22=$Y$6,1,"")</f>
        <v/>
      </c>
      <c r="Z22" s="136">
        <f>IF(E22=$Z$6,1,"")</f>
        <v/>
      </c>
      <c r="AA22" s="136">
        <f>IF(E22=$AA$6,1,"")</f>
        <v/>
      </c>
      <c r="AB22" s="136">
        <f>IF(E22=$AB$6,1,"")</f>
        <v/>
      </c>
      <c r="AC22" s="136">
        <f>IF(E22=$AC$6,1,"")</f>
        <v/>
      </c>
      <c r="AD22" s="136">
        <f>IF(E22=$AD$6,1,"")</f>
        <v/>
      </c>
      <c r="AE22" s="136">
        <f>IF(E22=$AE$6,1,"")</f>
        <v/>
      </c>
      <c r="AF22" s="136">
        <f>IF(E22=$AF$6,1,"")</f>
        <v/>
      </c>
      <c r="AG22" s="136">
        <f>IF(E22=$AG$6,1,"")</f>
        <v/>
      </c>
      <c r="AH22" s="136">
        <f>IF(E22=$AH$6,1,"")</f>
        <v/>
      </c>
      <c r="AI22" s="136">
        <f>IF(E22=$AI$6,1,"")</f>
        <v/>
      </c>
      <c r="AJ22" s="136">
        <f>IF(E22=$AJ$6,1,"")</f>
        <v/>
      </c>
      <c r="AK22" s="81">
        <f>IF(E22=$AK$6,1,"")</f>
        <v/>
      </c>
      <c r="AL22" s="81">
        <f>IF(E22=$AL$6,1,"")</f>
        <v/>
      </c>
      <c r="AM22" s="81">
        <f>IF(E22=$AM$6,1,"")</f>
        <v/>
      </c>
      <c r="AN22" s="81">
        <f>IF(E22=$AN$6,1,"")</f>
        <v/>
      </c>
      <c r="AO22" s="81">
        <f>IF(E22=$AO$6,1,"")</f>
        <v/>
      </c>
      <c r="AP22" s="81">
        <f>IF(E22=$AP$6,1,"")</f>
        <v/>
      </c>
      <c r="AQ22" s="81">
        <f>IF(E22=$AQ$6,1,"")</f>
        <v/>
      </c>
      <c r="AR22" s="81">
        <f>IF(E22=$AR$6,1,"")</f>
        <v/>
      </c>
      <c r="AS22" s="81" t="n"/>
    </row>
    <row r="23" ht="15.75" customHeight="1" s="80">
      <c r="A23" s="152" t="inlineStr">
        <is>
          <t>Mandi Slattery-Bauer</t>
        </is>
      </c>
      <c r="B23" s="124" t="inlineStr">
        <is>
          <t>07/28/2025</t>
        </is>
      </c>
      <c r="C23" s="125" t="inlineStr">
        <is>
          <t>jp189526</t>
        </is>
      </c>
      <c r="D23" s="126" t="inlineStr">
        <is>
          <t>Jake</t>
        </is>
      </c>
      <c r="E23" s="127" t="inlineStr">
        <is>
          <t>SLP</t>
        </is>
      </c>
      <c r="F23" s="128" t="n">
        <v>60</v>
      </c>
      <c r="G23" s="129" t="n"/>
      <c r="H23" s="130" t="n"/>
      <c r="I23" s="131" t="n"/>
      <c r="J23" s="131">
        <f>IF(COUNTIF(B23:E23,"*")=0,"",IF(T23=1,"Invalid Service",IF(AND(V23=1,F23=""),"Add Session Mins",IF(AND(E23&gt;0,H23="",T23=""),"Enter Contract Rate",IF(AND(E23="IEP mtg, prep, rept",F23&gt;0),(G23*H23),IF(AND(E23&gt;0,F23&gt;0,H23&gt;0,I23=""),"Enter Travel",IF(AND(F23&gt;0,I23="Y"),(G23*H23)+$M$10,IF(AND(F23&gt;0,I23="N"),(G23*H23),H23))))))))</f>
        <v/>
      </c>
      <c r="K23" s="132">
        <f>J23</f>
        <v/>
      </c>
      <c r="L23" s="148" t="n"/>
      <c r="M23" s="148" t="n"/>
      <c r="N23" s="148" t="n"/>
      <c r="O23" s="99" t="n"/>
      <c r="P23" s="81" t="n"/>
      <c r="Q23" s="81" t="n"/>
      <c r="R23" s="135" t="inlineStr">
        <is>
          <t>-  EVALUATIONS:</t>
        </is>
      </c>
      <c r="S23" s="135" t="n"/>
      <c r="T23" s="136">
        <f>IF(AND(E23&gt;0,U23=0),1,"")</f>
        <v/>
      </c>
      <c r="U23" s="136">
        <f>SUM(X23:AR23)</f>
        <v/>
      </c>
      <c r="V23" s="136">
        <f>IF(E23=$Q$16,0,SUM(X23:AI23))</f>
        <v/>
      </c>
      <c r="W23" s="136">
        <f>SUM(AK23:AR23)</f>
        <v/>
      </c>
      <c r="X23" s="136">
        <f>IF(E23=$X$6,1,"")</f>
        <v/>
      </c>
      <c r="Y23" s="136">
        <f>IF(E23=$Y$6,1,"")</f>
        <v/>
      </c>
      <c r="Z23" s="136">
        <f>IF(E23=$Z$6,1,"")</f>
        <v/>
      </c>
      <c r="AA23" s="136">
        <f>IF(E23=$AA$6,1,"")</f>
        <v/>
      </c>
      <c r="AB23" s="136">
        <f>IF(E23=$AB$6,1,"")</f>
        <v/>
      </c>
      <c r="AC23" s="136">
        <f>IF(E23=$AC$6,1,"")</f>
        <v/>
      </c>
      <c r="AD23" s="136">
        <f>IF(E23=$AD$6,1,"")</f>
        <v/>
      </c>
      <c r="AE23" s="136">
        <f>IF(E23=$AE$6,1,"")</f>
        <v/>
      </c>
      <c r="AF23" s="136">
        <f>IF(E23=$AF$6,1,"")</f>
        <v/>
      </c>
      <c r="AG23" s="136">
        <f>IF(E23=$AG$6,1,"")</f>
        <v/>
      </c>
      <c r="AH23" s="136">
        <f>IF(E23=$AH$6,1,"")</f>
        <v/>
      </c>
      <c r="AI23" s="136">
        <f>IF(E23=$AI$6,1,"")</f>
        <v/>
      </c>
      <c r="AJ23" s="136">
        <f>IF(E23=$AJ$6,1,"")</f>
        <v/>
      </c>
      <c r="AK23" s="81">
        <f>IF(E23=$AK$6,1,"")</f>
        <v/>
      </c>
      <c r="AL23" s="81">
        <f>IF(E23=$AL$6,1,"")</f>
        <v/>
      </c>
      <c r="AM23" s="81">
        <f>IF(E23=$AM$6,1,"")</f>
        <v/>
      </c>
      <c r="AN23" s="81">
        <f>IF(E23=$AN$6,1,"")</f>
        <v/>
      </c>
      <c r="AO23" s="81">
        <f>IF(E23=$AO$6,1,"")</f>
        <v/>
      </c>
      <c r="AP23" s="81">
        <f>IF(E23=$AP$6,1,"")</f>
        <v/>
      </c>
      <c r="AQ23" s="81">
        <f>IF(E23=$AQ$6,1,"")</f>
        <v/>
      </c>
      <c r="AR23" s="81">
        <f>IF(E23=$AR$6,1,"")</f>
        <v/>
      </c>
      <c r="AS23" s="81" t="n"/>
    </row>
    <row r="24" ht="15.75" customHeight="1" s="80">
      <c r="A24" s="123" t="inlineStr">
        <is>
          <t>Mandi Slattery-Bauer</t>
        </is>
      </c>
      <c r="B24" s="124" t="inlineStr">
        <is>
          <t>07/29/2025</t>
        </is>
      </c>
      <c r="C24" s="125" t="inlineStr">
        <is>
          <t>jp189526</t>
        </is>
      </c>
      <c r="D24" s="126" t="inlineStr">
        <is>
          <t>Jake</t>
        </is>
      </c>
      <c r="E24" s="127" t="inlineStr">
        <is>
          <t>SLP</t>
        </is>
      </c>
      <c r="F24" s="128" t="n">
        <v>60</v>
      </c>
      <c r="G24" s="129" t="n"/>
      <c r="H24" s="130" t="n"/>
      <c r="I24" s="131" t="n"/>
      <c r="J24" s="131">
        <f>IF(COUNTIF(B24:E24,"*")=0,"",IF(T24=1,"Invalid Service",IF(AND(V24=1,F24=""),"Add Session Mins",IF(AND(E24&gt;0,H24="",T24=""),"Enter Contract Rate",IF(AND(E24="IEP mtg, prep, rept",F24&gt;0),(G24*H24),IF(AND(E24&gt;0,F24&gt;0,H24&gt;0,I24=""),"Enter Travel",IF(AND(F24&gt;0,I24="Y"),(G24*H24)+$M$10,IF(AND(F24&gt;0,I24="N"),(G24*H24),H24))))))))</f>
        <v/>
      </c>
      <c r="K24" s="132">
        <f>J24</f>
        <v/>
      </c>
      <c r="L24" s="148" t="n"/>
      <c r="M24" s="148" t="n"/>
      <c r="N24" s="148" t="n"/>
      <c r="O24" s="87" t="n"/>
      <c r="P24" s="81" t="n"/>
      <c r="Q24" s="81" t="n"/>
      <c r="R24" s="135" t="inlineStr">
        <is>
          <t>Hearing Eval</t>
        </is>
      </c>
      <c r="S24" s="135" t="n"/>
      <c r="T24" s="136">
        <f>IF(AND(E24&gt;0,U24=0),1,"")</f>
        <v/>
      </c>
      <c r="U24" s="136">
        <f>SUM(X24:AR24)</f>
        <v/>
      </c>
      <c r="V24" s="136">
        <f>IF(E24=$Q$16,0,SUM(X24:AI24))</f>
        <v/>
      </c>
      <c r="W24" s="136">
        <f>SUM(AK24:AR24)</f>
        <v/>
      </c>
      <c r="X24" s="136">
        <f>IF(E24=$X$6,1,"")</f>
        <v/>
      </c>
      <c r="Y24" s="136">
        <f>IF(E24=$Y$6,1,"")</f>
        <v/>
      </c>
      <c r="Z24" s="136">
        <f>IF(E24=$Z$6,1,"")</f>
        <v/>
      </c>
      <c r="AA24" s="136">
        <f>IF(E24=$AA$6,1,"")</f>
        <v/>
      </c>
      <c r="AB24" s="136">
        <f>IF(E24=$AB$6,1,"")</f>
        <v/>
      </c>
      <c r="AC24" s="136">
        <f>IF(E24=$AC$6,1,"")</f>
        <v/>
      </c>
      <c r="AD24" s="136">
        <f>IF(E24=$AD$6,1,"")</f>
        <v/>
      </c>
      <c r="AE24" s="136">
        <f>IF(E24=$AE$6,1,"")</f>
        <v/>
      </c>
      <c r="AF24" s="136">
        <f>IF(E24=$AF$6,1,"")</f>
        <v/>
      </c>
      <c r="AG24" s="136">
        <f>IF(E24=$AG$6,1,"")</f>
        <v/>
      </c>
      <c r="AH24" s="136">
        <f>IF(E24=$AH$6,1,"")</f>
        <v/>
      </c>
      <c r="AI24" s="136">
        <f>IF(E24=$AI$6,1,"")</f>
        <v/>
      </c>
      <c r="AJ24" s="136">
        <f>IF(E24=$AJ$6,1,"")</f>
        <v/>
      </c>
      <c r="AK24" s="81">
        <f>IF(E24=$AK$6,1,"")</f>
        <v/>
      </c>
      <c r="AL24" s="81">
        <f>IF(E24=$AL$6,1,"")</f>
        <v/>
      </c>
      <c r="AM24" s="81">
        <f>IF(E24=$AM$6,1,"")</f>
        <v/>
      </c>
      <c r="AN24" s="81">
        <f>IF(E24=$AN$6,1,"")</f>
        <v/>
      </c>
      <c r="AO24" s="81">
        <f>IF(E24=$AO$6,1,"")</f>
        <v/>
      </c>
      <c r="AP24" s="81">
        <f>IF(E24=$AP$6,1,"")</f>
        <v/>
      </c>
      <c r="AQ24" s="81">
        <f>IF(E24=$AQ$6,1,"")</f>
        <v/>
      </c>
      <c r="AR24" s="81">
        <f>IF(E24=$AR$6,1,"")</f>
        <v/>
      </c>
      <c r="AS24" s="81" t="n"/>
    </row>
    <row r="25" ht="15.75" customHeight="1" s="80">
      <c r="A25" s="123" t="inlineStr">
        <is>
          <t>Rochelle Johnson</t>
        </is>
      </c>
      <c r="B25" s="124" t="inlineStr">
        <is>
          <t>07/07/2025</t>
        </is>
      </c>
      <c r="C25" s="125" t="inlineStr">
        <is>
          <t>ju212043</t>
        </is>
      </c>
      <c r="D25" s="126" t="inlineStr">
        <is>
          <t>Jesse</t>
        </is>
      </c>
      <c r="E25" s="127" t="inlineStr">
        <is>
          <t>COU TW</t>
        </is>
      </c>
      <c r="F25" s="128" t="n">
        <v>60</v>
      </c>
      <c r="G25" s="129" t="n"/>
      <c r="H25" s="130" t="n"/>
      <c r="I25" s="131" t="n"/>
      <c r="J25" s="131">
        <f>IF(COUNTIF(B25:E25,"*")=0,"",IF(T25=1,"Invalid Service",IF(AND(V25=1,F25=""),"Add Session Mins",IF(AND(E25&gt;0,H25="",T25=""),"Enter Contract Rate",IF(AND(E25="IEP mtg, prep, rept",F25&gt;0),(G25*H25),IF(AND(E25&gt;0,F25&gt;0,H25&gt;0,I25=""),"Enter Travel",IF(AND(F25&gt;0,I25="Y"),(G25*H25)+$M$10,IF(AND(F25&gt;0,I25="N"),(G25*H25),H25))))))))</f>
        <v/>
      </c>
      <c r="K25" s="132">
        <f>J25</f>
        <v/>
      </c>
      <c r="L25" s="148" t="n"/>
      <c r="M25" s="148" t="n"/>
      <c r="N25" s="148" t="n"/>
      <c r="O25" s="153" t="n"/>
      <c r="P25" s="81" t="n"/>
      <c r="Q25" s="81" t="n"/>
      <c r="R25" s="135" t="inlineStr">
        <is>
          <t xml:space="preserve">Functional Vision Eval   </t>
        </is>
      </c>
      <c r="S25" s="135" t="n"/>
      <c r="T25" s="136">
        <f>IF(AND(E25&gt;0,U25=0),1,"")</f>
        <v/>
      </c>
      <c r="U25" s="136">
        <f>SUM(X25:AR25)</f>
        <v/>
      </c>
      <c r="V25" s="136">
        <f>IF(E25=$Q$16,0,SUM(X25:AI25))</f>
        <v/>
      </c>
      <c r="W25" s="136">
        <f>SUM(AK25:AR25)</f>
        <v/>
      </c>
      <c r="X25" s="136">
        <f>IF(E25=$X$6,1,"")</f>
        <v/>
      </c>
      <c r="Y25" s="136">
        <f>IF(E25=$Y$6,1,"")</f>
        <v/>
      </c>
      <c r="Z25" s="136">
        <f>IF(E25=$Z$6,1,"")</f>
        <v/>
      </c>
      <c r="AA25" s="136">
        <f>IF(E25=$AA$6,1,"")</f>
        <v/>
      </c>
      <c r="AB25" s="136">
        <f>IF(E25=$AB$6,1,"")</f>
        <v/>
      </c>
      <c r="AC25" s="136">
        <f>IF(E25=$AC$6,1,"")</f>
        <v/>
      </c>
      <c r="AD25" s="136">
        <f>IF(E25=$AD$6,1,"")</f>
        <v/>
      </c>
      <c r="AE25" s="136">
        <f>IF(E25=$AE$6,1,"")</f>
        <v/>
      </c>
      <c r="AF25" s="136">
        <f>IF(E25=$AF$6,1,"")</f>
        <v/>
      </c>
      <c r="AG25" s="136">
        <f>IF(E25=$AG$6,1,"")</f>
        <v/>
      </c>
      <c r="AH25" s="136">
        <f>IF(E25=$AH$6,1,"")</f>
        <v/>
      </c>
      <c r="AI25" s="136">
        <f>IF(E25=$AI$6,1,"")</f>
        <v/>
      </c>
      <c r="AJ25" s="136">
        <f>IF(E25=$AJ$6,1,"")</f>
        <v/>
      </c>
      <c r="AK25" s="81">
        <f>IF(E25=$AK$6,1,"")</f>
        <v/>
      </c>
      <c r="AL25" s="81">
        <f>IF(E25=$AL$6,1,"")</f>
        <v/>
      </c>
      <c r="AM25" s="81">
        <f>IF(E25=$AM$6,1,"")</f>
        <v/>
      </c>
      <c r="AN25" s="81">
        <f>IF(E25=$AN$6,1,"")</f>
        <v/>
      </c>
      <c r="AO25" s="81">
        <f>IF(E25=$AO$6,1,"")</f>
        <v/>
      </c>
      <c r="AP25" s="81">
        <f>IF(E25=$AP$6,1,"")</f>
        <v/>
      </c>
      <c r="AQ25" s="81">
        <f>IF(E25=$AQ$6,1,"")</f>
        <v/>
      </c>
      <c r="AR25" s="81">
        <f>IF(E25=$AR$6,1,"")</f>
        <v/>
      </c>
      <c r="AS25" s="81" t="n"/>
    </row>
    <row r="26" ht="15.75" customHeight="1" s="80">
      <c r="A26" s="123" t="inlineStr">
        <is>
          <t>Rochelle Johnson</t>
        </is>
      </c>
      <c r="B26" s="124" t="inlineStr">
        <is>
          <t>07/22/2025</t>
        </is>
      </c>
      <c r="C26" s="125" t="inlineStr">
        <is>
          <t>ju212043</t>
        </is>
      </c>
      <c r="D26" s="126" t="inlineStr">
        <is>
          <t>Jesse</t>
        </is>
      </c>
      <c r="E26" s="127" t="inlineStr">
        <is>
          <t>COU TW</t>
        </is>
      </c>
      <c r="F26" s="128" t="n">
        <v>30</v>
      </c>
      <c r="G26" s="129" t="n"/>
      <c r="H26" s="130" t="n"/>
      <c r="I26" s="131" t="n"/>
      <c r="J26" s="131">
        <f>IF(COUNTIF(B26:E26,"*")=0,"",IF(T26=1,"Invalid Service",IF(AND(V26=1,F26=""),"Add Session Mins",IF(AND(E26&gt;0,H26="",T26=""),"Enter Contract Rate",IF(AND(E26="IEP mtg, prep, rept",F26&gt;0),(G26*H26),IF(AND(E26&gt;0,F26&gt;0,H26&gt;0,I26=""),"Enter Travel",IF(AND(F26&gt;0,I26="Y"),(G26*H26)+$M$10,IF(AND(F26&gt;0,I26="N"),(G26*H26),H26))))))))</f>
        <v/>
      </c>
      <c r="K26" s="132">
        <f>J26</f>
        <v/>
      </c>
      <c r="L26" s="148" t="n"/>
      <c r="M26" s="148" t="n"/>
      <c r="N26" s="148" t="n"/>
      <c r="O26" s="87" t="n"/>
      <c r="P26" s="81" t="n"/>
      <c r="Q26" s="81" t="n"/>
      <c r="R26" s="135" t="inlineStr">
        <is>
          <t>Func Behav Assessment</t>
        </is>
      </c>
      <c r="S26" s="135" t="n"/>
      <c r="T26" s="136">
        <f>IF(AND(E26&gt;0,U26=0),1,"")</f>
        <v/>
      </c>
      <c r="U26" s="136">
        <f>SUM(X26:AR26)</f>
        <v/>
      </c>
      <c r="V26" s="136">
        <f>IF(E26=$Q$16,0,SUM(X26:AI26))</f>
        <v/>
      </c>
      <c r="W26" s="136">
        <f>SUM(AK26:AR26)</f>
        <v/>
      </c>
      <c r="X26" s="136">
        <f>IF(E26=$X$6,1,"")</f>
        <v/>
      </c>
      <c r="Y26" s="136">
        <f>IF(E26=$Y$6,1,"")</f>
        <v/>
      </c>
      <c r="Z26" s="136">
        <f>IF(E26=$Z$6,1,"")</f>
        <v/>
      </c>
      <c r="AA26" s="136">
        <f>IF(E26=$AA$6,1,"")</f>
        <v/>
      </c>
      <c r="AB26" s="136">
        <f>IF(E26=$AB$6,1,"")</f>
        <v/>
      </c>
      <c r="AC26" s="136">
        <f>IF(E26=$AC$6,1,"")</f>
        <v/>
      </c>
      <c r="AD26" s="136">
        <f>IF(E26=$AD$6,1,"")</f>
        <v/>
      </c>
      <c r="AE26" s="136">
        <f>IF(E26=$AE$6,1,"")</f>
        <v/>
      </c>
      <c r="AF26" s="136">
        <f>IF(E26=$AF$6,1,"")</f>
        <v/>
      </c>
      <c r="AG26" s="136">
        <f>IF(E26=$AG$6,1,"")</f>
        <v/>
      </c>
      <c r="AH26" s="136">
        <f>IF(E26=$AH$6,1,"")</f>
        <v/>
      </c>
      <c r="AI26" s="136">
        <f>IF(E26=$AI$6,1,"")</f>
        <v/>
      </c>
      <c r="AJ26" s="136">
        <f>IF(E26=$AJ$6,1,"")</f>
        <v/>
      </c>
      <c r="AK26" s="81">
        <f>IF(E26=$AK$6,1,"")</f>
        <v/>
      </c>
      <c r="AL26" s="81">
        <f>IF(E26=$AL$6,1,"")</f>
        <v/>
      </c>
      <c r="AM26" s="81">
        <f>IF(E26=$AM$6,1,"")</f>
        <v/>
      </c>
      <c r="AN26" s="81">
        <f>IF(E26=$AN$6,1,"")</f>
        <v/>
      </c>
      <c r="AO26" s="81">
        <f>IF(E26=$AO$6,1,"")</f>
        <v/>
      </c>
      <c r="AP26" s="81">
        <f>IF(E26=$AP$6,1,"")</f>
        <v/>
      </c>
      <c r="AQ26" s="81">
        <f>IF(E26=$AQ$6,1,"")</f>
        <v/>
      </c>
      <c r="AR26" s="81">
        <f>IF(E26=$AR$6,1,"")</f>
        <v/>
      </c>
      <c r="AS26" s="81" t="n"/>
    </row>
    <row r="27" ht="15.75" customHeight="1" s="80">
      <c r="A27" s="123" t="inlineStr">
        <is>
          <t>Rochelle Johnson</t>
        </is>
      </c>
      <c r="B27" s="124" t="inlineStr">
        <is>
          <t>07/29/2025</t>
        </is>
      </c>
      <c r="C27" s="125" t="inlineStr">
        <is>
          <t>ju212043</t>
        </is>
      </c>
      <c r="D27" s="126" t="inlineStr">
        <is>
          <t>Jesse</t>
        </is>
      </c>
      <c r="E27" s="127" t="inlineStr">
        <is>
          <t>COU TW</t>
        </is>
      </c>
      <c r="F27" s="128" t="n">
        <v>30</v>
      </c>
      <c r="G27" s="129" t="n"/>
      <c r="H27" s="130" t="n"/>
      <c r="I27" s="131" t="n"/>
      <c r="J27" s="131">
        <f>IF(COUNTIF(B27:E27,"*")=0,"",IF(T27=1,"Invalid Service",IF(AND(V27=1,F27=""),"Add Session Mins",IF(AND(E27&gt;0,H27="",T27=""),"Enter Contract Rate",IF(AND(E27="IEP mtg, prep, rept",F27&gt;0),(G27*H27),IF(AND(E27&gt;0,F27&gt;0,H27&gt;0,I27=""),"Enter Travel",IF(AND(F27&gt;0,I27="Y"),(G27*H27)+$M$10,IF(AND(F27&gt;0,I27="N"),(G27*H27),H27))))))))</f>
        <v/>
      </c>
      <c r="K27" s="132">
        <f>J27</f>
        <v/>
      </c>
      <c r="L27" s="148" t="n"/>
      <c r="M27" s="148" t="n"/>
      <c r="N27" s="148" t="n"/>
      <c r="O27" s="87" t="n"/>
      <c r="P27" s="81" t="n"/>
      <c r="Q27" s="81" t="n"/>
      <c r="R27" s="135" t="inlineStr">
        <is>
          <t>O &amp; M Eval</t>
        </is>
      </c>
      <c r="S27" s="135" t="n"/>
      <c r="T27" s="136">
        <f>IF(AND(E27&gt;0,U27=0),1,"")</f>
        <v/>
      </c>
      <c r="U27" s="136">
        <f>SUM(X27:AR27)</f>
        <v/>
      </c>
      <c r="V27" s="136">
        <f>IF(E27=$Q$16,0,SUM(X27:AI27))</f>
        <v/>
      </c>
      <c r="W27" s="136">
        <f>SUM(AK27:AR27)</f>
        <v/>
      </c>
      <c r="X27" s="136">
        <f>IF(E27=$X$6,1,"")</f>
        <v/>
      </c>
      <c r="Y27" s="136">
        <f>IF(E27=$Y$6,1,"")</f>
        <v/>
      </c>
      <c r="Z27" s="136">
        <f>IF(E27=$Z$6,1,"")</f>
        <v/>
      </c>
      <c r="AA27" s="136">
        <f>IF(E27=$AA$6,1,"")</f>
        <v/>
      </c>
      <c r="AB27" s="136">
        <f>IF(E27=$AB$6,1,"")</f>
        <v/>
      </c>
      <c r="AC27" s="136">
        <f>IF(E27=$AC$6,1,"")</f>
        <v/>
      </c>
      <c r="AD27" s="136">
        <f>IF(E27=$AD$6,1,"")</f>
        <v/>
      </c>
      <c r="AE27" s="136">
        <f>IF(E27=$AE$6,1,"")</f>
        <v/>
      </c>
      <c r="AF27" s="136">
        <f>IF(E27=$AF$6,1,"")</f>
        <v/>
      </c>
      <c r="AG27" s="136">
        <f>IF(E27=$AG$6,1,"")</f>
        <v/>
      </c>
      <c r="AH27" s="136">
        <f>IF(E27=$AH$6,1,"")</f>
        <v/>
      </c>
      <c r="AI27" s="136">
        <f>IF(E27=$AI$6,1,"")</f>
        <v/>
      </c>
      <c r="AJ27" s="136">
        <f>IF(E27=$AJ$6,1,"")</f>
        <v/>
      </c>
      <c r="AK27" s="81">
        <f>IF(E27=$AK$6,1,"")</f>
        <v/>
      </c>
      <c r="AL27" s="81">
        <f>IF(E27=$AL$6,1,"")</f>
        <v/>
      </c>
      <c r="AM27" s="81">
        <f>IF(E27=$AM$6,1,"")</f>
        <v/>
      </c>
      <c r="AN27" s="81">
        <f>IF(E27=$AN$6,1,"")</f>
        <v/>
      </c>
      <c r="AO27" s="81">
        <f>IF(E27=$AO$6,1,"")</f>
        <v/>
      </c>
      <c r="AP27" s="81">
        <f>IF(E27=$AP$6,1,"")</f>
        <v/>
      </c>
      <c r="AQ27" s="81">
        <f>IF(E27=$AQ$6,1,"")</f>
        <v/>
      </c>
      <c r="AR27" s="81">
        <f>IF(E27=$AR$6,1,"")</f>
        <v/>
      </c>
      <c r="AS27" s="81" t="n"/>
    </row>
    <row r="28" ht="15.75" customHeight="1" s="80">
      <c r="A28" s="123" t="inlineStr">
        <is>
          <t>Patricia Tacchino</t>
        </is>
      </c>
      <c r="B28" s="124" t="inlineStr">
        <is>
          <t>07/16/2025</t>
        </is>
      </c>
      <c r="C28" s="125" t="inlineStr">
        <is>
          <t>jb199732</t>
        </is>
      </c>
      <c r="D28" s="126" t="inlineStr">
        <is>
          <t>John Beckman</t>
        </is>
      </c>
      <c r="E28" s="127" t="inlineStr">
        <is>
          <t>COU TW</t>
        </is>
      </c>
      <c r="F28" s="128" t="n">
        <v>30</v>
      </c>
      <c r="G28" s="129" t="n"/>
      <c r="H28" s="130" t="n"/>
      <c r="I28" s="131" t="n"/>
      <c r="J28" s="131">
        <f>IF(COUNTIF(B28:E28,"*")=0,"",IF(T28=1,"Invalid Service",IF(AND(V28=1,F28=""),"Add Session Mins",IF(AND(E28&gt;0,H28="",T28=""),"Enter Contract Rate",IF(AND(E28="IEP mtg, prep, rept",F28&gt;0),(G28*H28),IF(AND(E28&gt;0,F28&gt;0,H28&gt;0,I28=""),"Enter Travel",IF(AND(F28&gt;0,I28="Y"),(G28*H28)+$M$10,IF(AND(F28&gt;0,I28="N"),(G28*H28),H28))))))))</f>
        <v/>
      </c>
      <c r="K28" s="132">
        <f>J28</f>
        <v/>
      </c>
      <c r="L28" s="148" t="n"/>
      <c r="M28" s="148" t="n"/>
      <c r="N28" s="148" t="n"/>
      <c r="O28" s="87" t="n"/>
      <c r="P28" s="81" t="n"/>
      <c r="Q28" s="81" t="n"/>
      <c r="R28" s="135" t="inlineStr">
        <is>
          <t>Psych Eval</t>
        </is>
      </c>
      <c r="S28" s="135" t="n"/>
      <c r="T28" s="136">
        <f>IF(AND(E28&gt;0,U28=0),1,"")</f>
        <v/>
      </c>
      <c r="U28" s="136">
        <f>SUM(X28:AR28)</f>
        <v/>
      </c>
      <c r="V28" s="136">
        <f>IF(E28=$Q$16,0,SUM(X28:AI28))</f>
        <v/>
      </c>
      <c r="W28" s="136">
        <f>SUM(AK28:AR28)</f>
        <v/>
      </c>
      <c r="X28" s="136">
        <f>IF(E28=$X$6,1,"")</f>
        <v/>
      </c>
      <c r="Y28" s="136">
        <f>IF(E28=$Y$6,1,"")</f>
        <v/>
      </c>
      <c r="Z28" s="136">
        <f>IF(E28=$Z$6,1,"")</f>
        <v/>
      </c>
      <c r="AA28" s="136">
        <f>IF(E28=$AA$6,1,"")</f>
        <v/>
      </c>
      <c r="AB28" s="136">
        <f>IF(E28=$AB$6,1,"")</f>
        <v/>
      </c>
      <c r="AC28" s="136">
        <f>IF(E28=$AC$6,1,"")</f>
        <v/>
      </c>
      <c r="AD28" s="136">
        <f>IF(E28=$AD$6,1,"")</f>
        <v/>
      </c>
      <c r="AE28" s="136">
        <f>IF(E28=$AE$6,1,"")</f>
        <v/>
      </c>
      <c r="AF28" s="136">
        <f>IF(E28=$AF$6,1,"")</f>
        <v/>
      </c>
      <c r="AG28" s="136">
        <f>IF(E28=$AG$6,1,"")</f>
        <v/>
      </c>
      <c r="AH28" s="136">
        <f>IF(E28=$AH$6,1,"")</f>
        <v/>
      </c>
      <c r="AI28" s="136">
        <f>IF(E28=$AI$6,1,"")</f>
        <v/>
      </c>
      <c r="AJ28" s="136">
        <f>IF(E28=$AJ$6,1,"")</f>
        <v/>
      </c>
      <c r="AK28" s="81">
        <f>IF(E28=$AK$6,1,"")</f>
        <v/>
      </c>
      <c r="AL28" s="81">
        <f>IF(E28=$AL$6,1,"")</f>
        <v/>
      </c>
      <c r="AM28" s="81">
        <f>IF(E28=$AM$6,1,"")</f>
        <v/>
      </c>
      <c r="AN28" s="81">
        <f>IF(E28=$AN$6,1,"")</f>
        <v/>
      </c>
      <c r="AO28" s="81">
        <f>IF(E28=$AO$6,1,"")</f>
        <v/>
      </c>
      <c r="AP28" s="81">
        <f>IF(E28=$AP$6,1,"")</f>
        <v/>
      </c>
      <c r="AQ28" s="81">
        <f>IF(E28=$AQ$6,1,"")</f>
        <v/>
      </c>
      <c r="AR28" s="81">
        <f>IF(E28=$AR$6,1,"")</f>
        <v/>
      </c>
      <c r="AS28" s="81" t="n"/>
    </row>
    <row r="29" ht="15.75" customHeight="1" s="80">
      <c r="A29" s="123" t="inlineStr">
        <is>
          <t>Patricia Tacchino</t>
        </is>
      </c>
      <c r="B29" s="124" t="inlineStr">
        <is>
          <t>07/21/2025</t>
        </is>
      </c>
      <c r="C29" s="125" t="inlineStr">
        <is>
          <t>jb199732</t>
        </is>
      </c>
      <c r="D29" s="126" t="inlineStr">
        <is>
          <t>John Beckman</t>
        </is>
      </c>
      <c r="E29" s="127" t="inlineStr">
        <is>
          <t>COU TW</t>
        </is>
      </c>
      <c r="F29" s="128" t="n">
        <v>30</v>
      </c>
      <c r="G29" s="129" t="n"/>
      <c r="H29" s="130" t="n"/>
      <c r="I29" s="131" t="n"/>
      <c r="J29" s="131">
        <f>IF(COUNTIF(B29:E29,"*")=0,"",IF(T29=1,"Invalid Service",IF(AND(V29=1,F29=""),"Add Session Mins",IF(AND(E29&gt;0,H29="",T29=""),"Enter Contract Rate",IF(AND(E29="IEP mtg, prep, rept",F29&gt;0),(G29*H29),IF(AND(E29&gt;0,F29&gt;0,H29&gt;0,I29=""),"Enter Travel",IF(AND(F29&gt;0,I29="Y"),(G29*H29)+$M$10,IF(AND(F29&gt;0,I29="N"),(G29*H29),H29))))))))</f>
        <v/>
      </c>
      <c r="K29" s="132">
        <f>J29</f>
        <v/>
      </c>
      <c r="L29" s="148" t="n"/>
      <c r="M29" s="148" t="n"/>
      <c r="N29" s="148" t="n"/>
      <c r="O29" s="87" t="n"/>
      <c r="P29" s="81" t="n"/>
      <c r="Q29" s="81" t="n"/>
      <c r="R29" s="135" t="inlineStr">
        <is>
          <t>Speech Eval</t>
        </is>
      </c>
      <c r="S29" s="135" t="n"/>
      <c r="T29" s="136">
        <f>IF(AND(E29&gt;0,U29=0),1,"")</f>
        <v/>
      </c>
      <c r="U29" s="136">
        <f>SUM(X29:AR29)</f>
        <v/>
      </c>
      <c r="V29" s="136">
        <f>IF(E29=$Q$16,0,SUM(X29:AI29))</f>
        <v/>
      </c>
      <c r="W29" s="136">
        <f>SUM(AK29:AR29)</f>
        <v/>
      </c>
      <c r="X29" s="136">
        <f>IF(E29=$X$6,1,"")</f>
        <v/>
      </c>
      <c r="Y29" s="136">
        <f>IF(E29=$Y$6,1,"")</f>
        <v/>
      </c>
      <c r="Z29" s="136">
        <f>IF(E29=$Z$6,1,"")</f>
        <v/>
      </c>
      <c r="AA29" s="136">
        <f>IF(E29=$AA$6,1,"")</f>
        <v/>
      </c>
      <c r="AB29" s="136">
        <f>IF(E29=$AB$6,1,"")</f>
        <v/>
      </c>
      <c r="AC29" s="136">
        <f>IF(E29=$AC$6,1,"")</f>
        <v/>
      </c>
      <c r="AD29" s="136">
        <f>IF(E29=$AD$6,1,"")</f>
        <v/>
      </c>
      <c r="AE29" s="136">
        <f>IF(E29=$AE$6,1,"")</f>
        <v/>
      </c>
      <c r="AF29" s="136">
        <f>IF(E29=$AF$6,1,"")</f>
        <v/>
      </c>
      <c r="AG29" s="136">
        <f>IF(E29=$AG$6,1,"")</f>
        <v/>
      </c>
      <c r="AH29" s="136">
        <f>IF(E29=$AH$6,1,"")</f>
        <v/>
      </c>
      <c r="AI29" s="136">
        <f>IF(E29=$AI$6,1,"")</f>
        <v/>
      </c>
      <c r="AJ29" s="136">
        <f>IF(E29=$AJ$6,1,"")</f>
        <v/>
      </c>
      <c r="AK29" s="81">
        <f>IF(E29=$AK$6,1,"")</f>
        <v/>
      </c>
      <c r="AL29" s="81">
        <f>IF(E29=$AL$6,1,"")</f>
        <v/>
      </c>
      <c r="AM29" s="81">
        <f>IF(E29=$AM$6,1,"")</f>
        <v/>
      </c>
      <c r="AN29" s="81">
        <f>IF(E29=$AN$6,1,"")</f>
        <v/>
      </c>
      <c r="AO29" s="81">
        <f>IF(E29=$AO$6,1,"")</f>
        <v/>
      </c>
      <c r="AP29" s="81">
        <f>IF(E29=$AP$6,1,"")</f>
        <v/>
      </c>
      <c r="AQ29" s="81">
        <f>IF(E29=$AQ$6,1,"")</f>
        <v/>
      </c>
      <c r="AR29" s="81">
        <f>IF(E29=$AR$6,1,"")</f>
        <v/>
      </c>
      <c r="AS29" s="81" t="n"/>
    </row>
    <row r="30" ht="15.75" customHeight="1" s="80">
      <c r="A30" s="123" t="inlineStr">
        <is>
          <t>Patricia Tacchino</t>
        </is>
      </c>
      <c r="B30" s="124" t="inlineStr">
        <is>
          <t>07/24/2025</t>
        </is>
      </c>
      <c r="C30" s="125" t="inlineStr">
        <is>
          <t>jb199732</t>
        </is>
      </c>
      <c r="D30" s="126" t="inlineStr">
        <is>
          <t>John Beckman</t>
        </is>
      </c>
      <c r="E30" s="127" t="inlineStr">
        <is>
          <t>COU TW</t>
        </is>
      </c>
      <c r="F30" s="128" t="n">
        <v>30</v>
      </c>
      <c r="G30" s="129" t="n"/>
      <c r="H30" s="130" t="n"/>
      <c r="I30" s="131" t="n"/>
      <c r="J30" s="131">
        <f>IF(COUNTIF(B30:E30,"*")=0,"",IF(T30=1,"Invalid Service",IF(AND(V30=1,F30=""),"Add Session Mins",IF(AND(E30&gt;0,H30="",T30=""),"Enter Contract Rate",IF(AND(E30="IEP mtg, prep, rept",F30&gt;0),(G30*H30),IF(AND(E30&gt;0,F30&gt;0,H30&gt;0,I30=""),"Enter Travel",IF(AND(F30&gt;0,I30="Y"),(G30*H30)+$M$10,IF(AND(F30&gt;0,I30="N"),(G30*H30),H30))))))))</f>
        <v/>
      </c>
      <c r="K30" s="132">
        <f>J30</f>
        <v/>
      </c>
      <c r="L30" s="148" t="n"/>
      <c r="M30" s="148" t="n"/>
      <c r="N30" s="148" t="n"/>
      <c r="O30" s="87" t="n"/>
      <c r="P30" s="81" t="n"/>
      <c r="Q30" s="81" t="n"/>
      <c r="R30" s="135" t="inlineStr">
        <is>
          <t>OT Eval</t>
        </is>
      </c>
      <c r="S30" s="135" t="n"/>
      <c r="T30" s="136">
        <f>IF(AND(E30&gt;0,U30=0),1,"")</f>
        <v/>
      </c>
      <c r="U30" s="136">
        <f>SUM(X30:AR30)</f>
        <v/>
      </c>
      <c r="V30" s="136">
        <f>IF(E30=$Q$16,0,SUM(X30:AI30))</f>
        <v/>
      </c>
      <c r="W30" s="136">
        <f>SUM(AK30:AR30)</f>
        <v/>
      </c>
      <c r="X30" s="136">
        <f>IF(E30=$X$6,1,"")</f>
        <v/>
      </c>
      <c r="Y30" s="136">
        <f>IF(E30=$Y$6,1,"")</f>
        <v/>
      </c>
      <c r="Z30" s="136">
        <f>IF(E30=$Z$6,1,"")</f>
        <v/>
      </c>
      <c r="AA30" s="136">
        <f>IF(E30=$AA$6,1,"")</f>
        <v/>
      </c>
      <c r="AB30" s="136">
        <f>IF(E30=$AB$6,1,"")</f>
        <v/>
      </c>
      <c r="AC30" s="136">
        <f>IF(E30=$AC$6,1,"")</f>
        <v/>
      </c>
      <c r="AD30" s="136">
        <f>IF(E30=$AD$6,1,"")</f>
        <v/>
      </c>
      <c r="AE30" s="136">
        <f>IF(E30=$AE$6,1,"")</f>
        <v/>
      </c>
      <c r="AF30" s="136">
        <f>IF(E30=$AF$6,1,"")</f>
        <v/>
      </c>
      <c r="AG30" s="136">
        <f>IF(E30=$AG$6,1,"")</f>
        <v/>
      </c>
      <c r="AH30" s="136">
        <f>IF(E30=$AH$6,1,"")</f>
        <v/>
      </c>
      <c r="AI30" s="136">
        <f>IF(E30=$AI$6,1,"")</f>
        <v/>
      </c>
      <c r="AJ30" s="136">
        <f>IF(E30=$AJ$6,1,"")</f>
        <v/>
      </c>
      <c r="AK30" s="81">
        <f>IF(E30=$AK$6,1,"")</f>
        <v/>
      </c>
      <c r="AL30" s="81">
        <f>IF(E30=$AL$6,1,"")</f>
        <v/>
      </c>
      <c r="AM30" s="81">
        <f>IF(E30=$AM$6,1,"")</f>
        <v/>
      </c>
      <c r="AN30" s="81">
        <f>IF(E30=$AN$6,1,"")</f>
        <v/>
      </c>
      <c r="AO30" s="81">
        <f>IF(E30=$AO$6,1,"")</f>
        <v/>
      </c>
      <c r="AP30" s="81">
        <f>IF(E30=$AP$6,1,"")</f>
        <v/>
      </c>
      <c r="AQ30" s="81">
        <f>IF(E30=$AQ$6,1,"")</f>
        <v/>
      </c>
      <c r="AR30" s="81">
        <f>IF(E30=$AR$6,1,"")</f>
        <v/>
      </c>
      <c r="AS30" s="81" t="n"/>
    </row>
    <row r="31" ht="15.75" customHeight="1" s="80">
      <c r="A31" s="123" t="inlineStr">
        <is>
          <t>Patricia Tacchino</t>
        </is>
      </c>
      <c r="B31" s="124" t="inlineStr">
        <is>
          <t>07/29/2025</t>
        </is>
      </c>
      <c r="C31" s="125" t="inlineStr">
        <is>
          <t>jb199732</t>
        </is>
      </c>
      <c r="D31" s="126" t="inlineStr">
        <is>
          <t>John Beckman</t>
        </is>
      </c>
      <c r="E31" s="127" t="inlineStr">
        <is>
          <t>COU TW</t>
        </is>
      </c>
      <c r="F31" s="128" t="n">
        <v>30</v>
      </c>
      <c r="G31" s="129" t="n"/>
      <c r="H31" s="130" t="n"/>
      <c r="I31" s="131" t="n"/>
      <c r="J31" s="131">
        <f>IF(COUNTIF(B31:E31,"*")=0,"",IF(T31=1,"Invalid Service",IF(AND(V31=1,F31=""),"Add Session Mins",IF(AND(E31&gt;0,H31="",T31=""),"Enter Contract Rate",IF(AND(E31="IEP mtg, prep, rept",F31&gt;0),(G31*H31),IF(AND(E31&gt;0,F31&gt;0,H31&gt;0,I31=""),"Enter Travel",IF(AND(F31&gt;0,I31="Y"),(G31*H31)+$M$10,IF(AND(F31&gt;0,I31="N"),(G31*H31),H31))))))))</f>
        <v/>
      </c>
      <c r="K31" s="132">
        <f>J31</f>
        <v/>
      </c>
      <c r="L31" s="148" t="n"/>
      <c r="M31" s="148" t="n"/>
      <c r="N31" s="148" t="n"/>
      <c r="O31" s="87" t="n"/>
      <c r="P31" s="81" t="n"/>
      <c r="Q31" s="81" t="n"/>
      <c r="R31" s="135" t="inlineStr">
        <is>
          <t>PT Eval</t>
        </is>
      </c>
      <c r="S31" s="135" t="n"/>
      <c r="T31" s="136">
        <f>IF(AND(E31&gt;0,U31=0),1,"")</f>
        <v/>
      </c>
      <c r="U31" s="136">
        <f>SUM(X31:AR31)</f>
        <v/>
      </c>
      <c r="V31" s="136">
        <f>IF(E31=$Q$16,0,SUM(X31:AI31))</f>
        <v/>
      </c>
      <c r="W31" s="136">
        <f>SUM(AK31:AR31)</f>
        <v/>
      </c>
      <c r="X31" s="136">
        <f>IF(E31=$X$6,1,"")</f>
        <v/>
      </c>
      <c r="Y31" s="136">
        <f>IF(E31=$Y$6,1,"")</f>
        <v/>
      </c>
      <c r="Z31" s="136">
        <f>IF(E31=$Z$6,1,"")</f>
        <v/>
      </c>
      <c r="AA31" s="136">
        <f>IF(E31=$AA$6,1,"")</f>
        <v/>
      </c>
      <c r="AB31" s="136">
        <f>IF(E31=$AB$6,1,"")</f>
        <v/>
      </c>
      <c r="AC31" s="136">
        <f>IF(E31=$AC$6,1,"")</f>
        <v/>
      </c>
      <c r="AD31" s="136">
        <f>IF(E31=$AD$6,1,"")</f>
        <v/>
      </c>
      <c r="AE31" s="136">
        <f>IF(E31=$AE$6,1,"")</f>
        <v/>
      </c>
      <c r="AF31" s="136">
        <f>IF(E31=$AF$6,1,"")</f>
        <v/>
      </c>
      <c r="AG31" s="136">
        <f>IF(E31=$AG$6,1,"")</f>
        <v/>
      </c>
      <c r="AH31" s="136">
        <f>IF(E31=$AH$6,1,"")</f>
        <v/>
      </c>
      <c r="AI31" s="136">
        <f>IF(E31=$AI$6,1,"")</f>
        <v/>
      </c>
      <c r="AJ31" s="136">
        <f>IF(E31=$AJ$6,1,"")</f>
        <v/>
      </c>
      <c r="AK31" s="81">
        <f>IF(E31=$AK$6,1,"")</f>
        <v/>
      </c>
      <c r="AL31" s="81">
        <f>IF(E31=$AL$6,1,"")</f>
        <v/>
      </c>
      <c r="AM31" s="81">
        <f>IF(E31=$AM$6,1,"")</f>
        <v/>
      </c>
      <c r="AN31" s="81">
        <f>IF(E31=$AN$6,1,"")</f>
        <v/>
      </c>
      <c r="AO31" s="81">
        <f>IF(E31=$AO$6,1,"")</f>
        <v/>
      </c>
      <c r="AP31" s="81">
        <f>IF(E31=$AP$6,1,"")</f>
        <v/>
      </c>
      <c r="AQ31" s="81">
        <f>IF(E31=$AQ$6,1,"")</f>
        <v/>
      </c>
      <c r="AR31" s="81">
        <f>IF(E31=$AR$6,1,"")</f>
        <v/>
      </c>
      <c r="AS31" s="81" t="n"/>
    </row>
    <row r="32" ht="15.75" customHeight="1" s="80">
      <c r="A32" s="123" t="inlineStr">
        <is>
          <t>Liana Rabadi</t>
        </is>
      </c>
      <c r="B32" s="124" t="inlineStr">
        <is>
          <t>07/11/2025</t>
        </is>
      </c>
      <c r="C32" s="125" t="inlineStr">
        <is>
          <t>jg213260</t>
        </is>
      </c>
      <c r="D32" s="126" t="inlineStr">
        <is>
          <t>Jon Paul</t>
        </is>
      </c>
      <c r="E32" s="127" t="inlineStr">
        <is>
          <t>PT TW</t>
        </is>
      </c>
      <c r="F32" s="128" t="n">
        <v>30</v>
      </c>
      <c r="G32" s="129" t="n"/>
      <c r="H32" s="130" t="n"/>
      <c r="I32" s="131" t="n"/>
      <c r="J32" s="130">
        <f>IF(COUNTIF(B32:E32,"*")=0,"",IF(T32=1,"Invalid Service",IF(AND(V32=1,F32=""),"Add Session Mins",IF(AND(E32&gt;0,H32="",T32=""),"Enter Contract Rate",IF(AND(E32="IEP mtg, prep, rept",F32&gt;0),(G32*H32),IF(AND(E32&gt;0,F32&gt;0,H32&gt;0,I32=""),"Enter Travel",IF(AND(F32&gt;0,I32="Y"),(G32*H32)+$M$10,IF(AND(F32&gt;0,I32="N"),(G32*H32),H32))))))))</f>
        <v/>
      </c>
      <c r="K32" s="132">
        <f>J32</f>
        <v/>
      </c>
      <c r="L32" s="148" t="n"/>
      <c r="M32" s="148" t="n"/>
      <c r="N32" s="148" t="n"/>
      <c r="O32" s="87" t="n"/>
      <c r="P32" s="81" t="n"/>
      <c r="Q32" s="81" t="n"/>
      <c r="R32" s="135" t="n"/>
      <c r="S32" s="135" t="n"/>
      <c r="T32" s="136">
        <f>IF(AND(E32&gt;0,U32=0),1,"")</f>
        <v/>
      </c>
      <c r="U32" s="136">
        <f>SUM(X32:AR32)</f>
        <v/>
      </c>
      <c r="V32" s="136">
        <f>IF(E32=$Q$16,0,SUM(X32:AI32))</f>
        <v/>
      </c>
      <c r="W32" s="136">
        <f>SUM(AK32:AR32)</f>
        <v/>
      </c>
      <c r="X32" s="136">
        <f>IF(E32=$X$6,1,"")</f>
        <v/>
      </c>
      <c r="Y32" s="136">
        <f>IF(E32=$Y$6,1,"")</f>
        <v/>
      </c>
      <c r="Z32" s="136">
        <f>IF(E32=$Z$6,1,"")</f>
        <v/>
      </c>
      <c r="AA32" s="136">
        <f>IF(E32=$AA$6,1,"")</f>
        <v/>
      </c>
      <c r="AB32" s="136">
        <f>IF(E32=$AB$6,1,"")</f>
        <v/>
      </c>
      <c r="AC32" s="136">
        <f>IF(E32=$AC$6,1,"")</f>
        <v/>
      </c>
      <c r="AD32" s="136">
        <f>IF(E32=$AD$6,1,"")</f>
        <v/>
      </c>
      <c r="AE32" s="136">
        <f>IF(E32=$AE$6,1,"")</f>
        <v/>
      </c>
      <c r="AF32" s="136">
        <f>IF(E32=$AF$6,1,"")</f>
        <v/>
      </c>
      <c r="AG32" s="136">
        <f>IF(E32=$AG$6,1,"")</f>
        <v/>
      </c>
      <c r="AH32" s="136">
        <f>IF(E32=$AH$6,1,"")</f>
        <v/>
      </c>
      <c r="AI32" s="136">
        <f>IF(E32=$AI$6,1,"")</f>
        <v/>
      </c>
      <c r="AJ32" s="136">
        <f>IF(E32=$AJ$6,1,"")</f>
        <v/>
      </c>
      <c r="AK32" s="81">
        <f>IF(E32=$AK$6,1,"")</f>
        <v/>
      </c>
      <c r="AL32" s="81">
        <f>IF(E32=$AL$6,1,"")</f>
        <v/>
      </c>
      <c r="AM32" s="81">
        <f>IF(E32=$AM$6,1,"")</f>
        <v/>
      </c>
      <c r="AN32" s="81">
        <f>IF(E32=$AN$6,1,"")</f>
        <v/>
      </c>
      <c r="AO32" s="81">
        <f>IF(E32=$AO$6,1,"")</f>
        <v/>
      </c>
      <c r="AP32" s="81">
        <f>IF(E32=$AP$6,1,"")</f>
        <v/>
      </c>
      <c r="AQ32" s="81">
        <f>IF(E32=$AQ$6,1,"")</f>
        <v/>
      </c>
      <c r="AR32" s="81">
        <f>IF(E32=$AR$6,1,"")</f>
        <v/>
      </c>
      <c r="AS32" s="81" t="n"/>
    </row>
    <row r="33" ht="15.75" customHeight="1" s="80">
      <c r="A33" s="123" t="inlineStr">
        <is>
          <t>Liana Rabadi</t>
        </is>
      </c>
      <c r="B33" s="124" t="inlineStr">
        <is>
          <t>07/17/2025</t>
        </is>
      </c>
      <c r="C33" s="125" t="inlineStr">
        <is>
          <t>jg213260</t>
        </is>
      </c>
      <c r="D33" s="126" t="inlineStr">
        <is>
          <t>Jon Paul</t>
        </is>
      </c>
      <c r="E33" s="127" t="inlineStr">
        <is>
          <t>PT TW</t>
        </is>
      </c>
      <c r="F33" s="128" t="n">
        <v>30</v>
      </c>
      <c r="G33" s="129" t="n"/>
      <c r="H33" s="130" t="n"/>
      <c r="I33" s="131" t="n"/>
      <c r="J33" s="131">
        <f>IF(COUNTIF(B33:E33,"*")=0,"",IF(T33=1,"Invalid Service",IF(AND(V33=1,F33=""),"Add Session Mins",IF(AND(E33&gt;0,H33="",T33=""),"Enter Contract Rate",IF(AND(E33="IEP mtg, prep, rept",F33&gt;0),(G33*H33),IF(AND(E33&gt;0,F33&gt;0,H33&gt;0,I33=""),"Enter Travel",IF(AND(F33&gt;0,I33="Y"),(G33*H33)+$M$10,IF(AND(F33&gt;0,I33="N"),(G33*H33),H33))))))))</f>
        <v/>
      </c>
      <c r="K33" s="132">
        <f>J33</f>
        <v/>
      </c>
      <c r="L33" s="148" t="n"/>
      <c r="M33" s="148" t="n"/>
      <c r="N33" s="148" t="n"/>
      <c r="O33" s="87" t="n"/>
      <c r="P33" s="81" t="n"/>
      <c r="Q33" s="81" t="n"/>
      <c r="R33" s="135" t="n"/>
      <c r="S33" s="135" t="n"/>
      <c r="T33" s="136">
        <f>IF(AND(E33&gt;0,U33=0),1,"")</f>
        <v/>
      </c>
      <c r="U33" s="136">
        <f>SUM(X33:AR33)</f>
        <v/>
      </c>
      <c r="V33" s="136">
        <f>IF(E33=$Q$16,0,SUM(X33:AI33))</f>
        <v/>
      </c>
      <c r="W33" s="136">
        <f>SUM(AK33:AR33)</f>
        <v/>
      </c>
      <c r="X33" s="136">
        <f>IF(E33=$X$6,1,"")</f>
        <v/>
      </c>
      <c r="Y33" s="136">
        <f>IF(E33=$Y$6,1,"")</f>
        <v/>
      </c>
      <c r="Z33" s="136">
        <f>IF(E33=$Z$6,1,"")</f>
        <v/>
      </c>
      <c r="AA33" s="136">
        <f>IF(E33=$AA$6,1,"")</f>
        <v/>
      </c>
      <c r="AB33" s="136">
        <f>IF(E33=$AB$6,1,"")</f>
        <v/>
      </c>
      <c r="AC33" s="136">
        <f>IF(E33=$AC$6,1,"")</f>
        <v/>
      </c>
      <c r="AD33" s="136">
        <f>IF(E33=$AD$6,1,"")</f>
        <v/>
      </c>
      <c r="AE33" s="136">
        <f>IF(E33=$AE$6,1,"")</f>
        <v/>
      </c>
      <c r="AF33" s="136">
        <f>IF(E33=$AF$6,1,"")</f>
        <v/>
      </c>
      <c r="AG33" s="136">
        <f>IF(E33=$AG$6,1,"")</f>
        <v/>
      </c>
      <c r="AH33" s="136">
        <f>IF(E33=$AH$6,1,"")</f>
        <v/>
      </c>
      <c r="AI33" s="136">
        <f>IF(E33=$AI$6,1,"")</f>
        <v/>
      </c>
      <c r="AJ33" s="136">
        <f>IF(E33=$AJ$6,1,"")</f>
        <v/>
      </c>
      <c r="AK33" s="81">
        <f>IF(E33=$AK$6,1,"")</f>
        <v/>
      </c>
      <c r="AL33" s="81">
        <f>IF(E33=$AL$6,1,"")</f>
        <v/>
      </c>
      <c r="AM33" s="81">
        <f>IF(E33=$AM$6,1,"")</f>
        <v/>
      </c>
      <c r="AN33" s="81">
        <f>IF(E33=$AN$6,1,"")</f>
        <v/>
      </c>
      <c r="AO33" s="81">
        <f>IF(E33=$AO$6,1,"")</f>
        <v/>
      </c>
      <c r="AP33" s="81">
        <f>IF(E33=$AP$6,1,"")</f>
        <v/>
      </c>
      <c r="AQ33" s="81">
        <f>IF(E33=$AQ$6,1,"")</f>
        <v/>
      </c>
      <c r="AR33" s="81">
        <f>IF(E33=$AR$6,1,"")</f>
        <v/>
      </c>
      <c r="AS33" s="81" t="n"/>
    </row>
    <row r="34" ht="15.75" customHeight="1" s="80">
      <c r="A34" s="123" t="inlineStr">
        <is>
          <t>Liana Rabadi</t>
        </is>
      </c>
      <c r="B34" s="124" t="inlineStr">
        <is>
          <t>07/24/2025</t>
        </is>
      </c>
      <c r="C34" s="125" t="inlineStr">
        <is>
          <t>jg213260</t>
        </is>
      </c>
      <c r="D34" s="126" t="inlineStr">
        <is>
          <t>Jon Paul</t>
        </is>
      </c>
      <c r="E34" s="127" t="inlineStr">
        <is>
          <t>PT TW</t>
        </is>
      </c>
      <c r="F34" s="128" t="n">
        <v>30</v>
      </c>
      <c r="G34" s="129" t="n"/>
      <c r="H34" s="130" t="n"/>
      <c r="I34" s="131" t="n"/>
      <c r="J34" s="131">
        <f>IF(COUNTIF(B34:E34,"*")=0,"",IF(T34=1,"Invalid Service",IF(AND(V34=1,F34=""),"Add Session Mins",IF(AND(E34&gt;0,H34="",T34=""),"Enter Contract Rate",IF(AND(E34="IEP mtg, prep, rept",F34&gt;0),(G34*H34),IF(AND(E34&gt;0,F34&gt;0,H34&gt;0,I34=""),"Enter Travel",IF(AND(F34&gt;0,I34="Y"),(G34*H34)+$M$10,IF(AND(F34&gt;0,I34="N"),(G34*H34),H34))))))))</f>
        <v/>
      </c>
      <c r="K34" s="132">
        <f>J34</f>
        <v/>
      </c>
      <c r="L34" s="148" t="n"/>
      <c r="M34" s="148" t="n"/>
      <c r="N34" s="148" t="n"/>
      <c r="O34" s="87" t="n"/>
      <c r="P34" s="81" t="n"/>
      <c r="Q34" s="81" t="n"/>
      <c r="R34" s="135" t="n"/>
      <c r="S34" s="135" t="n"/>
      <c r="T34" s="136">
        <f>IF(AND(E34&gt;0,U34=0),1,"")</f>
        <v/>
      </c>
      <c r="U34" s="136">
        <f>SUM(X34:AR34)</f>
        <v/>
      </c>
      <c r="V34" s="136">
        <f>IF(E34=$Q$16,0,SUM(X34:AI34))</f>
        <v/>
      </c>
      <c r="W34" s="136">
        <f>SUM(AK34:AR34)</f>
        <v/>
      </c>
      <c r="X34" s="136">
        <f>IF(E34=$X$6,1,"")</f>
        <v/>
      </c>
      <c r="Y34" s="136">
        <f>IF(E34=$Y$6,1,"")</f>
        <v/>
      </c>
      <c r="Z34" s="136">
        <f>IF(E34=$Z$6,1,"")</f>
        <v/>
      </c>
      <c r="AA34" s="136">
        <f>IF(E34=$AA$6,1,"")</f>
        <v/>
      </c>
      <c r="AB34" s="136">
        <f>IF(E34=$AB$6,1,"")</f>
        <v/>
      </c>
      <c r="AC34" s="136">
        <f>IF(E34=$AC$6,1,"")</f>
        <v/>
      </c>
      <c r="AD34" s="136">
        <f>IF(E34=$AD$6,1,"")</f>
        <v/>
      </c>
      <c r="AE34" s="136">
        <f>IF(E34=$AE$6,1,"")</f>
        <v/>
      </c>
      <c r="AF34" s="136">
        <f>IF(E34=$AF$6,1,"")</f>
        <v/>
      </c>
      <c r="AG34" s="136">
        <f>IF(E34=$AG$6,1,"")</f>
        <v/>
      </c>
      <c r="AH34" s="136">
        <f>IF(E34=$AH$6,1,"")</f>
        <v/>
      </c>
      <c r="AI34" s="136">
        <f>IF(E34=$AI$6,1,"")</f>
        <v/>
      </c>
      <c r="AJ34" s="136">
        <f>IF(E34=$AJ$6,1,"")</f>
        <v/>
      </c>
      <c r="AK34" s="81">
        <f>IF(E34=$AK$6,1,"")</f>
        <v/>
      </c>
      <c r="AL34" s="81">
        <f>IF(E34=$AL$6,1,"")</f>
        <v/>
      </c>
      <c r="AM34" s="81">
        <f>IF(E34=$AM$6,1,"")</f>
        <v/>
      </c>
      <c r="AN34" s="81">
        <f>IF(E34=$AN$6,1,"")</f>
        <v/>
      </c>
      <c r="AO34" s="81">
        <f>IF(E34=$AO$6,1,"")</f>
        <v/>
      </c>
      <c r="AP34" s="81">
        <f>IF(E34=$AP$6,1,"")</f>
        <v/>
      </c>
      <c r="AQ34" s="81">
        <f>IF(E34=$AQ$6,1,"")</f>
        <v/>
      </c>
      <c r="AR34" s="81">
        <f>IF(E34=$AR$6,1,"")</f>
        <v/>
      </c>
      <c r="AS34" s="81" t="n"/>
    </row>
    <row r="35" ht="15.75" customHeight="1" s="80">
      <c r="A35" s="123" t="inlineStr">
        <is>
          <t>Liana Rabadi</t>
        </is>
      </c>
      <c r="B35" s="124" t="inlineStr">
        <is>
          <t>07/31/2025</t>
        </is>
      </c>
      <c r="C35" s="125" t="inlineStr">
        <is>
          <t>jg213260</t>
        </is>
      </c>
      <c r="D35" s="126" t="inlineStr">
        <is>
          <t>Jon Paul</t>
        </is>
      </c>
      <c r="E35" s="127" t="inlineStr">
        <is>
          <t>PT TW</t>
        </is>
      </c>
      <c r="F35" s="128" t="n">
        <v>30</v>
      </c>
      <c r="G35" s="129" t="n"/>
      <c r="H35" s="130" t="n"/>
      <c r="I35" s="131" t="n"/>
      <c r="J35" s="131">
        <f>IF(COUNTIF(B35:E35,"*")=0,"",IF(T35=1,"Invalid Service",IF(AND(V35=1,F35=""),"Add Session Mins",IF(AND(E35&gt;0,H35="",T35=""),"Enter Contract Rate",IF(AND(E35="IEP mtg, prep, rept",F35&gt;0),(G35*H35),IF(AND(E35&gt;0,F35&gt;0,H35&gt;0,I35=""),"Enter Travel",IF(AND(F35&gt;0,I35="Y"),(G35*H35)+$M$10,IF(AND(F35&gt;0,I35="N"),(G35*H35),H35))))))))</f>
        <v/>
      </c>
      <c r="K35" s="132">
        <f>J35</f>
        <v/>
      </c>
      <c r="L35" s="148" t="n"/>
      <c r="M35" s="148" t="n"/>
      <c r="N35" s="148" t="n"/>
      <c r="O35" s="87" t="n"/>
      <c r="P35" s="81" t="n"/>
      <c r="Q35" s="81" t="n"/>
      <c r="R35" s="135" t="n"/>
      <c r="S35" s="135" t="n"/>
      <c r="T35" s="136">
        <f>IF(AND(E35&gt;0,U35=0),1,"")</f>
        <v/>
      </c>
      <c r="U35" s="136">
        <f>SUM(X35:AR35)</f>
        <v/>
      </c>
      <c r="V35" s="136">
        <f>IF(E35=$Q$16,0,SUM(X35:AI35))</f>
        <v/>
      </c>
      <c r="W35" s="136">
        <f>SUM(AK35:AR35)</f>
        <v/>
      </c>
      <c r="X35" s="136">
        <f>IF(E35=$X$6,1,"")</f>
        <v/>
      </c>
      <c r="Y35" s="136">
        <f>IF(E35=$Y$6,1,"")</f>
        <v/>
      </c>
      <c r="Z35" s="136">
        <f>IF(E35=$Z$6,1,"")</f>
        <v/>
      </c>
      <c r="AA35" s="136">
        <f>IF(E35=$AA$6,1,"")</f>
        <v/>
      </c>
      <c r="AB35" s="136">
        <f>IF(E35=$AB$6,1,"")</f>
        <v/>
      </c>
      <c r="AC35" s="136">
        <f>IF(E35=$AC$6,1,"")</f>
        <v/>
      </c>
      <c r="AD35" s="136">
        <f>IF(E35=$AD$6,1,"")</f>
        <v/>
      </c>
      <c r="AE35" s="136">
        <f>IF(E35=$AE$6,1,"")</f>
        <v/>
      </c>
      <c r="AF35" s="136">
        <f>IF(E35=$AF$6,1,"")</f>
        <v/>
      </c>
      <c r="AG35" s="136">
        <f>IF(E35=$AG$6,1,"")</f>
        <v/>
      </c>
      <c r="AH35" s="136">
        <f>IF(E35=$AH$6,1,"")</f>
        <v/>
      </c>
      <c r="AI35" s="136">
        <f>IF(E35=$AI$6,1,"")</f>
        <v/>
      </c>
      <c r="AJ35" s="136">
        <f>IF(E35=$AJ$6,1,"")</f>
        <v/>
      </c>
      <c r="AK35" s="81">
        <f>IF(E35=$AK$6,1,"")</f>
        <v/>
      </c>
      <c r="AL35" s="81">
        <f>IF(E35=$AL$6,1,"")</f>
        <v/>
      </c>
      <c r="AM35" s="81">
        <f>IF(E35=$AM$6,1,"")</f>
        <v/>
      </c>
      <c r="AN35" s="81">
        <f>IF(E35=$AN$6,1,"")</f>
        <v/>
      </c>
      <c r="AO35" s="81">
        <f>IF(E35=$AO$6,1,"")</f>
        <v/>
      </c>
      <c r="AP35" s="81">
        <f>IF(E35=$AP$6,1,"")</f>
        <v/>
      </c>
      <c r="AQ35" s="81">
        <f>IF(E35=$AQ$6,1,"")</f>
        <v/>
      </c>
      <c r="AR35" s="81">
        <f>IF(E35=$AR$6,1,"")</f>
        <v/>
      </c>
      <c r="AS35" s="81" t="n"/>
    </row>
    <row r="36" ht="15.75" customHeight="1" s="80">
      <c r="A36" s="123" t="inlineStr">
        <is>
          <t>Anne Jeffreys</t>
        </is>
      </c>
      <c r="B36" s="124" t="inlineStr">
        <is>
          <t>07/18/2025</t>
        </is>
      </c>
      <c r="C36" s="125" t="inlineStr">
        <is>
          <t>je200490</t>
        </is>
      </c>
      <c r="D36" s="141" t="inlineStr">
        <is>
          <t>Joseph</t>
        </is>
      </c>
      <c r="E36" s="127" t="inlineStr">
        <is>
          <t>SLP TW</t>
        </is>
      </c>
      <c r="F36" s="128" t="n">
        <v>30</v>
      </c>
      <c r="G36" s="129" t="n"/>
      <c r="H36" s="130" t="n"/>
      <c r="I36" s="131" t="n"/>
      <c r="J36" s="131">
        <f>IF(COUNTIF(B36:E36,"*")=0,"",IF(T36=1,"Invalid Service",IF(AND(V36=1,F36=""),"Add Session Mins",IF(AND(E36&gt;0,H36="",T36=""),"Enter Contract Rate",IF(AND(E36="IEP mtg, prep, rept",F36&gt;0),(G36*H36),IF(AND(E36&gt;0,F36&gt;0,H36&gt;0,I36=""),"Enter Travel",IF(AND(F36&gt;0,I36="Y"),(G36*H36)+$M$10,IF(AND(F36&gt;0,I36="N"),(G36*H36),H36))))))))</f>
        <v/>
      </c>
      <c r="K36" s="132">
        <f>J36</f>
        <v/>
      </c>
      <c r="L36" s="148" t="n"/>
      <c r="M36" s="148" t="n"/>
      <c r="N36" s="148" t="n"/>
      <c r="O36" s="87" t="n"/>
      <c r="P36" s="81" t="n"/>
      <c r="Q36" s="81" t="n"/>
      <c r="R36" s="135" t="n"/>
      <c r="S36" s="135" t="n"/>
      <c r="T36" s="136">
        <f>IF(AND(E36&gt;0,U36=0),1,"")</f>
        <v/>
      </c>
      <c r="U36" s="136">
        <f>SUM(X36:AR36)</f>
        <v/>
      </c>
      <c r="V36" s="136">
        <f>IF(E36=$Q$16,0,SUM(X36:AI36))</f>
        <v/>
      </c>
      <c r="W36" s="136">
        <f>SUM(AK36:AR36)</f>
        <v/>
      </c>
      <c r="X36" s="136">
        <f>IF(E36=$X$6,1,"")</f>
        <v/>
      </c>
      <c r="Y36" s="136">
        <f>IF(E36=$Y$6,1,"")</f>
        <v/>
      </c>
      <c r="Z36" s="136">
        <f>IF(E36=$Z$6,1,"")</f>
        <v/>
      </c>
      <c r="AA36" s="136">
        <f>IF(E36=$AA$6,1,"")</f>
        <v/>
      </c>
      <c r="AB36" s="136">
        <f>IF(E36=$AB$6,1,"")</f>
        <v/>
      </c>
      <c r="AC36" s="136">
        <f>IF(E36=$AC$6,1,"")</f>
        <v/>
      </c>
      <c r="AD36" s="136">
        <f>IF(E36=$AD$6,1,"")</f>
        <v/>
      </c>
      <c r="AE36" s="136">
        <f>IF(E36=$AE$6,1,"")</f>
        <v/>
      </c>
      <c r="AF36" s="136">
        <f>IF(E36=$AF$6,1,"")</f>
        <v/>
      </c>
      <c r="AG36" s="136">
        <f>IF(E36=$AG$6,1,"")</f>
        <v/>
      </c>
      <c r="AH36" s="136">
        <f>IF(E36=$AH$6,1,"")</f>
        <v/>
      </c>
      <c r="AI36" s="136">
        <f>IF(E36=$AI$6,1,"")</f>
        <v/>
      </c>
      <c r="AJ36" s="136">
        <f>IF(E36=$AJ$6,1,"")</f>
        <v/>
      </c>
      <c r="AK36" s="81">
        <f>IF(E36=$AK$6,1,"")</f>
        <v/>
      </c>
      <c r="AL36" s="81">
        <f>IF(E36=$AL$6,1,"")</f>
        <v/>
      </c>
      <c r="AM36" s="81">
        <f>IF(E36=$AM$6,1,"")</f>
        <v/>
      </c>
      <c r="AN36" s="81">
        <f>IF(E36=$AN$6,1,"")</f>
        <v/>
      </c>
      <c r="AO36" s="81">
        <f>IF(E36=$AO$6,1,"")</f>
        <v/>
      </c>
      <c r="AP36" s="81">
        <f>IF(E36=$AP$6,1,"")</f>
        <v/>
      </c>
      <c r="AQ36" s="81">
        <f>IF(E36=$AQ$6,1,"")</f>
        <v/>
      </c>
      <c r="AR36" s="81">
        <f>IF(E36=$AR$6,1,"")</f>
        <v/>
      </c>
      <c r="AS36" s="81" t="n"/>
    </row>
    <row r="37" ht="15.75" customHeight="1" s="80">
      <c r="A37" s="123" t="inlineStr">
        <is>
          <t>Anne Jeffreys</t>
        </is>
      </c>
      <c r="B37" s="124" t="inlineStr">
        <is>
          <t>07/21/2025</t>
        </is>
      </c>
      <c r="C37" s="125" t="inlineStr">
        <is>
          <t>je200490</t>
        </is>
      </c>
      <c r="D37" s="126" t="inlineStr">
        <is>
          <t>Joseph</t>
        </is>
      </c>
      <c r="E37" s="127" t="inlineStr">
        <is>
          <t>SLP TW</t>
        </is>
      </c>
      <c r="F37" s="128" t="n">
        <v>30</v>
      </c>
      <c r="G37" s="129" t="n"/>
      <c r="H37" s="130" t="n"/>
      <c r="I37" s="131" t="n"/>
      <c r="J37" s="131">
        <f>IF(COUNTIF(B37:E37,"*")=0,"",IF(T37=1,"Invalid Service",IF(AND(V37=1,F37=""),"Add Session Mins",IF(AND(E37&gt;0,H37="",T37=""),"Enter Contract Rate",IF(AND(E37="IEP mtg, prep, rept",F37&gt;0),(G37*H37),IF(AND(E37&gt;0,F37&gt;0,H37&gt;0,I37=""),"Enter Travel",IF(AND(F37&gt;0,I37="Y"),(G37*H37)+$M$10,IF(AND(F37&gt;0,I37="N"),(G37*H37),H37))))))))</f>
        <v/>
      </c>
      <c r="K37" s="132">
        <f>J37</f>
        <v/>
      </c>
      <c r="L37" s="148" t="n"/>
      <c r="M37" s="148" t="n"/>
      <c r="N37" s="148" t="n"/>
      <c r="O37" s="87" t="n"/>
      <c r="P37" s="81" t="n"/>
      <c r="Q37" s="81" t="n"/>
      <c r="R37" s="135" t="n"/>
      <c r="S37" s="135" t="n"/>
      <c r="T37" s="136">
        <f>IF(AND(E37&gt;0,U37=0),1,"")</f>
        <v/>
      </c>
      <c r="U37" s="136">
        <f>SUM(X37:AR37)</f>
        <v/>
      </c>
      <c r="V37" s="136">
        <f>IF(E37=$Q$16,0,SUM(X37:AI37))</f>
        <v/>
      </c>
      <c r="W37" s="136">
        <f>SUM(AK37:AR37)</f>
        <v/>
      </c>
      <c r="X37" s="136">
        <f>IF(E37=$X$6,1,"")</f>
        <v/>
      </c>
      <c r="Y37" s="136">
        <f>IF(E37=$Y$6,1,"")</f>
        <v/>
      </c>
      <c r="Z37" s="136">
        <f>IF(E37=$Z$6,1,"")</f>
        <v/>
      </c>
      <c r="AA37" s="136">
        <f>IF(E37=$AA$6,1,"")</f>
        <v/>
      </c>
      <c r="AB37" s="136">
        <f>IF(E37=$AB$6,1,"")</f>
        <v/>
      </c>
      <c r="AC37" s="136">
        <f>IF(E37=$AC$6,1,"")</f>
        <v/>
      </c>
      <c r="AD37" s="136">
        <f>IF(E37=$AD$6,1,"")</f>
        <v/>
      </c>
      <c r="AE37" s="136">
        <f>IF(E37=$AE$6,1,"")</f>
        <v/>
      </c>
      <c r="AF37" s="136">
        <f>IF(E37=$AF$6,1,"")</f>
        <v/>
      </c>
      <c r="AG37" s="136">
        <f>IF(E37=$AG$6,1,"")</f>
        <v/>
      </c>
      <c r="AH37" s="136">
        <f>IF(E37=$AH$6,1,"")</f>
        <v/>
      </c>
      <c r="AI37" s="136">
        <f>IF(E37=$AI$6,1,"")</f>
        <v/>
      </c>
      <c r="AJ37" s="136">
        <f>IF(E37=$AJ$6,1,"")</f>
        <v/>
      </c>
      <c r="AK37" s="81">
        <f>IF(E37=$AK$6,1,"")</f>
        <v/>
      </c>
      <c r="AL37" s="81">
        <f>IF(E37=$AL$6,1,"")</f>
        <v/>
      </c>
      <c r="AM37" s="81">
        <f>IF(E37=$AM$6,1,"")</f>
        <v/>
      </c>
      <c r="AN37" s="81">
        <f>IF(E37=$AN$6,1,"")</f>
        <v/>
      </c>
      <c r="AO37" s="81">
        <f>IF(E37=$AO$6,1,"")</f>
        <v/>
      </c>
      <c r="AP37" s="81">
        <f>IF(E37=$AP$6,1,"")</f>
        <v/>
      </c>
      <c r="AQ37" s="81">
        <f>IF(E37=$AQ$6,1,"")</f>
        <v/>
      </c>
      <c r="AR37" s="81">
        <f>IF(E37=$AR$6,1,"")</f>
        <v/>
      </c>
      <c r="AS37" s="81" t="n"/>
    </row>
    <row r="38" ht="15.75" customHeight="1" s="80">
      <c r="A38" s="123" t="inlineStr">
        <is>
          <t>Anne Jeffreys</t>
        </is>
      </c>
      <c r="B38" s="124" t="inlineStr">
        <is>
          <t>07/25/2025</t>
        </is>
      </c>
      <c r="C38" s="125" t="inlineStr">
        <is>
          <t>je200490</t>
        </is>
      </c>
      <c r="D38" s="126" t="inlineStr">
        <is>
          <t>Joseph</t>
        </is>
      </c>
      <c r="E38" s="127" t="inlineStr">
        <is>
          <t>SLP TW</t>
        </is>
      </c>
      <c r="F38" s="128" t="n">
        <v>30</v>
      </c>
      <c r="G38" s="129" t="n"/>
      <c r="H38" s="130" t="n"/>
      <c r="I38" s="131" t="n"/>
      <c r="J38" s="131">
        <f>IF(COUNTIF(B38:E38,"*")=0,"",IF(T38=1,"Invalid Service",IF(AND(V38=1,F38=""),"Add Session Mins",IF(AND(E38&gt;0,H38="",T38=""),"Enter Contract Rate",IF(AND(E38="IEP mtg, prep, rept",F38&gt;0),(G38*H38),IF(AND(E38&gt;0,F38&gt;0,H38&gt;0,I38=""),"Enter Travel",IF(AND(F38&gt;0,I38="Y"),(G38*H38)+$M$10,IF(AND(F38&gt;0,I38="N"),(G38*H38),H38))))))))</f>
        <v/>
      </c>
      <c r="K38" s="132">
        <f>J38</f>
        <v/>
      </c>
      <c r="L38" s="148" t="n"/>
      <c r="M38" s="148" t="n"/>
      <c r="N38" s="148" t="n"/>
      <c r="O38" s="87" t="n"/>
      <c r="P38" s="81" t="n"/>
      <c r="Q38" s="81" t="n"/>
      <c r="R38" s="135" t="n"/>
      <c r="S38" s="135" t="n"/>
      <c r="T38" s="136">
        <f>IF(AND(E38&gt;0,U38=0),1,"")</f>
        <v/>
      </c>
      <c r="U38" s="136">
        <f>SUM(X38:AR38)</f>
        <v/>
      </c>
      <c r="V38" s="136">
        <f>IF(E38=$Q$16,0,SUM(X38:AI38))</f>
        <v/>
      </c>
      <c r="W38" s="136">
        <f>SUM(AK38:AR38)</f>
        <v/>
      </c>
      <c r="X38" s="136">
        <f>IF(E38=$X$6,1,"")</f>
        <v/>
      </c>
      <c r="Y38" s="136">
        <f>IF(E38=$Y$6,1,"")</f>
        <v/>
      </c>
      <c r="Z38" s="136">
        <f>IF(E38=$Z$6,1,"")</f>
        <v/>
      </c>
      <c r="AA38" s="136">
        <f>IF(E38=$AA$6,1,"")</f>
        <v/>
      </c>
      <c r="AB38" s="136">
        <f>IF(E38=$AB$6,1,"")</f>
        <v/>
      </c>
      <c r="AC38" s="136">
        <f>IF(E38=$AC$6,1,"")</f>
        <v/>
      </c>
      <c r="AD38" s="136">
        <f>IF(E38=$AD$6,1,"")</f>
        <v/>
      </c>
      <c r="AE38" s="136">
        <f>IF(E38=$AE$6,1,"")</f>
        <v/>
      </c>
      <c r="AF38" s="136">
        <f>IF(E38=$AF$6,1,"")</f>
        <v/>
      </c>
      <c r="AG38" s="136">
        <f>IF(E38=$AG$6,1,"")</f>
        <v/>
      </c>
      <c r="AH38" s="136">
        <f>IF(E38=$AH$6,1,"")</f>
        <v/>
      </c>
      <c r="AI38" s="136">
        <f>IF(E38=$AI$6,1,"")</f>
        <v/>
      </c>
      <c r="AJ38" s="136">
        <f>IF(E38=$AJ$6,1,"")</f>
        <v/>
      </c>
      <c r="AK38" s="81">
        <f>IF(E38=$AK$6,1,"")</f>
        <v/>
      </c>
      <c r="AL38" s="81">
        <f>IF(E38=$AL$6,1,"")</f>
        <v/>
      </c>
      <c r="AM38" s="81">
        <f>IF(E38=$AM$6,1,"")</f>
        <v/>
      </c>
      <c r="AN38" s="81">
        <f>IF(E38=$AN$6,1,"")</f>
        <v/>
      </c>
      <c r="AO38" s="81">
        <f>IF(E38=$AO$6,1,"")</f>
        <v/>
      </c>
      <c r="AP38" s="81">
        <f>IF(E38=$AP$6,1,"")</f>
        <v/>
      </c>
      <c r="AQ38" s="81">
        <f>IF(E38=$AQ$6,1,"")</f>
        <v/>
      </c>
      <c r="AR38" s="81">
        <f>IF(E38=$AR$6,1,"")</f>
        <v/>
      </c>
      <c r="AS38" s="81" t="n"/>
    </row>
    <row r="39" ht="15.75" customHeight="1" s="80">
      <c r="A39" s="123" t="inlineStr">
        <is>
          <t>Anne Jeffreys</t>
        </is>
      </c>
      <c r="B39" s="124" t="inlineStr">
        <is>
          <t>07/28/2025</t>
        </is>
      </c>
      <c r="C39" s="125" t="inlineStr">
        <is>
          <t>je200490</t>
        </is>
      </c>
      <c r="D39" s="126" t="inlineStr">
        <is>
          <t>Joseph</t>
        </is>
      </c>
      <c r="E39" s="127" t="inlineStr">
        <is>
          <t>SLP TW</t>
        </is>
      </c>
      <c r="F39" s="128" t="n">
        <v>30</v>
      </c>
      <c r="G39" s="129" t="n"/>
      <c r="H39" s="130" t="n"/>
      <c r="I39" s="131" t="n"/>
      <c r="J39" s="131">
        <f>IF(COUNTIF(B39:E39,"*")=0,"",IF(T39=1,"Invalid Service",IF(AND(V39=1,F39=""),"Add Session Mins",IF(AND(E39&gt;0,H39="",T39=""),"Enter Contract Rate",IF(AND(E39="IEP mtg, prep, rept",F39&gt;0),(G39*H39),IF(AND(E39&gt;0,F39&gt;0,H39&gt;0,I39=""),"Enter Travel",IF(AND(F39&gt;0,I39="Y"),(G39*H39)+$M$10,IF(AND(F39&gt;0,I39="N"),(G39*H39),H39))))))))</f>
        <v/>
      </c>
      <c r="K39" s="132">
        <f>J39</f>
        <v/>
      </c>
      <c r="L39" s="148" t="n"/>
      <c r="M39" s="148" t="n"/>
      <c r="N39" s="148" t="n"/>
      <c r="O39" s="87" t="n"/>
      <c r="P39" s="81" t="n"/>
      <c r="Q39" s="81" t="n"/>
      <c r="R39" s="135" t="n"/>
      <c r="S39" s="135" t="n"/>
      <c r="T39" s="136">
        <f>IF(AND(E39&gt;0,U39=0),1,"")</f>
        <v/>
      </c>
      <c r="U39" s="136">
        <f>SUM(X39:AR39)</f>
        <v/>
      </c>
      <c r="V39" s="136">
        <f>IF(E39=$Q$16,0,SUM(X39:AI39))</f>
        <v/>
      </c>
      <c r="W39" s="136">
        <f>SUM(AK39:AR39)</f>
        <v/>
      </c>
      <c r="X39" s="136">
        <f>IF(E39=$X$6,1,"")</f>
        <v/>
      </c>
      <c r="Y39" s="136">
        <f>IF(E39=$Y$6,1,"")</f>
        <v/>
      </c>
      <c r="Z39" s="136">
        <f>IF(E39=$Z$6,1,"")</f>
        <v/>
      </c>
      <c r="AA39" s="136">
        <f>IF(E39=$AA$6,1,"")</f>
        <v/>
      </c>
      <c r="AB39" s="136">
        <f>IF(E39=$AB$6,1,"")</f>
        <v/>
      </c>
      <c r="AC39" s="136">
        <f>IF(E39=$AC$6,1,"")</f>
        <v/>
      </c>
      <c r="AD39" s="136">
        <f>IF(E39=$AD$6,1,"")</f>
        <v/>
      </c>
      <c r="AE39" s="136">
        <f>IF(E39=$AE$6,1,"")</f>
        <v/>
      </c>
      <c r="AF39" s="136">
        <f>IF(E39=$AF$6,1,"")</f>
        <v/>
      </c>
      <c r="AG39" s="136">
        <f>IF(E39=$AG$6,1,"")</f>
        <v/>
      </c>
      <c r="AH39" s="136">
        <f>IF(E39=$AH$6,1,"")</f>
        <v/>
      </c>
      <c r="AI39" s="136">
        <f>IF(E39=$AI$6,1,"")</f>
        <v/>
      </c>
      <c r="AJ39" s="136">
        <f>IF(E39=$AJ$6,1,"")</f>
        <v/>
      </c>
      <c r="AK39" s="81">
        <f>IF(E39=$AK$6,1,"")</f>
        <v/>
      </c>
      <c r="AL39" s="81">
        <f>IF(E39=$AL$6,1,"")</f>
        <v/>
      </c>
      <c r="AM39" s="81">
        <f>IF(E39=$AM$6,1,"")</f>
        <v/>
      </c>
      <c r="AN39" s="81">
        <f>IF(E39=$AN$6,1,"")</f>
        <v/>
      </c>
      <c r="AO39" s="81">
        <f>IF(E39=$AO$6,1,"")</f>
        <v/>
      </c>
      <c r="AP39" s="81">
        <f>IF(E39=$AP$6,1,"")</f>
        <v/>
      </c>
      <c r="AQ39" s="81">
        <f>IF(E39=$AQ$6,1,"")</f>
        <v/>
      </c>
      <c r="AR39" s="81">
        <f>IF(E39=$AR$6,1,"")</f>
        <v/>
      </c>
      <c r="AS39" s="81" t="n"/>
    </row>
    <row r="40" ht="15.75" customHeight="1" s="80">
      <c r="A40" s="123" t="inlineStr">
        <is>
          <t>Sara Ravier</t>
        </is>
      </c>
      <c r="B40" s="124" t="inlineStr">
        <is>
          <t>07/07/2025</t>
        </is>
      </c>
      <c r="C40" s="125" t="inlineStr">
        <is>
          <t>km204234</t>
        </is>
      </c>
      <c r="D40" s="126" t="inlineStr">
        <is>
          <t>Kaelyn</t>
        </is>
      </c>
      <c r="E40" s="127" t="inlineStr">
        <is>
          <t>OT TW</t>
        </is>
      </c>
      <c r="F40" s="128" t="n">
        <v>60</v>
      </c>
      <c r="G40" s="129" t="n"/>
      <c r="H40" s="130" t="n"/>
      <c r="I40" s="131" t="n"/>
      <c r="J40" s="131">
        <f>IF(COUNTIF(B40:E40,"*")=0,"",IF(T40=1,"Invalid Service",IF(AND(V40=1,F40=""),"Add Session Mins",IF(AND(E40&gt;0,H40="",T40=""),"Enter Contract Rate",IF(AND(E40="IEP mtg, prep, rept",F40&gt;0),(G40*H40),IF(AND(E40&gt;0,F40&gt;0,H40&gt;0,I40=""),"Enter Travel",IF(AND(F40&gt;0,I40="Y"),(G40*H40)+$M$10,IF(AND(F40&gt;0,I40="N"),(G40*H40),H40))))))))</f>
        <v/>
      </c>
      <c r="K40" s="132">
        <f>J40</f>
        <v/>
      </c>
      <c r="L40" s="148" t="n"/>
      <c r="M40" s="148" t="n"/>
      <c r="N40" s="148" t="n"/>
      <c r="O40" s="87" t="n"/>
      <c r="P40" s="81" t="n"/>
      <c r="Q40" s="81" t="n"/>
      <c r="R40" s="81" t="n"/>
      <c r="S40" s="81" t="n"/>
      <c r="T40" s="136">
        <f>IF(AND(E40&gt;0,U40=0),1,"")</f>
        <v/>
      </c>
      <c r="U40" s="136">
        <f>SUM(X40:AR40)</f>
        <v/>
      </c>
      <c r="V40" s="136">
        <f>IF(E40=$Q$16,0,SUM(X40:AI40))</f>
        <v/>
      </c>
      <c r="W40" s="136">
        <f>SUM(AK40:AR40)</f>
        <v/>
      </c>
      <c r="X40" s="136">
        <f>IF(E40=$X$6,1,"")</f>
        <v/>
      </c>
      <c r="Y40" s="136">
        <f>IF(E40=$Y$6,1,"")</f>
        <v/>
      </c>
      <c r="Z40" s="136">
        <f>IF(E40=$Z$6,1,"")</f>
        <v/>
      </c>
      <c r="AA40" s="136">
        <f>IF(E40=$AA$6,1,"")</f>
        <v/>
      </c>
      <c r="AB40" s="136">
        <f>IF(E40=$AB$6,1,"")</f>
        <v/>
      </c>
      <c r="AC40" s="136">
        <f>IF(E40=$AC$6,1,"")</f>
        <v/>
      </c>
      <c r="AD40" s="136">
        <f>IF(E40=$AD$6,1,"")</f>
        <v/>
      </c>
      <c r="AE40" s="136">
        <f>IF(E40=$AE$6,1,"")</f>
        <v/>
      </c>
      <c r="AF40" s="136">
        <f>IF(E40=$AF$6,1,"")</f>
        <v/>
      </c>
      <c r="AG40" s="136">
        <f>IF(E40=$AG$6,1,"")</f>
        <v/>
      </c>
      <c r="AH40" s="136">
        <f>IF(E40=$AH$6,1,"")</f>
        <v/>
      </c>
      <c r="AI40" s="136">
        <f>IF(E40=$AI$6,1,"")</f>
        <v/>
      </c>
      <c r="AJ40" s="136">
        <f>IF(E40=$AJ$6,1,"")</f>
        <v/>
      </c>
      <c r="AK40" s="81">
        <f>IF(E40=$AK$6,1,"")</f>
        <v/>
      </c>
      <c r="AL40" s="81">
        <f>IF(E40=$AL$6,1,"")</f>
        <v/>
      </c>
      <c r="AM40" s="81">
        <f>IF(E40=$AM$6,1,"")</f>
        <v/>
      </c>
      <c r="AN40" s="81">
        <f>IF(E40=$AN$6,1,"")</f>
        <v/>
      </c>
      <c r="AO40" s="81">
        <f>IF(E40=$AO$6,1,"")</f>
        <v/>
      </c>
      <c r="AP40" s="81">
        <f>IF(E40=$AP$6,1,"")</f>
        <v/>
      </c>
      <c r="AQ40" s="81">
        <f>IF(E40=$AQ$6,1,"")</f>
        <v/>
      </c>
      <c r="AR40" s="81">
        <f>IF(E40=$AR$6,1,"")</f>
        <v/>
      </c>
      <c r="AS40" s="81" t="n"/>
    </row>
    <row r="41" ht="15.75" customHeight="1" s="80">
      <c r="A41" s="123" t="inlineStr">
        <is>
          <t>Sara Ravier</t>
        </is>
      </c>
      <c r="B41" s="124" t="inlineStr">
        <is>
          <t>07/14/2025</t>
        </is>
      </c>
      <c r="C41" s="125" t="inlineStr">
        <is>
          <t>km204234</t>
        </is>
      </c>
      <c r="D41" s="126" t="inlineStr">
        <is>
          <t>Kaelyn</t>
        </is>
      </c>
      <c r="E41" s="127" t="inlineStr">
        <is>
          <t>OT TW</t>
        </is>
      </c>
      <c r="F41" s="128" t="n">
        <v>60</v>
      </c>
      <c r="G41" s="129" t="n"/>
      <c r="H41" s="130" t="n"/>
      <c r="I41" s="131" t="n"/>
      <c r="J41" s="131">
        <f>IF(COUNTIF(B41:E41,"*")=0,"",IF(T41=1,"Invalid Service",IF(AND(V41=1,F41=""),"Add Session Mins",IF(AND(E41&gt;0,H41="",T41=""),"Enter Contract Rate",IF(AND(E41="IEP mtg, prep, rept",F41&gt;0),(G41*H41),IF(AND(E41&gt;0,F41&gt;0,H41&gt;0,I41=""),"Enter Travel",IF(AND(F41&gt;0,I41="Y"),(G41*H41)+$M$10,IF(AND(F41&gt;0,I41="N"),(G41*H41),H41))))))))</f>
        <v/>
      </c>
      <c r="K41" s="132">
        <f>J41</f>
        <v/>
      </c>
      <c r="L41" s="148" t="n"/>
      <c r="M41" s="148" t="n"/>
      <c r="N41" s="148" t="n"/>
      <c r="O41" s="87" t="n"/>
      <c r="P41" s="81" t="n"/>
      <c r="Q41" s="81" t="n"/>
      <c r="R41" s="81" t="n"/>
      <c r="S41" s="81" t="n"/>
      <c r="T41" s="136">
        <f>IF(AND(E41&gt;0,U41=0),1,"")</f>
        <v/>
      </c>
      <c r="U41" s="136">
        <f>SUM(X41:AR41)</f>
        <v/>
      </c>
      <c r="V41" s="136">
        <f>IF(E41=$Q$16,0,SUM(X41:AI41))</f>
        <v/>
      </c>
      <c r="W41" s="136">
        <f>SUM(AK41:AR41)</f>
        <v/>
      </c>
      <c r="X41" s="136">
        <f>IF(E41=$X$6,1,"")</f>
        <v/>
      </c>
      <c r="Y41" s="136">
        <f>IF(E41=$Y$6,1,"")</f>
        <v/>
      </c>
      <c r="Z41" s="136">
        <f>IF(E41=$Z$6,1,"")</f>
        <v/>
      </c>
      <c r="AA41" s="136">
        <f>IF(E41=$AA$6,1,"")</f>
        <v/>
      </c>
      <c r="AB41" s="136">
        <f>IF(E41=$AB$6,1,"")</f>
        <v/>
      </c>
      <c r="AC41" s="136">
        <f>IF(E41=$AC$6,1,"")</f>
        <v/>
      </c>
      <c r="AD41" s="136">
        <f>IF(E41=$AD$6,1,"")</f>
        <v/>
      </c>
      <c r="AE41" s="136">
        <f>IF(E41=$AE$6,1,"")</f>
        <v/>
      </c>
      <c r="AF41" s="136">
        <f>IF(E41=$AF$6,1,"")</f>
        <v/>
      </c>
      <c r="AG41" s="136">
        <f>IF(E41=$AG$6,1,"")</f>
        <v/>
      </c>
      <c r="AH41" s="136">
        <f>IF(E41=$AH$6,1,"")</f>
        <v/>
      </c>
      <c r="AI41" s="136">
        <f>IF(E41=$AI$6,1,"")</f>
        <v/>
      </c>
      <c r="AJ41" s="136">
        <f>IF(E41=$AJ$6,1,"")</f>
        <v/>
      </c>
      <c r="AK41" s="81">
        <f>IF(E41=$AK$6,1,"")</f>
        <v/>
      </c>
      <c r="AL41" s="81">
        <f>IF(E41=$AL$6,1,"")</f>
        <v/>
      </c>
      <c r="AM41" s="81">
        <f>IF(E41=$AM$6,1,"")</f>
        <v/>
      </c>
      <c r="AN41" s="81">
        <f>IF(E41=$AN$6,1,"")</f>
        <v/>
      </c>
      <c r="AO41" s="81">
        <f>IF(E41=$AO$6,1,"")</f>
        <v/>
      </c>
      <c r="AP41" s="81">
        <f>IF(E41=$AP$6,1,"")</f>
        <v/>
      </c>
      <c r="AQ41" s="81">
        <f>IF(E41=$AQ$6,1,"")</f>
        <v/>
      </c>
      <c r="AR41" s="81">
        <f>IF(E41=$AR$6,1,"")</f>
        <v/>
      </c>
      <c r="AS41" s="81" t="n"/>
    </row>
    <row r="42" ht="15.75" customHeight="1" s="80">
      <c r="A42" s="123" t="inlineStr">
        <is>
          <t>Sara Ravier</t>
        </is>
      </c>
      <c r="B42" s="124" t="inlineStr">
        <is>
          <t>07/21/2025</t>
        </is>
      </c>
      <c r="C42" s="125" t="inlineStr">
        <is>
          <t>km204234</t>
        </is>
      </c>
      <c r="D42" s="154" t="inlineStr">
        <is>
          <t>Kaelyn</t>
        </is>
      </c>
      <c r="E42" s="127" t="inlineStr">
        <is>
          <t>OT TW</t>
        </is>
      </c>
      <c r="F42" s="128" t="n">
        <v>60</v>
      </c>
      <c r="G42" s="129" t="n"/>
      <c r="H42" s="130" t="n"/>
      <c r="I42" s="131" t="n"/>
      <c r="J42" s="131">
        <f>IF(COUNTIF(B42:E42,"*")=0,"",IF(T42=1,"Invalid Service",IF(AND(V42=1,F42=""),"Add Session Mins",IF(AND(E42&gt;0,H42="",T42=""),"Enter Contract Rate",IF(AND(E42="IEP mtg, prep, rept",F42&gt;0),(G42*H42),IF(AND(E42&gt;0,F42&gt;0,H42&gt;0,I42=""),"Enter Travel",IF(AND(F42&gt;0,I42="Y"),(G42*H42)+$M$10,IF(AND(F42&gt;0,I42="N"),(G42*H42),H42))))))))</f>
        <v/>
      </c>
      <c r="K42" s="132">
        <f>J42</f>
        <v/>
      </c>
      <c r="L42" s="148" t="n"/>
      <c r="M42" s="148" t="n"/>
      <c r="N42" s="148" t="n"/>
      <c r="O42" s="87" t="n"/>
      <c r="P42" s="81" t="n"/>
      <c r="Q42" s="81" t="n"/>
      <c r="R42" s="81" t="n"/>
      <c r="S42" s="81" t="n"/>
      <c r="T42" s="136">
        <f>IF(AND(E42&gt;0,U42=0),1,"")</f>
        <v/>
      </c>
      <c r="U42" s="136">
        <f>SUM(X42:AR42)</f>
        <v/>
      </c>
      <c r="V42" s="136">
        <f>IF(E42=$Q$16,0,SUM(X42:AI42))</f>
        <v/>
      </c>
      <c r="W42" s="136">
        <f>SUM(AK42:AR42)</f>
        <v/>
      </c>
      <c r="X42" s="136">
        <f>IF(E42=$X$6,1,"")</f>
        <v/>
      </c>
      <c r="Y42" s="136">
        <f>IF(E42=$Y$6,1,"")</f>
        <v/>
      </c>
      <c r="Z42" s="136">
        <f>IF(E42=$Z$6,1,"")</f>
        <v/>
      </c>
      <c r="AA42" s="136">
        <f>IF(E42=$AA$6,1,"")</f>
        <v/>
      </c>
      <c r="AB42" s="136">
        <f>IF(E42=$AB$6,1,"")</f>
        <v/>
      </c>
      <c r="AC42" s="136">
        <f>IF(E42=$AC$6,1,"")</f>
        <v/>
      </c>
      <c r="AD42" s="136">
        <f>IF(E42=$AD$6,1,"")</f>
        <v/>
      </c>
      <c r="AE42" s="136">
        <f>IF(E42=$AE$6,1,"")</f>
        <v/>
      </c>
      <c r="AF42" s="136">
        <f>IF(E42=$AF$6,1,"")</f>
        <v/>
      </c>
      <c r="AG42" s="136">
        <f>IF(E42=$AG$6,1,"")</f>
        <v/>
      </c>
      <c r="AH42" s="136">
        <f>IF(E42=$AH$6,1,"")</f>
        <v/>
      </c>
      <c r="AI42" s="136">
        <f>IF(E42=$AI$6,1,"")</f>
        <v/>
      </c>
      <c r="AJ42" s="136">
        <f>IF(E42=$AJ$6,1,"")</f>
        <v/>
      </c>
      <c r="AK42" s="81">
        <f>IF(E42=$AK$6,1,"")</f>
        <v/>
      </c>
      <c r="AL42" s="81">
        <f>IF(E42=$AL$6,1,"")</f>
        <v/>
      </c>
      <c r="AM42" s="81">
        <f>IF(E42=$AM$6,1,"")</f>
        <v/>
      </c>
      <c r="AN42" s="81">
        <f>IF(E42=$AN$6,1,"")</f>
        <v/>
      </c>
      <c r="AO42" s="81">
        <f>IF(E42=$AO$6,1,"")</f>
        <v/>
      </c>
      <c r="AP42" s="81">
        <f>IF(E42=$AP$6,1,"")</f>
        <v/>
      </c>
      <c r="AQ42" s="81">
        <f>IF(E42=$AQ$6,1,"")</f>
        <v/>
      </c>
      <c r="AR42" s="81">
        <f>IF(E42=$AR$6,1,"")</f>
        <v/>
      </c>
      <c r="AS42" s="81" t="n"/>
    </row>
    <row r="43" ht="15.75" customHeight="1" s="80">
      <c r="A43" s="123" t="inlineStr">
        <is>
          <t>Sara Ravier</t>
        </is>
      </c>
      <c r="B43" s="124" t="inlineStr">
        <is>
          <t>07/28/2025</t>
        </is>
      </c>
      <c r="C43" s="125" t="inlineStr">
        <is>
          <t>km204234</t>
        </is>
      </c>
      <c r="D43" s="126" t="inlineStr">
        <is>
          <t>Kaelyn</t>
        </is>
      </c>
      <c r="E43" s="127" t="inlineStr">
        <is>
          <t>OT TW</t>
        </is>
      </c>
      <c r="F43" s="128" t="n">
        <v>60</v>
      </c>
      <c r="G43" s="129" t="n"/>
      <c r="H43" s="130" t="n"/>
      <c r="I43" s="131" t="n"/>
      <c r="J43" s="131">
        <f>IF(COUNTIF(B43:E43,"*")=0,"",IF(T43=1,"Invalid Service",IF(AND(V43=1,F43=""),"Add Session Mins",IF(AND(E43&gt;0,H43="",T43=""),"Enter Contract Rate",IF(AND(E43="IEP mtg, prep, rept",F43&gt;0),(G43*H43),IF(AND(E43&gt;0,F43&gt;0,H43&gt;0,I43=""),"Enter Travel",IF(AND(F43&gt;0,I43="Y"),(G43*H43)+$M$10,IF(AND(F43&gt;0,I43="N"),(G43*H43),H43))))))))</f>
        <v/>
      </c>
      <c r="K43" s="132">
        <f>J43</f>
        <v/>
      </c>
      <c r="L43" s="148" t="n"/>
      <c r="M43" s="148" t="n"/>
      <c r="N43" s="148" t="n"/>
      <c r="O43" s="87" t="n"/>
      <c r="P43" s="81" t="n"/>
      <c r="Q43" s="81" t="n"/>
      <c r="R43" s="81" t="n"/>
      <c r="S43" s="81" t="n"/>
      <c r="T43" s="136">
        <f>IF(AND(E43&gt;0,U43=0),1,"")</f>
        <v/>
      </c>
      <c r="U43" s="136">
        <f>SUM(X43:AR43)</f>
        <v/>
      </c>
      <c r="V43" s="136">
        <f>IF(E43=$Q$16,0,SUM(X43:AI43))</f>
        <v/>
      </c>
      <c r="W43" s="136">
        <f>SUM(AK43:AR43)</f>
        <v/>
      </c>
      <c r="X43" s="136">
        <f>IF(E43=$X$6,1,"")</f>
        <v/>
      </c>
      <c r="Y43" s="136">
        <f>IF(E43=$Y$6,1,"")</f>
        <v/>
      </c>
      <c r="Z43" s="136">
        <f>IF(E43=$Z$6,1,"")</f>
        <v/>
      </c>
      <c r="AA43" s="136">
        <f>IF(E43=$AA$6,1,"")</f>
        <v/>
      </c>
      <c r="AB43" s="136">
        <f>IF(E43=$AB$6,1,"")</f>
        <v/>
      </c>
      <c r="AC43" s="136">
        <f>IF(E43=$AC$6,1,"")</f>
        <v/>
      </c>
      <c r="AD43" s="136">
        <f>IF(E43=$AD$6,1,"")</f>
        <v/>
      </c>
      <c r="AE43" s="136">
        <f>IF(E43=$AE$6,1,"")</f>
        <v/>
      </c>
      <c r="AF43" s="136">
        <f>IF(E43=$AF$6,1,"")</f>
        <v/>
      </c>
      <c r="AG43" s="136">
        <f>IF(E43=$AG$6,1,"")</f>
        <v/>
      </c>
      <c r="AH43" s="136">
        <f>IF(E43=$AH$6,1,"")</f>
        <v/>
      </c>
      <c r="AI43" s="136">
        <f>IF(E43=$AI$6,1,"")</f>
        <v/>
      </c>
      <c r="AJ43" s="136">
        <f>IF(E43=$AJ$6,1,"")</f>
        <v/>
      </c>
      <c r="AK43" s="81">
        <f>IF(E43=$AK$6,1,"")</f>
        <v/>
      </c>
      <c r="AL43" s="81">
        <f>IF(E43=$AL$6,1,"")</f>
        <v/>
      </c>
      <c r="AM43" s="81">
        <f>IF(E43=$AM$6,1,"")</f>
        <v/>
      </c>
      <c r="AN43" s="81">
        <f>IF(E43=$AN$6,1,"")</f>
        <v/>
      </c>
      <c r="AO43" s="81">
        <f>IF(E43=$AO$6,1,"")</f>
        <v/>
      </c>
      <c r="AP43" s="81">
        <f>IF(E43=$AP$6,1,"")</f>
        <v/>
      </c>
      <c r="AQ43" s="81">
        <f>IF(E43=$AQ$6,1,"")</f>
        <v/>
      </c>
      <c r="AR43" s="81">
        <f>IF(E43=$AR$6,1,"")</f>
        <v/>
      </c>
      <c r="AS43" s="81" t="n"/>
    </row>
    <row r="44" ht="15.75" customHeight="1" s="80">
      <c r="A44" s="123" t="inlineStr">
        <is>
          <t>Cynthia Gocek</t>
        </is>
      </c>
      <c r="B44" s="124" t="inlineStr">
        <is>
          <t>07/09/2025</t>
        </is>
      </c>
      <c r="C44" s="125" t="inlineStr">
        <is>
          <t>kg186623</t>
        </is>
      </c>
      <c r="D44" s="126" t="inlineStr">
        <is>
          <t>Kyle</t>
        </is>
      </c>
      <c r="E44" s="127" t="inlineStr">
        <is>
          <t>SLP TW</t>
        </is>
      </c>
      <c r="F44" s="128" t="n">
        <v>60</v>
      </c>
      <c r="G44" s="129" t="n"/>
      <c r="H44" s="130" t="n"/>
      <c r="I44" s="131" t="n"/>
      <c r="J44" s="130">
        <f>IF(COUNTIF(B44:E44,"*")=0,"",IF(T44=1,"Invalid Service",IF(AND(V44=1,F44=""),"Add Session Mins",IF(AND(E44&gt;0,H44="",T44=""),"Enter Contract Rate",IF(AND(E44="IEP mtg, prep, rept",F44&gt;0),(G44*H44),IF(AND(E44&gt;0,F44&gt;0,H44&gt;0,I44=""),"Enter Travel",IF(AND(F44&gt;0,I44="Y"),(G44*H44)+$M$10,IF(AND(F44&gt;0,I44="N"),(G44*H44),H44))))))))</f>
        <v/>
      </c>
      <c r="K44" s="132">
        <f>J44</f>
        <v/>
      </c>
      <c r="L44" s="148" t="n"/>
      <c r="M44" s="148" t="n"/>
      <c r="N44" s="148" t="n"/>
      <c r="O44" s="87" t="n"/>
      <c r="P44" s="81" t="n"/>
      <c r="Q44" s="81" t="n"/>
      <c r="R44" s="81" t="n"/>
      <c r="S44" s="81" t="n"/>
      <c r="T44" s="136">
        <f>IF(AND(E44&gt;0,U44=0),1,"")</f>
        <v/>
      </c>
      <c r="U44" s="136">
        <f>SUM(X44:AR44)</f>
        <v/>
      </c>
      <c r="V44" s="136">
        <f>IF(E44=$Q$16,0,SUM(X44:AI44))</f>
        <v/>
      </c>
      <c r="W44" s="136">
        <f>SUM(AK44:AR44)</f>
        <v/>
      </c>
      <c r="X44" s="136">
        <f>IF(E44=$X$6,1,"")</f>
        <v/>
      </c>
      <c r="Y44" s="136">
        <f>IF(E44=$Y$6,1,"")</f>
        <v/>
      </c>
      <c r="Z44" s="136">
        <f>IF(E44=$Z$6,1,"")</f>
        <v/>
      </c>
      <c r="AA44" s="136">
        <f>IF(E44=$AA$6,1,"")</f>
        <v/>
      </c>
      <c r="AB44" s="136">
        <f>IF(E44=$AB$6,1,"")</f>
        <v/>
      </c>
      <c r="AC44" s="136">
        <f>IF(E44=$AC$6,1,"")</f>
        <v/>
      </c>
      <c r="AD44" s="136">
        <f>IF(E44=$AD$6,1,"")</f>
        <v/>
      </c>
      <c r="AE44" s="136">
        <f>IF(E44=$AE$6,1,"")</f>
        <v/>
      </c>
      <c r="AF44" s="136">
        <f>IF(E44=$AF$6,1,"")</f>
        <v/>
      </c>
      <c r="AG44" s="136">
        <f>IF(E44=$AG$6,1,"")</f>
        <v/>
      </c>
      <c r="AH44" s="136">
        <f>IF(E44=$AH$6,1,"")</f>
        <v/>
      </c>
      <c r="AI44" s="136">
        <f>IF(E44=$AI$6,1,"")</f>
        <v/>
      </c>
      <c r="AJ44" s="136">
        <f>IF(E44=$AJ$6,1,"")</f>
        <v/>
      </c>
      <c r="AK44" s="81">
        <f>IF(E44=$AK$6,1,"")</f>
        <v/>
      </c>
      <c r="AL44" s="81">
        <f>IF(E44=$AL$6,1,"")</f>
        <v/>
      </c>
      <c r="AM44" s="81">
        <f>IF(E44=$AM$6,1,"")</f>
        <v/>
      </c>
      <c r="AN44" s="81">
        <f>IF(E44=$AN$6,1,"")</f>
        <v/>
      </c>
      <c r="AO44" s="81">
        <f>IF(E44=$AO$6,1,"")</f>
        <v/>
      </c>
      <c r="AP44" s="81">
        <f>IF(E44=$AP$6,1,"")</f>
        <v/>
      </c>
      <c r="AQ44" s="81">
        <f>IF(E44=$AQ$6,1,"")</f>
        <v/>
      </c>
      <c r="AR44" s="81">
        <f>IF(E44=$AR$6,1,"")</f>
        <v/>
      </c>
      <c r="AS44" s="81" t="n"/>
    </row>
    <row r="45" ht="15.75" customHeight="1" s="80">
      <c r="A45" s="123" t="inlineStr">
        <is>
          <t>Cynthia Gocek</t>
        </is>
      </c>
      <c r="B45" s="124" t="inlineStr">
        <is>
          <t>07/11/2025</t>
        </is>
      </c>
      <c r="C45" s="125" t="inlineStr">
        <is>
          <t>kg186623</t>
        </is>
      </c>
      <c r="D45" s="126" t="inlineStr">
        <is>
          <t>Kyle</t>
        </is>
      </c>
      <c r="E45" s="127" t="inlineStr">
        <is>
          <t>SLP TW</t>
        </is>
      </c>
      <c r="F45" s="128" t="n">
        <v>60</v>
      </c>
      <c r="G45" s="129" t="n"/>
      <c r="H45" s="130" t="n"/>
      <c r="I45" s="131" t="n"/>
      <c r="J45" s="131">
        <f>IF(COUNTIF(B45:E45,"*")=0,"",IF(T45=1,"Invalid Service",IF(AND(V45=1,F45=""),"Add Session Mins",IF(AND(E45&gt;0,H45="",T45=""),"Enter Contract Rate",IF(AND(E45="IEP mtg, prep, rept",F45&gt;0),(G45*H45),IF(AND(E45&gt;0,F45&gt;0,H45&gt;0,I45=""),"Enter Travel",IF(AND(F45&gt;0,I45="Y"),(G45*H45)+$M$10,IF(AND(F45&gt;0,I45="N"),(G45*H45),H45))))))))</f>
        <v/>
      </c>
      <c r="K45" s="132">
        <f>J45</f>
        <v/>
      </c>
      <c r="L45" s="148" t="n"/>
      <c r="M45" s="148" t="n"/>
      <c r="N45" s="148" t="n"/>
      <c r="O45" s="87" t="n"/>
      <c r="P45" s="81" t="n"/>
      <c r="Q45" s="81" t="n"/>
      <c r="R45" s="81" t="n"/>
      <c r="S45" s="81" t="n"/>
      <c r="T45" s="136">
        <f>IF(AND(E45&gt;0,U45=0),1,"")</f>
        <v/>
      </c>
      <c r="U45" s="136">
        <f>SUM(X45:AR45)</f>
        <v/>
      </c>
      <c r="V45" s="136">
        <f>IF(E45=$Q$16,0,SUM(X45:AI45))</f>
        <v/>
      </c>
      <c r="W45" s="136">
        <f>SUM(AK45:AR45)</f>
        <v/>
      </c>
      <c r="X45" s="136">
        <f>IF(E45=$X$6,1,"")</f>
        <v/>
      </c>
      <c r="Y45" s="136">
        <f>IF(E45=$Y$6,1,"")</f>
        <v/>
      </c>
      <c r="Z45" s="136">
        <f>IF(E45=$Z$6,1,"")</f>
        <v/>
      </c>
      <c r="AA45" s="136">
        <f>IF(E45=$AA$6,1,"")</f>
        <v/>
      </c>
      <c r="AB45" s="136">
        <f>IF(E45=$AB$6,1,"")</f>
        <v/>
      </c>
      <c r="AC45" s="136">
        <f>IF(E45=$AC$6,1,"")</f>
        <v/>
      </c>
      <c r="AD45" s="136">
        <f>IF(E45=$AD$6,1,"")</f>
        <v/>
      </c>
      <c r="AE45" s="136">
        <f>IF(E45=$AE$6,1,"")</f>
        <v/>
      </c>
      <c r="AF45" s="136">
        <f>IF(E45=$AF$6,1,"")</f>
        <v/>
      </c>
      <c r="AG45" s="136">
        <f>IF(E45=$AG$6,1,"")</f>
        <v/>
      </c>
      <c r="AH45" s="136">
        <f>IF(E45=$AH$6,1,"")</f>
        <v/>
      </c>
      <c r="AI45" s="136">
        <f>IF(E45=$AI$6,1,"")</f>
        <v/>
      </c>
      <c r="AJ45" s="136">
        <f>IF(E45=$AJ$6,1,"")</f>
        <v/>
      </c>
      <c r="AK45" s="81">
        <f>IF(E45=$AK$6,1,"")</f>
        <v/>
      </c>
      <c r="AL45" s="81">
        <f>IF(E45=$AL$6,1,"")</f>
        <v/>
      </c>
      <c r="AM45" s="81">
        <f>IF(E45=$AM$6,1,"")</f>
        <v/>
      </c>
      <c r="AN45" s="81">
        <f>IF(E45=$AN$6,1,"")</f>
        <v/>
      </c>
      <c r="AO45" s="81">
        <f>IF(E45=$AO$6,1,"")</f>
        <v/>
      </c>
      <c r="AP45" s="81">
        <f>IF(E45=$AP$6,1,"")</f>
        <v/>
      </c>
      <c r="AQ45" s="81">
        <f>IF(E45=$AQ$6,1,"")</f>
        <v/>
      </c>
      <c r="AR45" s="81">
        <f>IF(E45=$AR$6,1,"")</f>
        <v/>
      </c>
      <c r="AS45" s="81" t="n"/>
    </row>
    <row r="46" ht="15.75" customHeight="1" s="80">
      <c r="A46" s="123" t="inlineStr">
        <is>
          <t>Cynthia Gocek</t>
        </is>
      </c>
      <c r="B46" s="124" t="inlineStr">
        <is>
          <t>07/16/2025</t>
        </is>
      </c>
      <c r="C46" s="125" t="inlineStr">
        <is>
          <t>kg186623</t>
        </is>
      </c>
      <c r="D46" s="126" t="inlineStr">
        <is>
          <t>Kyle</t>
        </is>
      </c>
      <c r="E46" s="127" t="inlineStr">
        <is>
          <t>SLP TW</t>
        </is>
      </c>
      <c r="F46" s="128" t="n">
        <v>60</v>
      </c>
      <c r="G46" s="129" t="n"/>
      <c r="H46" s="130" t="n"/>
      <c r="I46" s="131" t="n"/>
      <c r="J46" s="130">
        <f>IF(COUNTIF(B46:E46,"*")=0,"",IF(T46=1,"Invalid Service",IF(AND(V46=1,F46=""),"Add Session Mins",IF(AND(E46&gt;0,H46="",T46=""),"Enter Contract Rate",IF(AND(E46="IEP mtg, prep, rept",F46&gt;0),(G46*H46),IF(AND(E46&gt;0,F46&gt;0,H46&gt;0,I46=""),"Enter Travel",IF(AND(F46&gt;0,I46="Y"),(G46*H46)+$M$10,IF(AND(F46&gt;0,I46="N"),(G46*H46),H46))))))))</f>
        <v/>
      </c>
      <c r="K46" s="132">
        <f>J46</f>
        <v/>
      </c>
      <c r="L46" s="148" t="n"/>
      <c r="M46" s="148" t="n"/>
      <c r="N46" s="148" t="n"/>
      <c r="O46" s="87" t="n"/>
      <c r="P46" s="81" t="n"/>
      <c r="Q46" s="81" t="n"/>
      <c r="R46" s="81" t="n"/>
      <c r="S46" s="81" t="n"/>
      <c r="T46" s="136">
        <f>IF(AND(E46&gt;0,U46=0),1,"")</f>
        <v/>
      </c>
      <c r="U46" s="136">
        <f>SUM(X46:AR46)</f>
        <v/>
      </c>
      <c r="V46" s="136">
        <f>IF(E46=$Q$16,0,SUM(X46:AI46))</f>
        <v/>
      </c>
      <c r="W46" s="136">
        <f>SUM(AK46:AR46)</f>
        <v/>
      </c>
      <c r="X46" s="136">
        <f>IF(E46=$X$6,1,"")</f>
        <v/>
      </c>
      <c r="Y46" s="136">
        <f>IF(E46=$Y$6,1,"")</f>
        <v/>
      </c>
      <c r="Z46" s="136">
        <f>IF(E46=$Z$6,1,"")</f>
        <v/>
      </c>
      <c r="AA46" s="136">
        <f>IF(E46=$AA$6,1,"")</f>
        <v/>
      </c>
      <c r="AB46" s="136">
        <f>IF(E46=$AB$6,1,"")</f>
        <v/>
      </c>
      <c r="AC46" s="136">
        <f>IF(E46=$AC$6,1,"")</f>
        <v/>
      </c>
      <c r="AD46" s="136">
        <f>IF(E46=$AD$6,1,"")</f>
        <v/>
      </c>
      <c r="AE46" s="136">
        <f>IF(E46=$AE$6,1,"")</f>
        <v/>
      </c>
      <c r="AF46" s="136">
        <f>IF(E46=$AF$6,1,"")</f>
        <v/>
      </c>
      <c r="AG46" s="136">
        <f>IF(E46=$AG$6,1,"")</f>
        <v/>
      </c>
      <c r="AH46" s="136">
        <f>IF(E46=$AH$6,1,"")</f>
        <v/>
      </c>
      <c r="AI46" s="136">
        <f>IF(E46=$AI$6,1,"")</f>
        <v/>
      </c>
      <c r="AJ46" s="136">
        <f>IF(E46=$AJ$6,1,"")</f>
        <v/>
      </c>
      <c r="AK46" s="81">
        <f>IF(E46=$AK$6,1,"")</f>
        <v/>
      </c>
      <c r="AL46" s="81">
        <f>IF(E46=$AL$6,1,"")</f>
        <v/>
      </c>
      <c r="AM46" s="81">
        <f>IF(E46=$AM$6,1,"")</f>
        <v/>
      </c>
      <c r="AN46" s="81">
        <f>IF(E46=$AN$6,1,"")</f>
        <v/>
      </c>
      <c r="AO46" s="81">
        <f>IF(E46=$AO$6,1,"")</f>
        <v/>
      </c>
      <c r="AP46" s="81">
        <f>IF(E46=$AP$6,1,"")</f>
        <v/>
      </c>
      <c r="AQ46" s="81">
        <f>IF(E46=$AQ$6,1,"")</f>
        <v/>
      </c>
      <c r="AR46" s="81">
        <f>IF(E46=$AR$6,1,"")</f>
        <v/>
      </c>
      <c r="AS46" s="81" t="n"/>
    </row>
    <row r="47" ht="15.75" customHeight="1" s="80">
      <c r="A47" s="152" t="inlineStr">
        <is>
          <t>Cynthia Gocek</t>
        </is>
      </c>
      <c r="B47" s="124" t="inlineStr">
        <is>
          <t>07/18/2025</t>
        </is>
      </c>
      <c r="C47" s="125" t="inlineStr">
        <is>
          <t>kg186623</t>
        </is>
      </c>
      <c r="D47" s="126" t="inlineStr">
        <is>
          <t>Kyle</t>
        </is>
      </c>
      <c r="E47" s="127" t="inlineStr">
        <is>
          <t>SLP TW</t>
        </is>
      </c>
      <c r="F47" s="128" t="n">
        <v>60</v>
      </c>
      <c r="G47" s="129" t="n"/>
      <c r="H47" s="130" t="n"/>
      <c r="I47" s="131" t="n"/>
      <c r="J47" s="131">
        <f>IF(COUNTIF(B47:E47,"*")=0,"",IF(T47=1,"Invalid Service",IF(AND(V47=1,F47=""),"Add Session Mins",IF(AND(E47&gt;0,H47="",T47=""),"Enter Contract Rate",IF(AND(E47="IEP mtg, prep, rept",F47&gt;0),(G47*H47),IF(AND(E47&gt;0,F47&gt;0,H47&gt;0,I47=""),"Enter Travel",IF(AND(F47&gt;0,I47="Y"),(G47*H47)+$M$10,IF(AND(F47&gt;0,I47="N"),(G47*H47),H47))))))))</f>
        <v/>
      </c>
      <c r="K47" s="132">
        <f>J47</f>
        <v/>
      </c>
      <c r="L47" s="148" t="n"/>
      <c r="M47" s="148" t="n"/>
      <c r="N47" s="148" t="n"/>
      <c r="O47" s="87" t="n"/>
      <c r="P47" s="81" t="n"/>
      <c r="Q47" s="81" t="n"/>
      <c r="R47" s="81" t="n"/>
      <c r="S47" s="81" t="n"/>
      <c r="T47" s="136">
        <f>IF(AND(E47&gt;0,U47=0),1,"")</f>
        <v/>
      </c>
      <c r="U47" s="136">
        <f>SUM(X47:AR47)</f>
        <v/>
      </c>
      <c r="V47" s="136">
        <f>IF(E47=$Q$16,0,SUM(X47:AI47))</f>
        <v/>
      </c>
      <c r="W47" s="136">
        <f>SUM(AK47:AR47)</f>
        <v/>
      </c>
      <c r="X47" s="136">
        <f>IF(E47=$X$6,1,"")</f>
        <v/>
      </c>
      <c r="Y47" s="136">
        <f>IF(E47=$Y$6,1,"")</f>
        <v/>
      </c>
      <c r="Z47" s="136">
        <f>IF(E47=$Z$6,1,"")</f>
        <v/>
      </c>
      <c r="AA47" s="136">
        <f>IF(E47=$AA$6,1,"")</f>
        <v/>
      </c>
      <c r="AB47" s="136">
        <f>IF(E47=$AB$6,1,"")</f>
        <v/>
      </c>
      <c r="AC47" s="136">
        <f>IF(E47=$AC$6,1,"")</f>
        <v/>
      </c>
      <c r="AD47" s="136">
        <f>IF(E47=$AD$6,1,"")</f>
        <v/>
      </c>
      <c r="AE47" s="136">
        <f>IF(E47=$AE$6,1,"")</f>
        <v/>
      </c>
      <c r="AF47" s="136">
        <f>IF(E47=$AF$6,1,"")</f>
        <v/>
      </c>
      <c r="AG47" s="136">
        <f>IF(E47=$AG$6,1,"")</f>
        <v/>
      </c>
      <c r="AH47" s="136">
        <f>IF(E47=$AH$6,1,"")</f>
        <v/>
      </c>
      <c r="AI47" s="136">
        <f>IF(E47=$AI$6,1,"")</f>
        <v/>
      </c>
      <c r="AJ47" s="136">
        <f>IF(E47=$AJ$6,1,"")</f>
        <v/>
      </c>
      <c r="AK47" s="81">
        <f>IF(E47=$AK$6,1,"")</f>
        <v/>
      </c>
      <c r="AL47" s="81">
        <f>IF(E47=$AL$6,1,"")</f>
        <v/>
      </c>
      <c r="AM47" s="81">
        <f>IF(E47=$AM$6,1,"")</f>
        <v/>
      </c>
      <c r="AN47" s="81">
        <f>IF(E47=$AN$6,1,"")</f>
        <v/>
      </c>
      <c r="AO47" s="81">
        <f>IF(E47=$AO$6,1,"")</f>
        <v/>
      </c>
      <c r="AP47" s="81">
        <f>IF(E47=$AP$6,1,"")</f>
        <v/>
      </c>
      <c r="AQ47" s="81">
        <f>IF(E47=$AQ$6,1,"")</f>
        <v/>
      </c>
      <c r="AR47" s="81">
        <f>IF(E47=$AR$6,1,"")</f>
        <v/>
      </c>
      <c r="AS47" s="81" t="n"/>
    </row>
    <row r="48" ht="15.75" customHeight="1" s="80">
      <c r="A48" s="123" t="inlineStr">
        <is>
          <t>Cynthia Gocek</t>
        </is>
      </c>
      <c r="B48" s="124" t="inlineStr">
        <is>
          <t>07/23/2025</t>
        </is>
      </c>
      <c r="C48" s="125" t="inlineStr">
        <is>
          <t>kg186623</t>
        </is>
      </c>
      <c r="D48" s="126" t="inlineStr">
        <is>
          <t>Kyle</t>
        </is>
      </c>
      <c r="E48" s="127" t="inlineStr">
        <is>
          <t>SLP TW</t>
        </is>
      </c>
      <c r="F48" s="128" t="n">
        <v>60</v>
      </c>
      <c r="G48" s="129" t="n"/>
      <c r="H48" s="130" t="n"/>
      <c r="I48" s="131" t="n"/>
      <c r="J48" s="130">
        <f>IF(COUNTIF(B48:E48,"*")=0,"",IF(T48=1,"Invalid Service",IF(AND(V48=1,F48=""),"Add Session Mins",IF(AND(E48&gt;0,H48="",T48=""),"Enter Contract Rate",IF(AND(E48="IEP mtg, prep, rept",F48&gt;0),(G48*H48),IF(AND(E48&gt;0,F48&gt;0,H48&gt;0,I48=""),"Enter Travel",IF(AND(F48&gt;0,I48="Y"),(G48*H48)+$M$10,IF(AND(F48&gt;0,I48="N"),(G48*H48),H48))))))))</f>
        <v/>
      </c>
      <c r="K48" s="132">
        <f>J48</f>
        <v/>
      </c>
      <c r="L48" s="148" t="n"/>
      <c r="M48" s="148" t="n"/>
      <c r="N48" s="148" t="n"/>
      <c r="O48" s="87" t="n"/>
      <c r="P48" s="81" t="n"/>
      <c r="Q48" s="81" t="n"/>
      <c r="R48" s="81" t="n"/>
      <c r="S48" s="81" t="n"/>
      <c r="T48" s="136">
        <f>IF(AND(E48&gt;0,U48=0),1,"")</f>
        <v/>
      </c>
      <c r="U48" s="136">
        <f>SUM(X48:AR48)</f>
        <v/>
      </c>
      <c r="V48" s="136">
        <f>IF(E48=$Q$16,0,SUM(X48:AI48))</f>
        <v/>
      </c>
      <c r="W48" s="136">
        <f>SUM(AK48:AR48)</f>
        <v/>
      </c>
      <c r="X48" s="136">
        <f>IF(E48=$X$6,1,"")</f>
        <v/>
      </c>
      <c r="Y48" s="136">
        <f>IF(E48=$Y$6,1,"")</f>
        <v/>
      </c>
      <c r="Z48" s="136">
        <f>IF(E48=$Z$6,1,"")</f>
        <v/>
      </c>
      <c r="AA48" s="136">
        <f>IF(E48=$AA$6,1,"")</f>
        <v/>
      </c>
      <c r="AB48" s="136">
        <f>IF(E48=$AB$6,1,"")</f>
        <v/>
      </c>
      <c r="AC48" s="136">
        <f>IF(E48=$AC$6,1,"")</f>
        <v/>
      </c>
      <c r="AD48" s="136">
        <f>IF(E48=$AD$6,1,"")</f>
        <v/>
      </c>
      <c r="AE48" s="136">
        <f>IF(E48=$AE$6,1,"")</f>
        <v/>
      </c>
      <c r="AF48" s="136">
        <f>IF(E48=$AF$6,1,"")</f>
        <v/>
      </c>
      <c r="AG48" s="136">
        <f>IF(E48=$AG$6,1,"")</f>
        <v/>
      </c>
      <c r="AH48" s="136">
        <f>IF(E48=$AH$6,1,"")</f>
        <v/>
      </c>
      <c r="AI48" s="136">
        <f>IF(E48=$AI$6,1,"")</f>
        <v/>
      </c>
      <c r="AJ48" s="136">
        <f>IF(E48=$AJ$6,1,"")</f>
        <v/>
      </c>
      <c r="AK48" s="81">
        <f>IF(E48=$AK$6,1,"")</f>
        <v/>
      </c>
      <c r="AL48" s="81">
        <f>IF(E48=$AL$6,1,"")</f>
        <v/>
      </c>
      <c r="AM48" s="81">
        <f>IF(E48=$AM$6,1,"")</f>
        <v/>
      </c>
      <c r="AN48" s="81">
        <f>IF(E48=$AN$6,1,"")</f>
        <v/>
      </c>
      <c r="AO48" s="81">
        <f>IF(E48=$AO$6,1,"")</f>
        <v/>
      </c>
      <c r="AP48" s="81">
        <f>IF(E48=$AP$6,1,"")</f>
        <v/>
      </c>
      <c r="AQ48" s="81">
        <f>IF(E48=$AQ$6,1,"")</f>
        <v/>
      </c>
      <c r="AR48" s="81">
        <f>IF(E48=$AR$6,1,"")</f>
        <v/>
      </c>
      <c r="AS48" s="81" t="n"/>
    </row>
    <row r="49" ht="15.75" customHeight="1" s="80">
      <c r="A49" s="123" t="inlineStr">
        <is>
          <t>Cynthia Gocek</t>
        </is>
      </c>
      <c r="B49" s="124" t="inlineStr">
        <is>
          <t>07/25/2025</t>
        </is>
      </c>
      <c r="C49" s="125" t="inlineStr">
        <is>
          <t>kg186623</t>
        </is>
      </c>
      <c r="D49" s="126" t="inlineStr">
        <is>
          <t>Kyle</t>
        </is>
      </c>
      <c r="E49" s="127" t="inlineStr">
        <is>
          <t>SLP TW</t>
        </is>
      </c>
      <c r="F49" s="128" t="n">
        <v>60</v>
      </c>
      <c r="G49" s="129" t="n"/>
      <c r="H49" s="130" t="n"/>
      <c r="I49" s="131" t="n"/>
      <c r="J49" s="131">
        <f>IF(COUNTIF(B49:E49,"*")=0,"",IF(T49=1,"Invalid Service",IF(AND(V49=1,F49=""),"Add Session Mins",IF(AND(E49&gt;0,H49="",T49=""),"Enter Contract Rate",IF(AND(E49="IEP mtg, prep, rept",F49&gt;0),(G49*H49),IF(AND(E49&gt;0,F49&gt;0,H49&gt;0,I49=""),"Enter Travel",IF(AND(F49&gt;0,I49="Y"),(G49*H49)+$M$10,IF(AND(F49&gt;0,I49="N"),(G49*H49),H49))))))))</f>
        <v/>
      </c>
      <c r="K49" s="132">
        <f>J49</f>
        <v/>
      </c>
      <c r="L49" s="148" t="n"/>
      <c r="M49" s="148" t="n"/>
      <c r="N49" s="148" t="n"/>
      <c r="O49" s="87" t="n"/>
      <c r="P49" s="81" t="n"/>
      <c r="Q49" s="81" t="n"/>
      <c r="R49" s="81" t="n"/>
      <c r="S49" s="81" t="n"/>
      <c r="T49" s="136">
        <f>IF(AND(E49&gt;0,U49=0),1,"")</f>
        <v/>
      </c>
      <c r="U49" s="136">
        <f>SUM(X49:AR49)</f>
        <v/>
      </c>
      <c r="V49" s="136">
        <f>IF(E49=$Q$16,0,SUM(X49:AI49))</f>
        <v/>
      </c>
      <c r="W49" s="136">
        <f>SUM(AK49:AR49)</f>
        <v/>
      </c>
      <c r="X49" s="136">
        <f>IF(E49=$X$6,1,"")</f>
        <v/>
      </c>
      <c r="Y49" s="136">
        <f>IF(E49=$Y$6,1,"")</f>
        <v/>
      </c>
      <c r="Z49" s="136">
        <f>IF(E49=$Z$6,1,"")</f>
        <v/>
      </c>
      <c r="AA49" s="136">
        <f>IF(E49=$AA$6,1,"")</f>
        <v/>
      </c>
      <c r="AB49" s="136">
        <f>IF(E49=$AB$6,1,"")</f>
        <v/>
      </c>
      <c r="AC49" s="136">
        <f>IF(E49=$AC$6,1,"")</f>
        <v/>
      </c>
      <c r="AD49" s="136">
        <f>IF(E49=$AD$6,1,"")</f>
        <v/>
      </c>
      <c r="AE49" s="136">
        <f>IF(E49=$AE$6,1,"")</f>
        <v/>
      </c>
      <c r="AF49" s="136">
        <f>IF(E49=$AF$6,1,"")</f>
        <v/>
      </c>
      <c r="AG49" s="136">
        <f>IF(E49=$AG$6,1,"")</f>
        <v/>
      </c>
      <c r="AH49" s="136">
        <f>IF(E49=$AH$6,1,"")</f>
        <v/>
      </c>
      <c r="AI49" s="136">
        <f>IF(E49=$AI$6,1,"")</f>
        <v/>
      </c>
      <c r="AJ49" s="136">
        <f>IF(E49=$AJ$6,1,"")</f>
        <v/>
      </c>
      <c r="AK49" s="81">
        <f>IF(E49=$AK$6,1,"")</f>
        <v/>
      </c>
      <c r="AL49" s="81">
        <f>IF(E49=$AL$6,1,"")</f>
        <v/>
      </c>
      <c r="AM49" s="81">
        <f>IF(E49=$AM$6,1,"")</f>
        <v/>
      </c>
      <c r="AN49" s="81">
        <f>IF(E49=$AN$6,1,"")</f>
        <v/>
      </c>
      <c r="AO49" s="81">
        <f>IF(E49=$AO$6,1,"")</f>
        <v/>
      </c>
      <c r="AP49" s="81">
        <f>IF(E49=$AP$6,1,"")</f>
        <v/>
      </c>
      <c r="AQ49" s="81">
        <f>IF(E49=$AQ$6,1,"")</f>
        <v/>
      </c>
      <c r="AR49" s="81">
        <f>IF(E49=$AR$6,1,"")</f>
        <v/>
      </c>
      <c r="AS49" s="81" t="n"/>
    </row>
    <row r="50" ht="15.75" customHeight="1" s="80">
      <c r="A50" s="123" t="inlineStr">
        <is>
          <t>Cynthia Gocek</t>
        </is>
      </c>
      <c r="B50" s="124" t="inlineStr">
        <is>
          <t>07/30/2025</t>
        </is>
      </c>
      <c r="C50" s="125" t="inlineStr">
        <is>
          <t>kg186623</t>
        </is>
      </c>
      <c r="D50" s="126" t="inlineStr">
        <is>
          <t>Kyle</t>
        </is>
      </c>
      <c r="E50" s="127" t="inlineStr">
        <is>
          <t>SLP TW</t>
        </is>
      </c>
      <c r="F50" s="128" t="n">
        <v>60</v>
      </c>
      <c r="G50" s="129" t="n"/>
      <c r="H50" s="130" t="n"/>
      <c r="I50" s="131" t="n"/>
      <c r="J50" s="130">
        <f>IF(COUNTIF(B50:E50,"*")=0,"",IF(T50=1,"Invalid Service",IF(AND(V50=1,F50=""),"Add Session Mins",IF(AND(E50&gt;0,H50="",T50=""),"Enter Contract Rate",IF(AND(E50="IEP mtg, prep, rept",F50&gt;0),(G50*H50),IF(AND(E50&gt;0,F50&gt;0,H50&gt;0,I50=""),"Enter Travel",IF(AND(F50&gt;0,I50="Y"),(G50*H50)+$M$10,IF(AND(F50&gt;0,I50="N"),(G50*H50),H50))))))))</f>
        <v/>
      </c>
      <c r="K50" s="132">
        <f>J50</f>
        <v/>
      </c>
      <c r="L50" s="148" t="n"/>
      <c r="M50" s="148" t="n"/>
      <c r="N50" s="148" t="n"/>
      <c r="O50" s="87" t="n"/>
      <c r="P50" s="81" t="n"/>
      <c r="Q50" s="81" t="n"/>
      <c r="R50" s="81" t="n"/>
      <c r="S50" s="81" t="n"/>
      <c r="T50" s="136">
        <f>IF(AND(E50&gt;0,U50=0),1,"")</f>
        <v/>
      </c>
      <c r="U50" s="136">
        <f>SUM(X50:AR50)</f>
        <v/>
      </c>
      <c r="V50" s="136">
        <f>IF(E50=$Q$16,0,SUM(X50:AI50))</f>
        <v/>
      </c>
      <c r="W50" s="136">
        <f>SUM(AK50:AR50)</f>
        <v/>
      </c>
      <c r="X50" s="136">
        <f>IF(E50=$X$6,1,"")</f>
        <v/>
      </c>
      <c r="Y50" s="136">
        <f>IF(E50=$Y$6,1,"")</f>
        <v/>
      </c>
      <c r="Z50" s="136">
        <f>IF(E50=$Z$6,1,"")</f>
        <v/>
      </c>
      <c r="AA50" s="136">
        <f>IF(E50=$AA$6,1,"")</f>
        <v/>
      </c>
      <c r="AB50" s="136">
        <f>IF(E50=$AB$6,1,"")</f>
        <v/>
      </c>
      <c r="AC50" s="136">
        <f>IF(E50=$AC$6,1,"")</f>
        <v/>
      </c>
      <c r="AD50" s="136">
        <f>IF(E50=$AD$6,1,"")</f>
        <v/>
      </c>
      <c r="AE50" s="136">
        <f>IF(E50=$AE$6,1,"")</f>
        <v/>
      </c>
      <c r="AF50" s="136">
        <f>IF(E50=$AF$6,1,"")</f>
        <v/>
      </c>
      <c r="AG50" s="136">
        <f>IF(E50=$AG$6,1,"")</f>
        <v/>
      </c>
      <c r="AH50" s="136">
        <f>IF(E50=$AH$6,1,"")</f>
        <v/>
      </c>
      <c r="AI50" s="136">
        <f>IF(E50=$AI$6,1,"")</f>
        <v/>
      </c>
      <c r="AJ50" s="136">
        <f>IF(E50=$AJ$6,1,"")</f>
        <v/>
      </c>
      <c r="AK50" s="81">
        <f>IF(E50=$AK$6,1,"")</f>
        <v/>
      </c>
      <c r="AL50" s="81">
        <f>IF(E50=$AL$6,1,"")</f>
        <v/>
      </c>
      <c r="AM50" s="81">
        <f>IF(E50=$AM$6,1,"")</f>
        <v/>
      </c>
      <c r="AN50" s="81">
        <f>IF(E50=$AN$6,1,"")</f>
        <v/>
      </c>
      <c r="AO50" s="81">
        <f>IF(E50=$AO$6,1,"")</f>
        <v/>
      </c>
      <c r="AP50" s="81">
        <f>IF(E50=$AP$6,1,"")</f>
        <v/>
      </c>
      <c r="AQ50" s="81">
        <f>IF(E50=$AQ$6,1,"")</f>
        <v/>
      </c>
      <c r="AR50" s="81">
        <f>IF(E50=$AR$6,1,"")</f>
        <v/>
      </c>
      <c r="AS50" s="81" t="n"/>
    </row>
    <row r="51" ht="15.75" customHeight="1" s="80">
      <c r="A51" s="123" t="inlineStr">
        <is>
          <t>Cynthia Gocek</t>
        </is>
      </c>
      <c r="B51" s="124" t="inlineStr">
        <is>
          <t>07/31/2025</t>
        </is>
      </c>
      <c r="C51" s="125" t="inlineStr">
        <is>
          <t>kg186623</t>
        </is>
      </c>
      <c r="D51" s="126" t="inlineStr">
        <is>
          <t>Kyle</t>
        </is>
      </c>
      <c r="E51" s="127" t="inlineStr">
        <is>
          <t>SLP TW</t>
        </is>
      </c>
      <c r="F51" s="128" t="n">
        <v>60</v>
      </c>
      <c r="G51" s="129" t="n"/>
      <c r="H51" s="130" t="n"/>
      <c r="I51" s="131" t="n"/>
      <c r="J51" s="131">
        <f>IF(COUNTIF(B51:E51,"*")=0,"",IF(T51=1,"Invalid Service",IF(AND(V51=1,F51=""),"Add Session Mins",IF(AND(E51&gt;0,H51="",T51=""),"Enter Contract Rate",IF(AND(E51="IEP mtg, prep, rept",F51&gt;0),(G51*H51),IF(AND(E51&gt;0,F51&gt;0,H51&gt;0,I51=""),"Enter Travel",IF(AND(F51&gt;0,I51="Y"),(G51*H51)+$M$10,IF(AND(F51&gt;0,I51="N"),(G51*H51),H51))))))))</f>
        <v/>
      </c>
      <c r="K51" s="132">
        <f>J51</f>
        <v/>
      </c>
      <c r="L51" s="148" t="n"/>
      <c r="M51" s="148" t="n"/>
      <c r="N51" s="148" t="n"/>
      <c r="O51" s="87" t="n"/>
      <c r="P51" s="81" t="n"/>
      <c r="Q51" s="81" t="n"/>
      <c r="R51" s="81" t="n"/>
      <c r="S51" s="81" t="n"/>
      <c r="T51" s="136">
        <f>IF(AND(E51&gt;0,U51=0),1,"")</f>
        <v/>
      </c>
      <c r="U51" s="136">
        <f>SUM(X51:AR51)</f>
        <v/>
      </c>
      <c r="V51" s="136">
        <f>IF(E51=$Q$16,0,SUM(X51:AI51))</f>
        <v/>
      </c>
      <c r="W51" s="136">
        <f>SUM(AK51:AR51)</f>
        <v/>
      </c>
      <c r="X51" s="136">
        <f>IF(E51=$X$6,1,"")</f>
        <v/>
      </c>
      <c r="Y51" s="136">
        <f>IF(E51=$Y$6,1,"")</f>
        <v/>
      </c>
      <c r="Z51" s="136">
        <f>IF(E51=$Z$6,1,"")</f>
        <v/>
      </c>
      <c r="AA51" s="136">
        <f>IF(E51=$AA$6,1,"")</f>
        <v/>
      </c>
      <c r="AB51" s="136">
        <f>IF(E51=$AB$6,1,"")</f>
        <v/>
      </c>
      <c r="AC51" s="136">
        <f>IF(E51=$AC$6,1,"")</f>
        <v/>
      </c>
      <c r="AD51" s="136">
        <f>IF(E51=$AD$6,1,"")</f>
        <v/>
      </c>
      <c r="AE51" s="136">
        <f>IF(E51=$AE$6,1,"")</f>
        <v/>
      </c>
      <c r="AF51" s="136">
        <f>IF(E51=$AF$6,1,"")</f>
        <v/>
      </c>
      <c r="AG51" s="136">
        <f>IF(E51=$AG$6,1,"")</f>
        <v/>
      </c>
      <c r="AH51" s="136">
        <f>IF(E51=$AH$6,1,"")</f>
        <v/>
      </c>
      <c r="AI51" s="136">
        <f>IF(E51=$AI$6,1,"")</f>
        <v/>
      </c>
      <c r="AJ51" s="136">
        <f>IF(E51=$AJ$6,1,"")</f>
        <v/>
      </c>
      <c r="AK51" s="81">
        <f>IF(E51=$AK$6,1,"")</f>
        <v/>
      </c>
      <c r="AL51" s="81">
        <f>IF(E51=$AL$6,1,"")</f>
        <v/>
      </c>
      <c r="AM51" s="81">
        <f>IF(E51=$AM$6,1,"")</f>
        <v/>
      </c>
      <c r="AN51" s="81">
        <f>IF(E51=$AN$6,1,"")</f>
        <v/>
      </c>
      <c r="AO51" s="81">
        <f>IF(E51=$AO$6,1,"")</f>
        <v/>
      </c>
      <c r="AP51" s="81">
        <f>IF(E51=$AP$6,1,"")</f>
        <v/>
      </c>
      <c r="AQ51" s="81">
        <f>IF(E51=$AQ$6,1,"")</f>
        <v/>
      </c>
      <c r="AR51" s="81">
        <f>IF(E51=$AR$6,1,"")</f>
        <v/>
      </c>
      <c r="AS51" s="81" t="n"/>
    </row>
    <row r="52" ht="15.75" customHeight="1" s="80">
      <c r="A52" s="123" t="inlineStr">
        <is>
          <t>Sara Ravier</t>
        </is>
      </c>
      <c r="B52" s="124" t="inlineStr">
        <is>
          <t>07/07/2025</t>
        </is>
      </c>
      <c r="C52" s="125" t="inlineStr">
        <is>
          <t>ma220292</t>
        </is>
      </c>
      <c r="D52" s="126" t="inlineStr">
        <is>
          <t>Michael</t>
        </is>
      </c>
      <c r="E52" s="127" t="inlineStr">
        <is>
          <t>OT TW</t>
        </is>
      </c>
      <c r="F52" s="128" t="n">
        <v>30</v>
      </c>
      <c r="G52" s="129" t="n"/>
      <c r="H52" s="130" t="n"/>
      <c r="I52" s="131" t="n"/>
      <c r="J52" s="131">
        <f>IF(COUNTIF(B52:E52,"*")=0,"",IF(T52=1,"Invalid Service",IF(AND(V52=1,F52=""),"Add Session Mins",IF(AND(E52&gt;0,H52="",T52=""),"Enter Contract Rate",IF(AND(E52="IEP mtg, prep, rept",F52&gt;0),(G52*H52),IF(AND(E52&gt;0,F52&gt;0,H52&gt;0,I52=""),"Enter Travel",IF(AND(F52&gt;0,I52="Y"),(G52*H52)+$M$10,IF(AND(F52&gt;0,I52="N"),(G52*H52),H52))))))))</f>
        <v/>
      </c>
      <c r="K52" s="132">
        <f>J52</f>
        <v/>
      </c>
      <c r="L52" s="148" t="n"/>
      <c r="M52" s="148" t="n"/>
      <c r="N52" s="148" t="n"/>
      <c r="O52" s="87" t="n"/>
      <c r="P52" s="81" t="n"/>
      <c r="Q52" s="81" t="n"/>
      <c r="R52" s="81" t="n"/>
      <c r="S52" s="81" t="n"/>
      <c r="T52" s="136">
        <f>IF(AND(E52&gt;0,U52=0),1,"")</f>
        <v/>
      </c>
      <c r="U52" s="136">
        <f>SUM(X52:AR52)</f>
        <v/>
      </c>
      <c r="V52" s="136">
        <f>IF(E52=$Q$16,0,SUM(X52:AI52))</f>
        <v/>
      </c>
      <c r="W52" s="136">
        <f>SUM(AK52:AR52)</f>
        <v/>
      </c>
      <c r="X52" s="136">
        <f>IF(E52=$X$6,1,"")</f>
        <v/>
      </c>
      <c r="Y52" s="136">
        <f>IF(E52=$Y$6,1,"")</f>
        <v/>
      </c>
      <c r="Z52" s="136">
        <f>IF(E52=$Z$6,1,"")</f>
        <v/>
      </c>
      <c r="AA52" s="136">
        <f>IF(E52=$AA$6,1,"")</f>
        <v/>
      </c>
      <c r="AB52" s="136">
        <f>IF(E52=$AB$6,1,"")</f>
        <v/>
      </c>
      <c r="AC52" s="136">
        <f>IF(E52=$AC$6,1,"")</f>
        <v/>
      </c>
      <c r="AD52" s="136">
        <f>IF(E52=$AD$6,1,"")</f>
        <v/>
      </c>
      <c r="AE52" s="136">
        <f>IF(E52=$AE$6,1,"")</f>
        <v/>
      </c>
      <c r="AF52" s="136">
        <f>IF(E52=$AF$6,1,"")</f>
        <v/>
      </c>
      <c r="AG52" s="136">
        <f>IF(E52=$AG$6,1,"")</f>
        <v/>
      </c>
      <c r="AH52" s="136">
        <f>IF(E52=$AH$6,1,"")</f>
        <v/>
      </c>
      <c r="AI52" s="136">
        <f>IF(E52=$AI$6,1,"")</f>
        <v/>
      </c>
      <c r="AJ52" s="136">
        <f>IF(E52=$AJ$6,1,"")</f>
        <v/>
      </c>
      <c r="AK52" s="81">
        <f>IF(E52=$AK$6,1,"")</f>
        <v/>
      </c>
      <c r="AL52" s="81">
        <f>IF(E52=$AL$6,1,"")</f>
        <v/>
      </c>
      <c r="AM52" s="81">
        <f>IF(E52=$AM$6,1,"")</f>
        <v/>
      </c>
      <c r="AN52" s="81">
        <f>IF(E52=$AN$6,1,"")</f>
        <v/>
      </c>
      <c r="AO52" s="81">
        <f>IF(E52=$AO$6,1,"")</f>
        <v/>
      </c>
      <c r="AP52" s="81">
        <f>IF(E52=$AP$6,1,"")</f>
        <v/>
      </c>
      <c r="AQ52" s="81">
        <f>IF(E52=$AQ$6,1,"")</f>
        <v/>
      </c>
      <c r="AR52" s="81">
        <f>IF(E52=$AR$6,1,"")</f>
        <v/>
      </c>
      <c r="AS52" s="81" t="n"/>
    </row>
    <row r="53" ht="15.75" customHeight="1" s="80">
      <c r="A53" s="123" t="inlineStr">
        <is>
          <t>Sara Ravier</t>
        </is>
      </c>
      <c r="B53" s="124" t="inlineStr">
        <is>
          <t>07/14/2025</t>
        </is>
      </c>
      <c r="C53" s="125" t="inlineStr">
        <is>
          <t>ma220292</t>
        </is>
      </c>
      <c r="D53" s="126" t="inlineStr">
        <is>
          <t>Michael</t>
        </is>
      </c>
      <c r="E53" s="127" t="inlineStr">
        <is>
          <t>OT TW</t>
        </is>
      </c>
      <c r="F53" s="128" t="n">
        <v>30</v>
      </c>
      <c r="G53" s="129" t="n"/>
      <c r="H53" s="130" t="n"/>
      <c r="I53" s="131" t="n"/>
      <c r="J53" s="131">
        <f>IF(COUNTIF(B53:E53,"*")=0,"",IF(T53=1,"Invalid Service",IF(AND(V53=1,F53=""),"Add Session Mins",IF(AND(E53&gt;0,H53="",T53=""),"Enter Contract Rate",IF(AND(E53="IEP mtg, prep, rept",F53&gt;0),(G53*H53),IF(AND(E53&gt;0,F53&gt;0,H53&gt;0,I53=""),"Enter Travel",IF(AND(F53&gt;0,I53="Y"),(G53*H53)+$M$10,IF(AND(F53&gt;0,I53="N"),(G53*H53),H53))))))))</f>
        <v/>
      </c>
      <c r="K53" s="132">
        <f>J53</f>
        <v/>
      </c>
      <c r="L53" s="148" t="n"/>
      <c r="M53" s="148" t="n"/>
      <c r="N53" s="148" t="n"/>
      <c r="O53" s="87" t="n"/>
      <c r="P53" s="81" t="n"/>
      <c r="Q53" s="81" t="n"/>
      <c r="R53" s="81" t="n"/>
      <c r="S53" s="81" t="n"/>
      <c r="T53" s="136">
        <f>IF(AND(E53&gt;0,U53=0),1,"")</f>
        <v/>
      </c>
      <c r="U53" s="136">
        <f>SUM(X53:AR53)</f>
        <v/>
      </c>
      <c r="V53" s="136">
        <f>IF(E53=$Q$16,0,SUM(X53:AI53))</f>
        <v/>
      </c>
      <c r="W53" s="136">
        <f>SUM(AK53:AR53)</f>
        <v/>
      </c>
      <c r="X53" s="136">
        <f>IF(E53=$X$6,1,"")</f>
        <v/>
      </c>
      <c r="Y53" s="136">
        <f>IF(E53=$Y$6,1,"")</f>
        <v/>
      </c>
      <c r="Z53" s="136">
        <f>IF(E53=$Z$6,1,"")</f>
        <v/>
      </c>
      <c r="AA53" s="136">
        <f>IF(E53=$AA$6,1,"")</f>
        <v/>
      </c>
      <c r="AB53" s="136">
        <f>IF(E53=$AB$6,1,"")</f>
        <v/>
      </c>
      <c r="AC53" s="136">
        <f>IF(E53=$AC$6,1,"")</f>
        <v/>
      </c>
      <c r="AD53" s="136">
        <f>IF(E53=$AD$6,1,"")</f>
        <v/>
      </c>
      <c r="AE53" s="136">
        <f>IF(E53=$AE$6,1,"")</f>
        <v/>
      </c>
      <c r="AF53" s="136">
        <f>IF(E53=$AF$6,1,"")</f>
        <v/>
      </c>
      <c r="AG53" s="136">
        <f>IF(E53=$AG$6,1,"")</f>
        <v/>
      </c>
      <c r="AH53" s="136">
        <f>IF(E53=$AH$6,1,"")</f>
        <v/>
      </c>
      <c r="AI53" s="136">
        <f>IF(E53=$AI$6,1,"")</f>
        <v/>
      </c>
      <c r="AJ53" s="136">
        <f>IF(E53=$AJ$6,1,"")</f>
        <v/>
      </c>
      <c r="AK53" s="81">
        <f>IF(E53=$AK$6,1,"")</f>
        <v/>
      </c>
      <c r="AL53" s="81">
        <f>IF(E53=$AL$6,1,"")</f>
        <v/>
      </c>
      <c r="AM53" s="81">
        <f>IF(E53=$AM$6,1,"")</f>
        <v/>
      </c>
      <c r="AN53" s="81">
        <f>IF(E53=$AN$6,1,"")</f>
        <v/>
      </c>
      <c r="AO53" s="81">
        <f>IF(E53=$AO$6,1,"")</f>
        <v/>
      </c>
      <c r="AP53" s="81">
        <f>IF(E53=$AP$6,1,"")</f>
        <v/>
      </c>
      <c r="AQ53" s="81">
        <f>IF(E53=$AQ$6,1,"")</f>
        <v/>
      </c>
      <c r="AR53" s="81">
        <f>IF(E53=$AR$6,1,"")</f>
        <v/>
      </c>
      <c r="AS53" s="81" t="n"/>
    </row>
    <row r="54" ht="15.75" customHeight="1" s="80">
      <c r="A54" s="123" t="inlineStr">
        <is>
          <t>Sara Ravier</t>
        </is>
      </c>
      <c r="B54" s="124" t="inlineStr">
        <is>
          <t>07/21/2025</t>
        </is>
      </c>
      <c r="C54" s="125" t="inlineStr">
        <is>
          <t>ma220292</t>
        </is>
      </c>
      <c r="D54" s="155" t="inlineStr">
        <is>
          <t>Michael</t>
        </is>
      </c>
      <c r="E54" s="127" t="inlineStr">
        <is>
          <t>OT TW</t>
        </is>
      </c>
      <c r="F54" s="128" t="n">
        <v>30</v>
      </c>
      <c r="G54" s="129" t="n"/>
      <c r="H54" s="130" t="n"/>
      <c r="I54" s="131" t="n"/>
      <c r="J54" s="131">
        <f>IF(COUNTIF(B54:E54,"*")=0,"",IF(T54=1,"Invalid Service",IF(AND(V54=1,F54=""),"Add Session Mins",IF(AND(E54&gt;0,H54="",T54=""),"Enter Contract Rate",IF(AND(E54="IEP mtg, prep, rept",F54&gt;0),(G54*H54),IF(AND(E54&gt;0,F54&gt;0,H54&gt;0,I54=""),"Enter Travel",IF(AND(F54&gt;0,I54="Y"),(G54*H54)+$M$10,IF(AND(F54&gt;0,I54="N"),(G54*H54),H54))))))))</f>
        <v/>
      </c>
      <c r="K54" s="132">
        <f>J54</f>
        <v/>
      </c>
      <c r="L54" s="148" t="n"/>
      <c r="M54" s="148" t="n"/>
      <c r="N54" s="148" t="n"/>
      <c r="O54" s="87" t="n"/>
      <c r="P54" s="81" t="n"/>
      <c r="Q54" s="81" t="n"/>
      <c r="R54" s="81" t="n"/>
      <c r="S54" s="81" t="n"/>
      <c r="T54" s="136">
        <f>IF(AND(E54&gt;0,U54=0),1,"")</f>
        <v/>
      </c>
      <c r="U54" s="136">
        <f>SUM(X54:AR54)</f>
        <v/>
      </c>
      <c r="V54" s="136">
        <f>IF(E54=$Q$16,0,SUM(X54:AI54))</f>
        <v/>
      </c>
      <c r="W54" s="136">
        <f>SUM(AK54:AR54)</f>
        <v/>
      </c>
      <c r="X54" s="136">
        <f>IF(E54=$X$6,1,"")</f>
        <v/>
      </c>
      <c r="Y54" s="136">
        <f>IF(E54=$Y$6,1,"")</f>
        <v/>
      </c>
      <c r="Z54" s="136">
        <f>IF(E54=$Z$6,1,"")</f>
        <v/>
      </c>
      <c r="AA54" s="136">
        <f>IF(E54=$AA$6,1,"")</f>
        <v/>
      </c>
      <c r="AB54" s="136">
        <f>IF(E54=$AB$6,1,"")</f>
        <v/>
      </c>
      <c r="AC54" s="136">
        <f>IF(E54=$AC$6,1,"")</f>
        <v/>
      </c>
      <c r="AD54" s="136">
        <f>IF(E54=$AD$6,1,"")</f>
        <v/>
      </c>
      <c r="AE54" s="136">
        <f>IF(E54=$AE$6,1,"")</f>
        <v/>
      </c>
      <c r="AF54" s="136">
        <f>IF(E54=$AF$6,1,"")</f>
        <v/>
      </c>
      <c r="AG54" s="136">
        <f>IF(E54=$AG$6,1,"")</f>
        <v/>
      </c>
      <c r="AH54" s="136">
        <f>IF(E54=$AH$6,1,"")</f>
        <v/>
      </c>
      <c r="AI54" s="136">
        <f>IF(E54=$AI$6,1,"")</f>
        <v/>
      </c>
      <c r="AJ54" s="136">
        <f>IF(E54=$AJ$6,1,"")</f>
        <v/>
      </c>
      <c r="AK54" s="81">
        <f>IF(E54=$AK$6,1,"")</f>
        <v/>
      </c>
      <c r="AL54" s="81">
        <f>IF(E54=$AL$6,1,"")</f>
        <v/>
      </c>
      <c r="AM54" s="81">
        <f>IF(E54=$AM$6,1,"")</f>
        <v/>
      </c>
      <c r="AN54" s="81">
        <f>IF(E54=$AN$6,1,"")</f>
        <v/>
      </c>
      <c r="AO54" s="81">
        <f>IF(E54=$AO$6,1,"")</f>
        <v/>
      </c>
      <c r="AP54" s="81">
        <f>IF(E54=$AP$6,1,"")</f>
        <v/>
      </c>
      <c r="AQ54" s="81">
        <f>IF(E54=$AQ$6,1,"")</f>
        <v/>
      </c>
      <c r="AR54" s="81">
        <f>IF(E54=$AR$6,1,"")</f>
        <v/>
      </c>
      <c r="AS54" s="81" t="n"/>
    </row>
    <row r="55" ht="15.75" customHeight="1" s="80">
      <c r="A55" s="123" t="inlineStr">
        <is>
          <t>Sara Ravier</t>
        </is>
      </c>
      <c r="B55" s="124" t="inlineStr">
        <is>
          <t>07/28/2025</t>
        </is>
      </c>
      <c r="C55" s="125" t="inlineStr">
        <is>
          <t>ma220292</t>
        </is>
      </c>
      <c r="D55" s="126" t="inlineStr">
        <is>
          <t>Michael</t>
        </is>
      </c>
      <c r="E55" s="127" t="inlineStr">
        <is>
          <t>OT TW</t>
        </is>
      </c>
      <c r="F55" s="128" t="n">
        <v>30</v>
      </c>
      <c r="G55" s="129" t="n"/>
      <c r="H55" s="130" t="n"/>
      <c r="I55" s="131" t="n"/>
      <c r="J55" s="131">
        <f>IF(COUNTIF(B55:E55,"*")=0,"",IF(T55=1,"Invalid Service",IF(AND(V55=1,F55=""),"Add Session Mins",IF(AND(E55&gt;0,H55="",T55=""),"Enter Contract Rate",IF(AND(E55="IEP mtg, prep, rept",F55&gt;0),(G55*H55),IF(AND(E55&gt;0,F55&gt;0,H55&gt;0,I55=""),"Enter Travel",IF(AND(F55&gt;0,I55="Y"),(G55*H55)+$M$10,IF(AND(F55&gt;0,I55="N"),(G55*H55),H55))))))))</f>
        <v/>
      </c>
      <c r="K55" s="132">
        <f>J55</f>
        <v/>
      </c>
      <c r="L55" s="148" t="n"/>
      <c r="M55" s="148" t="n"/>
      <c r="N55" s="148" t="n"/>
      <c r="O55" s="87" t="n"/>
      <c r="P55" s="81" t="n"/>
      <c r="Q55" s="81" t="n"/>
      <c r="R55" s="81" t="n"/>
      <c r="S55" s="81" t="n"/>
      <c r="T55" s="136">
        <f>IF(AND(E55&gt;0,U55=0),1,"")</f>
        <v/>
      </c>
      <c r="U55" s="136">
        <f>SUM(X55:AR55)</f>
        <v/>
      </c>
      <c r="V55" s="136">
        <f>IF(E55=$Q$16,0,SUM(X55:AI55))</f>
        <v/>
      </c>
      <c r="W55" s="136">
        <f>SUM(AK55:AR55)</f>
        <v/>
      </c>
      <c r="X55" s="136">
        <f>IF(E55=$X$6,1,"")</f>
        <v/>
      </c>
      <c r="Y55" s="136">
        <f>IF(E55=$Y$6,1,"")</f>
        <v/>
      </c>
      <c r="Z55" s="136">
        <f>IF(E55=$Z$6,1,"")</f>
        <v/>
      </c>
      <c r="AA55" s="136">
        <f>IF(E55=$AA$6,1,"")</f>
        <v/>
      </c>
      <c r="AB55" s="136">
        <f>IF(E55=$AB$6,1,"")</f>
        <v/>
      </c>
      <c r="AC55" s="136">
        <f>IF(E55=$AC$6,1,"")</f>
        <v/>
      </c>
      <c r="AD55" s="136">
        <f>IF(E55=$AD$6,1,"")</f>
        <v/>
      </c>
      <c r="AE55" s="136">
        <f>IF(E55=$AE$6,1,"")</f>
        <v/>
      </c>
      <c r="AF55" s="136">
        <f>IF(E55=$AF$6,1,"")</f>
        <v/>
      </c>
      <c r="AG55" s="136">
        <f>IF(E55=$AG$6,1,"")</f>
        <v/>
      </c>
      <c r="AH55" s="136">
        <f>IF(E55=$AH$6,1,"")</f>
        <v/>
      </c>
      <c r="AI55" s="136">
        <f>IF(E55=$AI$6,1,"")</f>
        <v/>
      </c>
      <c r="AJ55" s="136">
        <f>IF(E55=$AJ$6,1,"")</f>
        <v/>
      </c>
      <c r="AK55" s="81">
        <f>IF(E55=$AK$6,1,"")</f>
        <v/>
      </c>
      <c r="AL55" s="81">
        <f>IF(E55=$AL$6,1,"")</f>
        <v/>
      </c>
      <c r="AM55" s="81">
        <f>IF(E55=$AM$6,1,"")</f>
        <v/>
      </c>
      <c r="AN55" s="81">
        <f>IF(E55=$AN$6,1,"")</f>
        <v/>
      </c>
      <c r="AO55" s="81">
        <f>IF(E55=$AO$6,1,"")</f>
        <v/>
      </c>
      <c r="AP55" s="81">
        <f>IF(E55=$AP$6,1,"")</f>
        <v/>
      </c>
      <c r="AQ55" s="81">
        <f>IF(E55=$AQ$6,1,"")</f>
        <v/>
      </c>
      <c r="AR55" s="81">
        <f>IF(E55=$AR$6,1,"")</f>
        <v/>
      </c>
      <c r="AS55" s="81" t="n"/>
    </row>
    <row r="56" ht="15.75" customHeight="1" s="80">
      <c r="A56" s="123" t="inlineStr">
        <is>
          <t>Sara Ravier</t>
        </is>
      </c>
      <c r="B56" s="124" t="inlineStr">
        <is>
          <t>07/07/2025</t>
        </is>
      </c>
      <c r="C56" s="125" t="inlineStr">
        <is>
          <t>mc200051</t>
        </is>
      </c>
      <c r="D56" s="126" t="inlineStr">
        <is>
          <t>Michael</t>
        </is>
      </c>
      <c r="E56" s="127" t="inlineStr">
        <is>
          <t>OT TW</t>
        </is>
      </c>
      <c r="F56" s="128" t="n">
        <v>60</v>
      </c>
      <c r="G56" s="129" t="n"/>
      <c r="H56" s="130" t="n"/>
      <c r="I56" s="131" t="n"/>
      <c r="J56" s="131">
        <f>IF(COUNTIF(B56:E56,"*")=0,"",IF(T56=1,"Invalid Service",IF(AND(V56=1,F56=""),"Add Session Mins",IF(AND(E56&gt;0,H56="",T56=""),"Enter Contract Rate",IF(AND(E56="IEP mtg, prep, rept",F56&gt;0),(G56*H56),IF(AND(E56&gt;0,F56&gt;0,H56&gt;0,I56=""),"Enter Travel",IF(AND(F56&gt;0,I56="Y"),(G56*H56)+$M$10,IF(AND(F56&gt;0,I56="N"),(G56*H56),H56))))))))</f>
        <v/>
      </c>
      <c r="K56" s="132">
        <f>J56</f>
        <v/>
      </c>
      <c r="L56" s="148" t="n"/>
      <c r="M56" s="148" t="n"/>
      <c r="N56" s="148" t="n"/>
      <c r="O56" s="87" t="n"/>
      <c r="P56" s="81" t="n"/>
      <c r="Q56" s="81" t="n"/>
      <c r="R56" s="81" t="n"/>
      <c r="S56" s="81" t="n"/>
      <c r="T56" s="136">
        <f>IF(AND(E56&gt;0,U56=0),1,"")</f>
        <v/>
      </c>
      <c r="U56" s="136">
        <f>SUM(X56:AR56)</f>
        <v/>
      </c>
      <c r="V56" s="136">
        <f>IF(E56=$Q$16,0,SUM(X56:AI56))</f>
        <v/>
      </c>
      <c r="W56" s="136">
        <f>SUM(AK56:AR56)</f>
        <v/>
      </c>
      <c r="X56" s="136">
        <f>IF(E56=$X$6,1,"")</f>
        <v/>
      </c>
      <c r="Y56" s="136">
        <f>IF(E56=$Y$6,1,"")</f>
        <v/>
      </c>
      <c r="Z56" s="136">
        <f>IF(E56=$Z$6,1,"")</f>
        <v/>
      </c>
      <c r="AA56" s="136">
        <f>IF(E56=$AA$6,1,"")</f>
        <v/>
      </c>
      <c r="AB56" s="136">
        <f>IF(E56=$AB$6,1,"")</f>
        <v/>
      </c>
      <c r="AC56" s="136">
        <f>IF(E56=$AC$6,1,"")</f>
        <v/>
      </c>
      <c r="AD56" s="136">
        <f>IF(E56=$AD$6,1,"")</f>
        <v/>
      </c>
      <c r="AE56" s="136">
        <f>IF(E56=$AE$6,1,"")</f>
        <v/>
      </c>
      <c r="AF56" s="136">
        <f>IF(E56=$AF$6,1,"")</f>
        <v/>
      </c>
      <c r="AG56" s="136">
        <f>IF(E56=$AG$6,1,"")</f>
        <v/>
      </c>
      <c r="AH56" s="136">
        <f>IF(E56=$AH$6,1,"")</f>
        <v/>
      </c>
      <c r="AI56" s="136">
        <f>IF(E56=$AI$6,1,"")</f>
        <v/>
      </c>
      <c r="AJ56" s="136">
        <f>IF(E56=$AJ$6,1,"")</f>
        <v/>
      </c>
      <c r="AK56" s="81">
        <f>IF(E56=$AK$6,1,"")</f>
        <v/>
      </c>
      <c r="AL56" s="81">
        <f>IF(E56=$AL$6,1,"")</f>
        <v/>
      </c>
      <c r="AM56" s="81">
        <f>IF(E56=$AM$6,1,"")</f>
        <v/>
      </c>
      <c r="AN56" s="81">
        <f>IF(E56=$AN$6,1,"")</f>
        <v/>
      </c>
      <c r="AO56" s="81">
        <f>IF(E56=$AO$6,1,"")</f>
        <v/>
      </c>
      <c r="AP56" s="81">
        <f>IF(E56=$AP$6,1,"")</f>
        <v/>
      </c>
      <c r="AQ56" s="81">
        <f>IF(E56=$AQ$6,1,"")</f>
        <v/>
      </c>
      <c r="AR56" s="81">
        <f>IF(E56=$AR$6,1,"")</f>
        <v/>
      </c>
      <c r="AS56" s="81" t="n"/>
    </row>
    <row r="57" ht="15.75" customHeight="1" s="80">
      <c r="A57" s="123" t="inlineStr">
        <is>
          <t>Sara Ravier</t>
        </is>
      </c>
      <c r="B57" s="124" t="inlineStr">
        <is>
          <t>07/08/2025</t>
        </is>
      </c>
      <c r="C57" s="125" t="inlineStr">
        <is>
          <t>mc200051</t>
        </is>
      </c>
      <c r="D57" s="126" t="inlineStr">
        <is>
          <t>Michael</t>
        </is>
      </c>
      <c r="E57" s="127" t="inlineStr">
        <is>
          <t>OT TW</t>
        </is>
      </c>
      <c r="F57" s="128" t="n">
        <v>60</v>
      </c>
      <c r="G57" s="129" t="n"/>
      <c r="H57" s="130" t="n"/>
      <c r="I57" s="131" t="n"/>
      <c r="J57" s="131">
        <f>IF(COUNTIF(B57:E57,"*")=0,"",IF(T57=1,"Invalid Service",IF(AND(V57=1,F57=""),"Add Session Mins",IF(AND(E57&gt;0,H57="",T57=""),"Enter Contract Rate",IF(AND(E57="IEP mtg, prep, rept",F57&gt;0),(G57*H57),IF(AND(E57&gt;0,F57&gt;0,H57&gt;0,I57=""),"Enter Travel",IF(AND(F57&gt;0,I57="Y"),(G57*H57)+$M$10,IF(AND(F57&gt;0,I57="N"),(G57*H57),H57))))))))</f>
        <v/>
      </c>
      <c r="K57" s="132">
        <f>J57</f>
        <v/>
      </c>
      <c r="L57" s="148" t="n"/>
      <c r="M57" s="148" t="n"/>
      <c r="N57" s="148" t="n"/>
      <c r="O57" s="87" t="n"/>
      <c r="P57" s="81" t="n"/>
      <c r="Q57" s="81" t="n"/>
      <c r="R57" s="81" t="n"/>
      <c r="S57" s="81" t="n"/>
      <c r="T57" s="136">
        <f>IF(AND(E57&gt;0,U57=0),1,"")</f>
        <v/>
      </c>
      <c r="U57" s="136">
        <f>SUM(X57:AR57)</f>
        <v/>
      </c>
      <c r="V57" s="136">
        <f>IF(E57=$Q$16,0,SUM(X57:AI57))</f>
        <v/>
      </c>
      <c r="W57" s="136">
        <f>SUM(AK57:AR57)</f>
        <v/>
      </c>
      <c r="X57" s="136">
        <f>IF(E57=$X$6,1,"")</f>
        <v/>
      </c>
      <c r="Y57" s="136">
        <f>IF(E57=$Y$6,1,"")</f>
        <v/>
      </c>
      <c r="Z57" s="136">
        <f>IF(E57=$Z$6,1,"")</f>
        <v/>
      </c>
      <c r="AA57" s="136">
        <f>IF(E57=$AA$6,1,"")</f>
        <v/>
      </c>
      <c r="AB57" s="136">
        <f>IF(E57=$AB$6,1,"")</f>
        <v/>
      </c>
      <c r="AC57" s="136">
        <f>IF(E57=$AC$6,1,"")</f>
        <v/>
      </c>
      <c r="AD57" s="136">
        <f>IF(E57=$AD$6,1,"")</f>
        <v/>
      </c>
      <c r="AE57" s="136">
        <f>IF(E57=$AE$6,1,"")</f>
        <v/>
      </c>
      <c r="AF57" s="136">
        <f>IF(E57=$AF$6,1,"")</f>
        <v/>
      </c>
      <c r="AG57" s="136">
        <f>IF(E57=$AG$6,1,"")</f>
        <v/>
      </c>
      <c r="AH57" s="136">
        <f>IF(E57=$AH$6,1,"")</f>
        <v/>
      </c>
      <c r="AI57" s="136">
        <f>IF(E57=$AI$6,1,"")</f>
        <v/>
      </c>
      <c r="AJ57" s="136">
        <f>IF(E57=$AJ$6,1,"")</f>
        <v/>
      </c>
      <c r="AK57" s="81">
        <f>IF(E57=$AK$6,1,"")</f>
        <v/>
      </c>
      <c r="AL57" s="81">
        <f>IF(E57=$AL$6,1,"")</f>
        <v/>
      </c>
      <c r="AM57" s="81">
        <f>IF(E57=$AM$6,1,"")</f>
        <v/>
      </c>
      <c r="AN57" s="81">
        <f>IF(E57=$AN$6,1,"")</f>
        <v/>
      </c>
      <c r="AO57" s="81">
        <f>IF(E57=$AO$6,1,"")</f>
        <v/>
      </c>
      <c r="AP57" s="81">
        <f>IF(E57=$AP$6,1,"")</f>
        <v/>
      </c>
      <c r="AQ57" s="81">
        <f>IF(E57=$AQ$6,1,"")</f>
        <v/>
      </c>
      <c r="AR57" s="81">
        <f>IF(E57=$AR$6,1,"")</f>
        <v/>
      </c>
      <c r="AS57" s="81" t="n"/>
    </row>
    <row r="58" ht="15.75" customHeight="1" s="80">
      <c r="A58" s="152" t="inlineStr">
        <is>
          <t>Sara Ravier</t>
        </is>
      </c>
      <c r="B58" s="124" t="inlineStr">
        <is>
          <t>07/09/2025</t>
        </is>
      </c>
      <c r="C58" s="125" t="inlineStr">
        <is>
          <t>mc200051</t>
        </is>
      </c>
      <c r="D58" s="126" t="inlineStr">
        <is>
          <t>Michael</t>
        </is>
      </c>
      <c r="E58" s="127" t="inlineStr">
        <is>
          <t>OT TW</t>
        </is>
      </c>
      <c r="F58" s="128" t="n">
        <v>60</v>
      </c>
      <c r="G58" s="129" t="n"/>
      <c r="H58" s="130" t="n"/>
      <c r="I58" s="131" t="n"/>
      <c r="J58" s="131">
        <f>IF(COUNTIF(B58:E58,"*")=0,"",IF(T58=1,"Invalid Service",IF(AND(V58=1,F58=""),"Add Session Mins",IF(AND(E58&gt;0,H58="",T58=""),"Enter Contract Rate",IF(AND(E58="IEP mtg, prep, rept",F58&gt;0),(G58*H58),IF(AND(E58&gt;0,F58&gt;0,H58&gt;0,I58=""),"Enter Travel",IF(AND(F58&gt;0,I58="Y"),(G58*H58)+$M$10,IF(AND(F58&gt;0,I58="N"),(G58*H58),H58))))))))</f>
        <v/>
      </c>
      <c r="K58" s="132">
        <f>J58</f>
        <v/>
      </c>
      <c r="L58" s="148" t="n"/>
      <c r="M58" s="148" t="n"/>
      <c r="N58" s="148" t="n"/>
      <c r="O58" s="87" t="n"/>
      <c r="P58" s="81" t="n"/>
      <c r="Q58" s="81" t="n"/>
      <c r="R58" s="81" t="n"/>
      <c r="S58" s="81" t="n"/>
      <c r="T58" s="136">
        <f>IF(AND(E58&gt;0,U58=0),1,"")</f>
        <v/>
      </c>
      <c r="U58" s="136">
        <f>SUM(X58:AR58)</f>
        <v/>
      </c>
      <c r="V58" s="136">
        <f>IF(E58=$Q$16,0,SUM(X58:AI58))</f>
        <v/>
      </c>
      <c r="W58" s="136">
        <f>SUM(AK58:AR58)</f>
        <v/>
      </c>
      <c r="X58" s="136">
        <f>IF(E58=$X$6,1,"")</f>
        <v/>
      </c>
      <c r="Y58" s="136">
        <f>IF(E58=$Y$6,1,"")</f>
        <v/>
      </c>
      <c r="Z58" s="136">
        <f>IF(E58=$Z$6,1,"")</f>
        <v/>
      </c>
      <c r="AA58" s="136">
        <f>IF(E58=$AA$6,1,"")</f>
        <v/>
      </c>
      <c r="AB58" s="136">
        <f>IF(E58=$AB$6,1,"")</f>
        <v/>
      </c>
      <c r="AC58" s="136">
        <f>IF(E58=$AC$6,1,"")</f>
        <v/>
      </c>
      <c r="AD58" s="136">
        <f>IF(E58=$AD$6,1,"")</f>
        <v/>
      </c>
      <c r="AE58" s="136">
        <f>IF(E58=$AE$6,1,"")</f>
        <v/>
      </c>
      <c r="AF58" s="136">
        <f>IF(E58=$AF$6,1,"")</f>
        <v/>
      </c>
      <c r="AG58" s="136">
        <f>IF(E58=$AG$6,1,"")</f>
        <v/>
      </c>
      <c r="AH58" s="136">
        <f>IF(E58=$AH$6,1,"")</f>
        <v/>
      </c>
      <c r="AI58" s="136">
        <f>IF(E58=$AI$6,1,"")</f>
        <v/>
      </c>
      <c r="AJ58" s="136">
        <f>IF(E58=$AJ$6,1,"")</f>
        <v/>
      </c>
      <c r="AK58" s="81">
        <f>IF(E58=$AK$6,1,"")</f>
        <v/>
      </c>
      <c r="AL58" s="81">
        <f>IF(E58=$AL$6,1,"")</f>
        <v/>
      </c>
      <c r="AM58" s="81">
        <f>IF(E58=$AM$6,1,"")</f>
        <v/>
      </c>
      <c r="AN58" s="81">
        <f>IF(E58=$AN$6,1,"")</f>
        <v/>
      </c>
      <c r="AO58" s="81">
        <f>IF(E58=$AO$6,1,"")</f>
        <v/>
      </c>
      <c r="AP58" s="81">
        <f>IF(E58=$AP$6,1,"")</f>
        <v/>
      </c>
      <c r="AQ58" s="81">
        <f>IF(E58=$AQ$6,1,"")</f>
        <v/>
      </c>
      <c r="AR58" s="81">
        <f>IF(E58=$AR$6,1,"")</f>
        <v/>
      </c>
      <c r="AS58" s="81" t="n"/>
    </row>
    <row r="59" ht="15.75" customHeight="1" s="80">
      <c r="A59" s="123" t="inlineStr">
        <is>
          <t>Sara Ravier</t>
        </is>
      </c>
      <c r="B59" s="124" t="inlineStr">
        <is>
          <t>07/14/2025</t>
        </is>
      </c>
      <c r="C59" s="125" t="inlineStr">
        <is>
          <t>mc200051</t>
        </is>
      </c>
      <c r="D59" s="126" t="inlineStr">
        <is>
          <t>Michael</t>
        </is>
      </c>
      <c r="E59" s="127" t="inlineStr">
        <is>
          <t>OT TW</t>
        </is>
      </c>
      <c r="F59" s="128" t="n">
        <v>60</v>
      </c>
      <c r="G59" s="129" t="n"/>
      <c r="H59" s="130" t="n"/>
      <c r="I59" s="131" t="n"/>
      <c r="J59" s="131">
        <f>IF(COUNTIF(B59:E59,"*")=0,"",IF(T59=1,"Invalid Service",IF(AND(V59=1,F59=""),"Add Session Mins",IF(AND(E59&gt;0,H59="",T59=""),"Enter Contract Rate",IF(AND(E59="IEP mtg, prep, rept",F59&gt;0),(G59*H59),IF(AND(E59&gt;0,F59&gt;0,H59&gt;0,I59=""),"Enter Travel",IF(AND(F59&gt;0,I59="Y"),(G59*H59)+$M$10,IF(AND(F59&gt;0,I59="N"),(G59*H59),H59))))))))</f>
        <v/>
      </c>
      <c r="K59" s="132">
        <f>J59</f>
        <v/>
      </c>
      <c r="L59" s="148" t="n"/>
      <c r="M59" s="148" t="n"/>
      <c r="N59" s="148" t="n"/>
      <c r="O59" s="87" t="n"/>
      <c r="P59" s="81" t="n"/>
      <c r="Q59" s="81" t="n"/>
      <c r="R59" s="81" t="n"/>
      <c r="S59" s="81" t="n"/>
      <c r="T59" s="136">
        <f>IF(AND(E59&gt;0,U59=0),1,"")</f>
        <v/>
      </c>
      <c r="U59" s="136">
        <f>SUM(X59:AR59)</f>
        <v/>
      </c>
      <c r="V59" s="136">
        <f>IF(E59=$Q$16,0,SUM(X59:AI59))</f>
        <v/>
      </c>
      <c r="W59" s="136">
        <f>SUM(AK59:AR59)</f>
        <v/>
      </c>
      <c r="X59" s="136">
        <f>IF(E59=$X$6,1,"")</f>
        <v/>
      </c>
      <c r="Y59" s="136">
        <f>IF(E59=$Y$6,1,"")</f>
        <v/>
      </c>
      <c r="Z59" s="136">
        <f>IF(E59=$Z$6,1,"")</f>
        <v/>
      </c>
      <c r="AA59" s="136">
        <f>IF(E59=$AA$6,1,"")</f>
        <v/>
      </c>
      <c r="AB59" s="136">
        <f>IF(E59=$AB$6,1,"")</f>
        <v/>
      </c>
      <c r="AC59" s="136">
        <f>IF(E59=$AC$6,1,"")</f>
        <v/>
      </c>
      <c r="AD59" s="136">
        <f>IF(E59=$AD$6,1,"")</f>
        <v/>
      </c>
      <c r="AE59" s="136">
        <f>IF(E59=$AE$6,1,"")</f>
        <v/>
      </c>
      <c r="AF59" s="136">
        <f>IF(E59=$AF$6,1,"")</f>
        <v/>
      </c>
      <c r="AG59" s="136">
        <f>IF(E59=$AG$6,1,"")</f>
        <v/>
      </c>
      <c r="AH59" s="136">
        <f>IF(E59=$AH$6,1,"")</f>
        <v/>
      </c>
      <c r="AI59" s="136">
        <f>IF(E59=$AI$6,1,"")</f>
        <v/>
      </c>
      <c r="AJ59" s="136">
        <f>IF(E59=$AJ$6,1,"")</f>
        <v/>
      </c>
      <c r="AK59" s="81">
        <f>IF(E59=$AK$6,1,"")</f>
        <v/>
      </c>
      <c r="AL59" s="81">
        <f>IF(E59=$AL$6,1,"")</f>
        <v/>
      </c>
      <c r="AM59" s="81">
        <f>IF(E59=$AM$6,1,"")</f>
        <v/>
      </c>
      <c r="AN59" s="81">
        <f>IF(E59=$AN$6,1,"")</f>
        <v/>
      </c>
      <c r="AO59" s="81">
        <f>IF(E59=$AO$6,1,"")</f>
        <v/>
      </c>
      <c r="AP59" s="81">
        <f>IF(E59=$AP$6,1,"")</f>
        <v/>
      </c>
      <c r="AQ59" s="81">
        <f>IF(E59=$AQ$6,1,"")</f>
        <v/>
      </c>
      <c r="AR59" s="81">
        <f>IF(E59=$AR$6,1,"")</f>
        <v/>
      </c>
      <c r="AS59" s="81" t="n"/>
    </row>
    <row r="60" ht="15.75" customHeight="1" s="80">
      <c r="A60" s="123" t="inlineStr">
        <is>
          <t>Sara Ravier</t>
        </is>
      </c>
      <c r="B60" s="124" t="inlineStr">
        <is>
          <t>07/15/2025</t>
        </is>
      </c>
      <c r="C60" s="125" t="inlineStr">
        <is>
          <t>mc200051</t>
        </is>
      </c>
      <c r="D60" s="126" t="inlineStr">
        <is>
          <t>Michael</t>
        </is>
      </c>
      <c r="E60" s="127" t="inlineStr">
        <is>
          <t>OT TW</t>
        </is>
      </c>
      <c r="F60" s="128" t="n">
        <v>60</v>
      </c>
      <c r="G60" s="129" t="n"/>
      <c r="H60" s="130" t="n"/>
      <c r="I60" s="131" t="n"/>
      <c r="J60" s="131">
        <f>IF(COUNTIF(B60:E60,"*")=0,"",IF(T60=1,"Invalid Service",IF(AND(V60=1,F60=""),"Add Session Mins",IF(AND(E60&gt;0,H60="",T60=""),"Enter Contract Rate",IF(AND(E60="IEP mtg, prep, rept",F60&gt;0),(G60*H60),IF(AND(E60&gt;0,F60&gt;0,H60&gt;0,I60=""),"Enter Travel",IF(AND(F60&gt;0,I60="Y"),(G60*H60)+$M$10,IF(AND(F60&gt;0,I60="N"),(G60*H60),H60))))))))</f>
        <v/>
      </c>
      <c r="K60" s="132">
        <f>J60</f>
        <v/>
      </c>
      <c r="L60" s="148" t="n"/>
      <c r="M60" s="148" t="n"/>
      <c r="N60" s="148" t="n"/>
      <c r="O60" s="87" t="n"/>
      <c r="P60" s="81" t="n"/>
      <c r="Q60" s="81" t="n"/>
      <c r="R60" s="81" t="n"/>
      <c r="S60" s="81" t="n"/>
      <c r="T60" s="136">
        <f>IF(AND(E60&gt;0,U60=0),1,"")</f>
        <v/>
      </c>
      <c r="U60" s="136">
        <f>SUM(X60:AR60)</f>
        <v/>
      </c>
      <c r="V60" s="136">
        <f>IF(E60=$Q$16,0,SUM(X60:AI60))</f>
        <v/>
      </c>
      <c r="W60" s="136">
        <f>SUM(AK60:AR60)</f>
        <v/>
      </c>
      <c r="X60" s="136">
        <f>IF(E60=$X$6,1,"")</f>
        <v/>
      </c>
      <c r="Y60" s="136">
        <f>IF(E60=$Y$6,1,"")</f>
        <v/>
      </c>
      <c r="Z60" s="136">
        <f>IF(E60=$Z$6,1,"")</f>
        <v/>
      </c>
      <c r="AA60" s="136">
        <f>IF(E60=$AA$6,1,"")</f>
        <v/>
      </c>
      <c r="AB60" s="136">
        <f>IF(E60=$AB$6,1,"")</f>
        <v/>
      </c>
      <c r="AC60" s="136">
        <f>IF(E60=$AC$6,1,"")</f>
        <v/>
      </c>
      <c r="AD60" s="136">
        <f>IF(E60=$AD$6,1,"")</f>
        <v/>
      </c>
      <c r="AE60" s="136">
        <f>IF(E60=$AE$6,1,"")</f>
        <v/>
      </c>
      <c r="AF60" s="136">
        <f>IF(E60=$AF$6,1,"")</f>
        <v/>
      </c>
      <c r="AG60" s="136">
        <f>IF(E60=$AG$6,1,"")</f>
        <v/>
      </c>
      <c r="AH60" s="136">
        <f>IF(E60=$AH$6,1,"")</f>
        <v/>
      </c>
      <c r="AI60" s="136">
        <f>IF(E60=$AI$6,1,"")</f>
        <v/>
      </c>
      <c r="AJ60" s="136">
        <f>IF(E60=$AJ$6,1,"")</f>
        <v/>
      </c>
      <c r="AK60" s="81">
        <f>IF(E60=$AK$6,1,"")</f>
        <v/>
      </c>
      <c r="AL60" s="81">
        <f>IF(E60=$AL$6,1,"")</f>
        <v/>
      </c>
      <c r="AM60" s="81">
        <f>IF(E60=$AM$6,1,"")</f>
        <v/>
      </c>
      <c r="AN60" s="81">
        <f>IF(E60=$AN$6,1,"")</f>
        <v/>
      </c>
      <c r="AO60" s="81">
        <f>IF(E60=$AO$6,1,"")</f>
        <v/>
      </c>
      <c r="AP60" s="81">
        <f>IF(E60=$AP$6,1,"")</f>
        <v/>
      </c>
      <c r="AQ60" s="81">
        <f>IF(E60=$AQ$6,1,"")</f>
        <v/>
      </c>
      <c r="AR60" s="81">
        <f>IF(E60=$AR$6,1,"")</f>
        <v/>
      </c>
      <c r="AS60" s="81" t="n"/>
    </row>
    <row r="61" ht="15.75" customHeight="1" s="80">
      <c r="A61" s="123" t="inlineStr">
        <is>
          <t>Sara Ravier</t>
        </is>
      </c>
      <c r="B61" s="124" t="inlineStr">
        <is>
          <t>07/16/2025</t>
        </is>
      </c>
      <c r="C61" s="125" t="inlineStr">
        <is>
          <t>mc200051</t>
        </is>
      </c>
      <c r="D61" s="126" t="inlineStr">
        <is>
          <t>Michael</t>
        </is>
      </c>
      <c r="E61" s="127" t="inlineStr">
        <is>
          <t>OT TW</t>
        </is>
      </c>
      <c r="F61" s="128" t="n">
        <v>60</v>
      </c>
      <c r="G61" s="129" t="n"/>
      <c r="H61" s="130" t="n"/>
      <c r="I61" s="131" t="n"/>
      <c r="J61" s="131">
        <f>IF(COUNTIF(B61:E61,"*")=0,"",IF(T61=1,"Invalid Service",IF(AND(V61=1,F61=""),"Add Session Mins",IF(AND(E61&gt;0,H61="",T61=""),"Enter Contract Rate",IF(AND(E61="IEP mtg, prep, rept",F61&gt;0),(G61*H61),IF(AND(E61&gt;0,F61&gt;0,H61&gt;0,I61=""),"Enter Travel",IF(AND(F61&gt;0,I61="Y"),(G61*H61)+$M$10,IF(AND(F61&gt;0,I61="N"),(G61*H61),H61))))))))</f>
        <v/>
      </c>
      <c r="K61" s="132">
        <f>J61</f>
        <v/>
      </c>
      <c r="L61" s="148" t="n"/>
      <c r="M61" s="148" t="n"/>
      <c r="N61" s="148" t="n"/>
      <c r="O61" s="87" t="n"/>
      <c r="P61" s="81" t="n"/>
      <c r="Q61" s="81" t="n"/>
      <c r="R61" s="81" t="n"/>
      <c r="S61" s="81" t="n"/>
      <c r="T61" s="136">
        <f>IF(AND(E61&gt;0,U61=0),1,"")</f>
        <v/>
      </c>
      <c r="U61" s="136">
        <f>SUM(X61:AR61)</f>
        <v/>
      </c>
      <c r="V61" s="136">
        <f>IF(E61=$Q$16,0,SUM(X61:AI61))</f>
        <v/>
      </c>
      <c r="W61" s="136">
        <f>SUM(AK61:AR61)</f>
        <v/>
      </c>
      <c r="X61" s="136">
        <f>IF(E61=$X$6,1,"")</f>
        <v/>
      </c>
      <c r="Y61" s="136">
        <f>IF(E61=$Y$6,1,"")</f>
        <v/>
      </c>
      <c r="Z61" s="136">
        <f>IF(E61=$Z$6,1,"")</f>
        <v/>
      </c>
      <c r="AA61" s="136">
        <f>IF(E61=$AA$6,1,"")</f>
        <v/>
      </c>
      <c r="AB61" s="136">
        <f>IF(E61=$AB$6,1,"")</f>
        <v/>
      </c>
      <c r="AC61" s="136">
        <f>IF(E61=$AC$6,1,"")</f>
        <v/>
      </c>
      <c r="AD61" s="136">
        <f>IF(E61=$AD$6,1,"")</f>
        <v/>
      </c>
      <c r="AE61" s="136">
        <f>IF(E61=$AE$6,1,"")</f>
        <v/>
      </c>
      <c r="AF61" s="136">
        <f>IF(E61=$AF$6,1,"")</f>
        <v/>
      </c>
      <c r="AG61" s="136">
        <f>IF(E61=$AG$6,1,"")</f>
        <v/>
      </c>
      <c r="AH61" s="136">
        <f>IF(E61=$AH$6,1,"")</f>
        <v/>
      </c>
      <c r="AI61" s="136">
        <f>IF(E61=$AI$6,1,"")</f>
        <v/>
      </c>
      <c r="AJ61" s="136">
        <f>IF(E61=$AJ$6,1,"")</f>
        <v/>
      </c>
      <c r="AK61" s="81">
        <f>IF(E61=$AK$6,1,"")</f>
        <v/>
      </c>
      <c r="AL61" s="81">
        <f>IF(E61=$AL$6,1,"")</f>
        <v/>
      </c>
      <c r="AM61" s="81">
        <f>IF(E61=$AM$6,1,"")</f>
        <v/>
      </c>
      <c r="AN61" s="81">
        <f>IF(E61=$AN$6,1,"")</f>
        <v/>
      </c>
      <c r="AO61" s="81">
        <f>IF(E61=$AO$6,1,"")</f>
        <v/>
      </c>
      <c r="AP61" s="81">
        <f>IF(E61=$AP$6,1,"")</f>
        <v/>
      </c>
      <c r="AQ61" s="81">
        <f>IF(E61=$AQ$6,1,"")</f>
        <v/>
      </c>
      <c r="AR61" s="81">
        <f>IF(E61=$AR$6,1,"")</f>
        <v/>
      </c>
      <c r="AS61" s="81" t="n"/>
    </row>
    <row r="62" ht="15.75" customHeight="1" s="80">
      <c r="A62" s="123" t="inlineStr">
        <is>
          <t>Sara Ravier</t>
        </is>
      </c>
      <c r="B62" s="124" t="inlineStr">
        <is>
          <t>07/21/2025</t>
        </is>
      </c>
      <c r="C62" s="125" t="inlineStr">
        <is>
          <t>mc200051</t>
        </is>
      </c>
      <c r="D62" s="126" t="inlineStr">
        <is>
          <t>Michael</t>
        </is>
      </c>
      <c r="E62" s="127" t="inlineStr">
        <is>
          <t>OT TW</t>
        </is>
      </c>
      <c r="F62" s="128" t="n">
        <v>60</v>
      </c>
      <c r="G62" s="129" t="n"/>
      <c r="H62" s="130" t="n"/>
      <c r="I62" s="131" t="n"/>
      <c r="J62" s="131">
        <f>IF(COUNTIF(B62:E62,"*")=0,"",IF(T62=1,"Invalid Service",IF(AND(V62=1,F62=""),"Add Session Mins",IF(AND(E62&gt;0,H62="",T62=""),"Enter Contract Rate",IF(AND(E62="IEP mtg, prep, rept",F62&gt;0),(G62*H62),IF(AND(E62&gt;0,F62&gt;0,H62&gt;0,I62=""),"Enter Travel",IF(AND(F62&gt;0,I62="Y"),(G62*H62)+$M$10,IF(AND(F62&gt;0,I62="N"),(G62*H62),H62))))))))</f>
        <v/>
      </c>
      <c r="K62" s="132">
        <f>J62</f>
        <v/>
      </c>
      <c r="L62" s="148" t="n"/>
      <c r="M62" s="148" t="n"/>
      <c r="N62" s="148" t="n"/>
      <c r="O62" s="87" t="n"/>
      <c r="P62" s="81" t="n"/>
      <c r="Q62" s="81" t="n"/>
      <c r="R62" s="81" t="n"/>
      <c r="S62" s="81" t="n"/>
      <c r="T62" s="136">
        <f>IF(AND(E62&gt;0,U62=0),1,"")</f>
        <v/>
      </c>
      <c r="U62" s="136">
        <f>SUM(X62:AR62)</f>
        <v/>
      </c>
      <c r="V62" s="136">
        <f>IF(E62=$Q$16,0,SUM(X62:AI62))</f>
        <v/>
      </c>
      <c r="W62" s="136">
        <f>SUM(AK62:AR62)</f>
        <v/>
      </c>
      <c r="X62" s="136">
        <f>IF(E62=$X$6,1,"")</f>
        <v/>
      </c>
      <c r="Y62" s="136">
        <f>IF(E62=$Y$6,1,"")</f>
        <v/>
      </c>
      <c r="Z62" s="136">
        <f>IF(E62=$Z$6,1,"")</f>
        <v/>
      </c>
      <c r="AA62" s="136">
        <f>IF(E62=$AA$6,1,"")</f>
        <v/>
      </c>
      <c r="AB62" s="136">
        <f>IF(E62=$AB$6,1,"")</f>
        <v/>
      </c>
      <c r="AC62" s="136">
        <f>IF(E62=$AC$6,1,"")</f>
        <v/>
      </c>
      <c r="AD62" s="136">
        <f>IF(E62=$AD$6,1,"")</f>
        <v/>
      </c>
      <c r="AE62" s="136">
        <f>IF(E62=$AE$6,1,"")</f>
        <v/>
      </c>
      <c r="AF62" s="136">
        <f>IF(E62=$AF$6,1,"")</f>
        <v/>
      </c>
      <c r="AG62" s="136">
        <f>IF(E62=$AG$6,1,"")</f>
        <v/>
      </c>
      <c r="AH62" s="136">
        <f>IF(E62=$AH$6,1,"")</f>
        <v/>
      </c>
      <c r="AI62" s="136">
        <f>IF(E62=$AI$6,1,"")</f>
        <v/>
      </c>
      <c r="AJ62" s="136">
        <f>IF(E62=$AJ$6,1,"")</f>
        <v/>
      </c>
      <c r="AK62" s="81">
        <f>IF(E62=$AK$6,1,"")</f>
        <v/>
      </c>
      <c r="AL62" s="81">
        <f>IF(E62=$AL$6,1,"")</f>
        <v/>
      </c>
      <c r="AM62" s="81">
        <f>IF(E62=$AM$6,1,"")</f>
        <v/>
      </c>
      <c r="AN62" s="81">
        <f>IF(E62=$AN$6,1,"")</f>
        <v/>
      </c>
      <c r="AO62" s="81">
        <f>IF(E62=$AO$6,1,"")</f>
        <v/>
      </c>
      <c r="AP62" s="81">
        <f>IF(E62=$AP$6,1,"")</f>
        <v/>
      </c>
      <c r="AQ62" s="81">
        <f>IF(E62=$AQ$6,1,"")</f>
        <v/>
      </c>
      <c r="AR62" s="81">
        <f>IF(E62=$AR$6,1,"")</f>
        <v/>
      </c>
      <c r="AS62" s="81" t="n"/>
    </row>
    <row r="63" ht="15.75" customHeight="1" s="80">
      <c r="A63" s="123" t="inlineStr">
        <is>
          <t>Sara Ravier</t>
        </is>
      </c>
      <c r="B63" s="150" t="inlineStr">
        <is>
          <t>07/21/2025</t>
        </is>
      </c>
      <c r="C63" s="125" t="inlineStr">
        <is>
          <t>mc200051</t>
        </is>
      </c>
      <c r="D63" s="151" t="inlineStr">
        <is>
          <t>Michael</t>
        </is>
      </c>
      <c r="E63" s="127" t="inlineStr">
        <is>
          <t>OT TW</t>
        </is>
      </c>
      <c r="F63" s="128" t="n">
        <v>90</v>
      </c>
      <c r="G63" s="129" t="n"/>
      <c r="H63" s="130" t="n"/>
      <c r="I63" s="131" t="n"/>
      <c r="J63" s="131">
        <f>IF(COUNTIF(B63:E63,"*")=0,"",IF(T63=1,"Invalid Service",IF(AND(V63=1,F63=""),"Add Session Mins",IF(AND(E63&gt;0,H63="",T63=""),"Enter Contract Rate",IF(AND(E63="IEP mtg, prep, rept",F63&gt;0),(G63*H63),IF(AND(E63&gt;0,F63&gt;0,H63&gt;0,I63=""),"Enter Travel",IF(AND(F63&gt;0,I63="Y"),(G63*H63)+$M$10,IF(AND(F63&gt;0,I63="N"),(G63*H63),H63))))))))</f>
        <v/>
      </c>
      <c r="K63" s="132">
        <f>J63</f>
        <v/>
      </c>
      <c r="L63" s="148" t="n"/>
      <c r="M63" s="148" t="n"/>
      <c r="N63" s="148" t="n"/>
      <c r="O63" s="87" t="n"/>
      <c r="P63" s="81" t="n"/>
      <c r="Q63" s="81" t="n"/>
      <c r="R63" s="81" t="n"/>
      <c r="S63" s="81" t="n"/>
      <c r="T63" s="136">
        <f>IF(AND(E63&gt;0,U63=0),1,"")</f>
        <v/>
      </c>
      <c r="U63" s="136">
        <f>SUM(X63:AR63)</f>
        <v/>
      </c>
      <c r="V63" s="136">
        <f>IF(E63=$Q$16,0,SUM(X63:AI63))</f>
        <v/>
      </c>
      <c r="W63" s="136">
        <f>SUM(AK63:AR63)</f>
        <v/>
      </c>
      <c r="X63" s="136">
        <f>IF(E63=$X$6,1,"")</f>
        <v/>
      </c>
      <c r="Y63" s="136">
        <f>IF(E63=$Y$6,1,"")</f>
        <v/>
      </c>
      <c r="Z63" s="136">
        <f>IF(E63=$Z$6,1,"")</f>
        <v/>
      </c>
      <c r="AA63" s="136">
        <f>IF(E63=$AA$6,1,"")</f>
        <v/>
      </c>
      <c r="AB63" s="136">
        <f>IF(E63=$AB$6,1,"")</f>
        <v/>
      </c>
      <c r="AC63" s="136">
        <f>IF(E63=$AC$6,1,"")</f>
        <v/>
      </c>
      <c r="AD63" s="136">
        <f>IF(E63=$AD$6,1,"")</f>
        <v/>
      </c>
      <c r="AE63" s="136">
        <f>IF(E63=$AE$6,1,"")</f>
        <v/>
      </c>
      <c r="AF63" s="136">
        <f>IF(E63=$AF$6,1,"")</f>
        <v/>
      </c>
      <c r="AG63" s="136">
        <f>IF(E63=$AG$6,1,"")</f>
        <v/>
      </c>
      <c r="AH63" s="136">
        <f>IF(E63=$AH$6,1,"")</f>
        <v/>
      </c>
      <c r="AI63" s="136">
        <f>IF(E63=$AI$6,1,"")</f>
        <v/>
      </c>
      <c r="AJ63" s="136">
        <f>IF(E63=$AJ$6,1,"")</f>
        <v/>
      </c>
      <c r="AK63" s="81">
        <f>IF(E63=$AK$6,1,"")</f>
        <v/>
      </c>
      <c r="AL63" s="81">
        <f>IF(E63=$AL$6,1,"")</f>
        <v/>
      </c>
      <c r="AM63" s="81">
        <f>IF(E63=$AM$6,1,"")</f>
        <v/>
      </c>
      <c r="AN63" s="81">
        <f>IF(E63=$AN$6,1,"")</f>
        <v/>
      </c>
      <c r="AO63" s="81">
        <f>IF(E63=$AO$6,1,"")</f>
        <v/>
      </c>
      <c r="AP63" s="81">
        <f>IF(E63=$AP$6,1,"")</f>
        <v/>
      </c>
      <c r="AQ63" s="81">
        <f>IF(E63=$AQ$6,1,"")</f>
        <v/>
      </c>
      <c r="AR63" s="81">
        <f>IF(E63=$AR$6,1,"")</f>
        <v/>
      </c>
      <c r="AS63" s="81" t="n"/>
    </row>
    <row r="64" ht="15.75" customHeight="1" s="80">
      <c r="A64" s="123" t="inlineStr">
        <is>
          <t>Sara Ravier</t>
        </is>
      </c>
      <c r="B64" s="150" t="inlineStr">
        <is>
          <t>07/22/2025</t>
        </is>
      </c>
      <c r="C64" s="125" t="inlineStr">
        <is>
          <t>mc200051</t>
        </is>
      </c>
      <c r="D64" s="156" t="inlineStr">
        <is>
          <t>Michael</t>
        </is>
      </c>
      <c r="E64" s="127" t="inlineStr">
        <is>
          <t>OT TW</t>
        </is>
      </c>
      <c r="F64" s="128" t="n">
        <v>60</v>
      </c>
      <c r="G64" s="129" t="n"/>
      <c r="H64" s="130" t="n"/>
      <c r="I64" s="131" t="n"/>
      <c r="J64" s="131">
        <f>IF(COUNTIF(B64:E64,"*")=0,"",IF(T64=1,"Invalid Service",IF(AND(V64=1,F64=""),"Add Session Mins",IF(AND(E64&gt;0,H64="",T64=""),"Enter Contract Rate",IF(AND(E64="IEP mtg, prep, rept",F64&gt;0),(G64*H64),IF(AND(E64&gt;0,F64&gt;0,H64&gt;0,I64=""),"Enter Travel",IF(AND(F64&gt;0,I64="Y"),(G64*H64)+$M$10,IF(AND(F64&gt;0,I64="N"),(G64*H64),H64))))))))</f>
        <v/>
      </c>
      <c r="K64" s="132">
        <f>J64</f>
        <v/>
      </c>
      <c r="L64" s="148" t="n"/>
      <c r="M64" s="148" t="n"/>
      <c r="N64" s="148" t="n"/>
      <c r="O64" s="87" t="n"/>
      <c r="P64" s="81" t="n"/>
      <c r="Q64" s="81" t="n"/>
      <c r="R64" s="81" t="n"/>
      <c r="S64" s="81" t="n"/>
      <c r="T64" s="136">
        <f>IF(AND(E64&gt;0,U64=0),1,"")</f>
        <v/>
      </c>
      <c r="U64" s="136">
        <f>SUM(X64:AR64)</f>
        <v/>
      </c>
      <c r="V64" s="136">
        <f>IF(E64=$Q$16,0,SUM(X64:AI64))</f>
        <v/>
      </c>
      <c r="W64" s="136">
        <f>SUM(AK64:AR64)</f>
        <v/>
      </c>
      <c r="X64" s="136">
        <f>IF(E64=$X$6,1,"")</f>
        <v/>
      </c>
      <c r="Y64" s="136">
        <f>IF(E64=$Y$6,1,"")</f>
        <v/>
      </c>
      <c r="Z64" s="136">
        <f>IF(E64=$Z$6,1,"")</f>
        <v/>
      </c>
      <c r="AA64" s="136">
        <f>IF(E64=$AA$6,1,"")</f>
        <v/>
      </c>
      <c r="AB64" s="136">
        <f>IF(E64=$AB$6,1,"")</f>
        <v/>
      </c>
      <c r="AC64" s="136">
        <f>IF(E64=$AC$6,1,"")</f>
        <v/>
      </c>
      <c r="AD64" s="136">
        <f>IF(E64=$AD$6,1,"")</f>
        <v/>
      </c>
      <c r="AE64" s="136">
        <f>IF(E64=$AE$6,1,"")</f>
        <v/>
      </c>
      <c r="AF64" s="136">
        <f>IF(E64=$AF$6,1,"")</f>
        <v/>
      </c>
      <c r="AG64" s="136">
        <f>IF(E64=$AG$6,1,"")</f>
        <v/>
      </c>
      <c r="AH64" s="136">
        <f>IF(E64=$AH$6,1,"")</f>
        <v/>
      </c>
      <c r="AI64" s="136">
        <f>IF(E64=$AI$6,1,"")</f>
        <v/>
      </c>
      <c r="AJ64" s="136">
        <f>IF(E64=$AJ$6,1,"")</f>
        <v/>
      </c>
      <c r="AK64" s="81">
        <f>IF(E64=$AK$6,1,"")</f>
        <v/>
      </c>
      <c r="AL64" s="81">
        <f>IF(E64=$AL$6,1,"")</f>
        <v/>
      </c>
      <c r="AM64" s="81">
        <f>IF(E64=$AM$6,1,"")</f>
        <v/>
      </c>
      <c r="AN64" s="81">
        <f>IF(E64=$AN$6,1,"")</f>
        <v/>
      </c>
      <c r="AO64" s="81">
        <f>IF(E64=$AO$6,1,"")</f>
        <v/>
      </c>
      <c r="AP64" s="81">
        <f>IF(E64=$AP$6,1,"")</f>
        <v/>
      </c>
      <c r="AQ64" s="81">
        <f>IF(E64=$AQ$6,1,"")</f>
        <v/>
      </c>
      <c r="AR64" s="81">
        <f>IF(E64=$AR$6,1,"")</f>
        <v/>
      </c>
      <c r="AS64" s="81" t="n"/>
    </row>
    <row r="65" ht="15.75" customHeight="1" s="80">
      <c r="A65" s="123" t="inlineStr">
        <is>
          <t>Sara Ravier</t>
        </is>
      </c>
      <c r="B65" s="124" t="inlineStr">
        <is>
          <t>07/23/2025</t>
        </is>
      </c>
      <c r="C65" s="125" t="inlineStr">
        <is>
          <t>mc200051</t>
        </is>
      </c>
      <c r="D65" s="126" t="inlineStr">
        <is>
          <t>Michael</t>
        </is>
      </c>
      <c r="E65" s="127" t="inlineStr">
        <is>
          <t>OT TW</t>
        </is>
      </c>
      <c r="F65" s="128" t="n">
        <v>60</v>
      </c>
      <c r="G65" s="129" t="n"/>
      <c r="H65" s="130" t="n"/>
      <c r="I65" s="131" t="n"/>
      <c r="J65" s="131">
        <f>IF(COUNTIF(B65:E65,"*")=0,"",IF(T65=1,"Invalid Service",IF(AND(V65=1,F65=""),"Add Session Mins",IF(AND(E65&gt;0,H65="",T65=""),"Enter Contract Rate",IF(AND(E65="IEP mtg, prep, rept",F65&gt;0),(G65*H65),IF(AND(E65&gt;0,F65&gt;0,H65&gt;0,I65=""),"Enter Travel",IF(AND(F65&gt;0,I65="Y"),(G65*H65)+$M$10,IF(AND(F65&gt;0,I65="N"),(G65*H65),H65))))))))</f>
        <v/>
      </c>
      <c r="K65" s="132">
        <f>J65</f>
        <v/>
      </c>
      <c r="L65" s="148" t="n"/>
      <c r="M65" s="148" t="n"/>
      <c r="N65" s="148" t="n"/>
      <c r="O65" s="87" t="n"/>
      <c r="P65" s="81" t="n"/>
      <c r="Q65" s="81" t="n"/>
      <c r="R65" s="81" t="n"/>
      <c r="S65" s="81" t="n"/>
      <c r="T65" s="136">
        <f>IF(AND(E65&gt;0,U65=0),1,"")</f>
        <v/>
      </c>
      <c r="U65" s="136">
        <f>SUM(X65:AR65)</f>
        <v/>
      </c>
      <c r="V65" s="136">
        <f>IF(E65=$Q$16,0,SUM(X65:AI65))</f>
        <v/>
      </c>
      <c r="W65" s="136">
        <f>SUM(AK65:AR65)</f>
        <v/>
      </c>
      <c r="X65" s="136">
        <f>IF(E65=$X$6,1,"")</f>
        <v/>
      </c>
      <c r="Y65" s="136">
        <f>IF(E65=$Y$6,1,"")</f>
        <v/>
      </c>
      <c r="Z65" s="136">
        <f>IF(E65=$Z$6,1,"")</f>
        <v/>
      </c>
      <c r="AA65" s="136">
        <f>IF(E65=$AA$6,1,"")</f>
        <v/>
      </c>
      <c r="AB65" s="136">
        <f>IF(E65=$AB$6,1,"")</f>
        <v/>
      </c>
      <c r="AC65" s="136">
        <f>IF(E65=$AC$6,1,"")</f>
        <v/>
      </c>
      <c r="AD65" s="136">
        <f>IF(E65=$AD$6,1,"")</f>
        <v/>
      </c>
      <c r="AE65" s="136">
        <f>IF(E65=$AE$6,1,"")</f>
        <v/>
      </c>
      <c r="AF65" s="136">
        <f>IF(E65=$AF$6,1,"")</f>
        <v/>
      </c>
      <c r="AG65" s="136">
        <f>IF(E65=$AG$6,1,"")</f>
        <v/>
      </c>
      <c r="AH65" s="136">
        <f>IF(E65=$AH$6,1,"")</f>
        <v/>
      </c>
      <c r="AI65" s="136">
        <f>IF(E65=$AI$6,1,"")</f>
        <v/>
      </c>
      <c r="AJ65" s="136">
        <f>IF(E65=$AJ$6,1,"")</f>
        <v/>
      </c>
      <c r="AK65" s="81">
        <f>IF(E65=$AK$6,1,"")</f>
        <v/>
      </c>
      <c r="AL65" s="81">
        <f>IF(E65=$AL$6,1,"")</f>
        <v/>
      </c>
      <c r="AM65" s="81">
        <f>IF(E65=$AM$6,1,"")</f>
        <v/>
      </c>
      <c r="AN65" s="81">
        <f>IF(E65=$AN$6,1,"")</f>
        <v/>
      </c>
      <c r="AO65" s="81">
        <f>IF(E65=$AO$6,1,"")</f>
        <v/>
      </c>
      <c r="AP65" s="81">
        <f>IF(E65=$AP$6,1,"")</f>
        <v/>
      </c>
      <c r="AQ65" s="81">
        <f>IF(E65=$AQ$6,1,"")</f>
        <v/>
      </c>
      <c r="AR65" s="81">
        <f>IF(E65=$AR$6,1,"")</f>
        <v/>
      </c>
      <c r="AS65" s="81" t="n"/>
    </row>
    <row r="66" ht="15.75" customHeight="1" s="80">
      <c r="A66" s="123" t="inlineStr">
        <is>
          <t>Sara Ravier</t>
        </is>
      </c>
      <c r="B66" s="124" t="inlineStr">
        <is>
          <t>07/28/2025</t>
        </is>
      </c>
      <c r="C66" s="125" t="inlineStr">
        <is>
          <t>mc200051</t>
        </is>
      </c>
      <c r="D66" s="126" t="inlineStr">
        <is>
          <t>Michael</t>
        </is>
      </c>
      <c r="E66" s="127" t="inlineStr">
        <is>
          <t>OT TW</t>
        </is>
      </c>
      <c r="F66" s="128" t="n">
        <v>60</v>
      </c>
      <c r="G66" s="129" t="n"/>
      <c r="H66" s="130" t="n"/>
      <c r="I66" s="131" t="n"/>
      <c r="J66" s="131">
        <f>IF(COUNTIF(B66:E66,"*")=0,"",IF(T66=1,"Invalid Service",IF(AND(V66=1,F66=""),"Add Session Mins",IF(AND(E66&gt;0,H66="",T66=""),"Enter Contract Rate",IF(AND(E66="IEP mtg, prep, rept",F66&gt;0),(G66*H66),IF(AND(E66&gt;0,F66&gt;0,H66&gt;0,I66=""),"Enter Travel",IF(AND(F66&gt;0,I66="Y"),(G66*H66)+$M$10,IF(AND(F66&gt;0,I66="N"),(G66*H66),H66))))))))</f>
        <v/>
      </c>
      <c r="K66" s="132">
        <f>J66</f>
        <v/>
      </c>
      <c r="L66" s="148" t="n"/>
      <c r="M66" s="148" t="n"/>
      <c r="N66" s="148" t="n"/>
      <c r="O66" s="87" t="n"/>
      <c r="P66" s="81" t="n"/>
      <c r="Q66" s="81" t="n"/>
      <c r="R66" s="81" t="n"/>
      <c r="S66" s="81" t="n"/>
      <c r="T66" s="136">
        <f>IF(AND(E66&gt;0,U66=0),1,"")</f>
        <v/>
      </c>
      <c r="U66" s="136">
        <f>SUM(X66:AR66)</f>
        <v/>
      </c>
      <c r="V66" s="136">
        <f>IF(E66=$Q$16,0,SUM(X66:AI66))</f>
        <v/>
      </c>
      <c r="W66" s="136">
        <f>SUM(AK66:AR66)</f>
        <v/>
      </c>
      <c r="X66" s="136">
        <f>IF(E66=$X$6,1,"")</f>
        <v/>
      </c>
      <c r="Y66" s="136">
        <f>IF(E66=$Y$6,1,"")</f>
        <v/>
      </c>
      <c r="Z66" s="136">
        <f>IF(E66=$Z$6,1,"")</f>
        <v/>
      </c>
      <c r="AA66" s="136">
        <f>IF(E66=$AA$6,1,"")</f>
        <v/>
      </c>
      <c r="AB66" s="136">
        <f>IF(E66=$AB$6,1,"")</f>
        <v/>
      </c>
      <c r="AC66" s="136">
        <f>IF(E66=$AC$6,1,"")</f>
        <v/>
      </c>
      <c r="AD66" s="136">
        <f>IF(E66=$AD$6,1,"")</f>
        <v/>
      </c>
      <c r="AE66" s="136">
        <f>IF(E66=$AE$6,1,"")</f>
        <v/>
      </c>
      <c r="AF66" s="136">
        <f>IF(E66=$AF$6,1,"")</f>
        <v/>
      </c>
      <c r="AG66" s="136">
        <f>IF(E66=$AG$6,1,"")</f>
        <v/>
      </c>
      <c r="AH66" s="136">
        <f>IF(E66=$AH$6,1,"")</f>
        <v/>
      </c>
      <c r="AI66" s="136">
        <f>IF(E66=$AI$6,1,"")</f>
        <v/>
      </c>
      <c r="AJ66" s="136">
        <f>IF(E66=$AJ$6,1,"")</f>
        <v/>
      </c>
      <c r="AK66" s="81">
        <f>IF(E66=$AK$6,1,"")</f>
        <v/>
      </c>
      <c r="AL66" s="81">
        <f>IF(E66=$AL$6,1,"")</f>
        <v/>
      </c>
      <c r="AM66" s="81">
        <f>IF(E66=$AM$6,1,"")</f>
        <v/>
      </c>
      <c r="AN66" s="81">
        <f>IF(E66=$AN$6,1,"")</f>
        <v/>
      </c>
      <c r="AO66" s="81">
        <f>IF(E66=$AO$6,1,"")</f>
        <v/>
      </c>
      <c r="AP66" s="81">
        <f>IF(E66=$AP$6,1,"")</f>
        <v/>
      </c>
      <c r="AQ66" s="81">
        <f>IF(E66=$AQ$6,1,"")</f>
        <v/>
      </c>
      <c r="AR66" s="81">
        <f>IF(E66=$AR$6,1,"")</f>
        <v/>
      </c>
      <c r="AS66" s="81" t="n"/>
    </row>
    <row r="67" ht="15.75" customHeight="1" s="80">
      <c r="A67" s="123" t="inlineStr">
        <is>
          <t>Sara Ravier</t>
        </is>
      </c>
      <c r="B67" s="124" t="inlineStr">
        <is>
          <t>07/28/2025</t>
        </is>
      </c>
      <c r="C67" s="125" t="inlineStr">
        <is>
          <t>mc200051</t>
        </is>
      </c>
      <c r="D67" s="126" t="inlineStr">
        <is>
          <t>Michael</t>
        </is>
      </c>
      <c r="E67" s="127" t="inlineStr">
        <is>
          <t>OT TW</t>
        </is>
      </c>
      <c r="F67" s="128" t="n">
        <v>90</v>
      </c>
      <c r="G67" s="129" t="n"/>
      <c r="H67" s="130" t="n"/>
      <c r="I67" s="131" t="n"/>
      <c r="J67" s="131">
        <f>IF(COUNTIF(B67:E67,"*")=0,"",IF(T67=1,"Invalid Service",IF(AND(V67=1,F67=""),"Add Session Mins",IF(AND(E67&gt;0,H67="",T67=""),"Enter Contract Rate",IF(AND(E67="IEP mtg, prep, rept",F67&gt;0),(G67*H67),IF(AND(E67&gt;0,F67&gt;0,H67&gt;0,I67=""),"Enter Travel",IF(AND(F67&gt;0,I67="Y"),(G67*H67)+$M$10,IF(AND(F67&gt;0,I67="N"),(G67*H67),H67))))))))</f>
        <v/>
      </c>
      <c r="K67" s="132">
        <f>J67</f>
        <v/>
      </c>
      <c r="L67" s="148" t="n"/>
      <c r="M67" s="148" t="n"/>
      <c r="N67" s="148" t="n"/>
      <c r="O67" s="87" t="n"/>
      <c r="P67" s="81" t="n"/>
      <c r="Q67" s="81" t="n"/>
      <c r="R67" s="81" t="n"/>
      <c r="S67" s="81" t="n"/>
      <c r="T67" s="136">
        <f>IF(AND(E67&gt;0,U67=0),1,"")</f>
        <v/>
      </c>
      <c r="U67" s="136">
        <f>SUM(X67:AR67)</f>
        <v/>
      </c>
      <c r="V67" s="136">
        <f>IF(E67=$Q$16,0,SUM(X67:AI67))</f>
        <v/>
      </c>
      <c r="W67" s="136">
        <f>SUM(AK67:AR67)</f>
        <v/>
      </c>
      <c r="X67" s="136">
        <f>IF(E67=$X$6,1,"")</f>
        <v/>
      </c>
      <c r="Y67" s="136">
        <f>IF(E67=$Y$6,1,"")</f>
        <v/>
      </c>
      <c r="Z67" s="136">
        <f>IF(E67=$Z$6,1,"")</f>
        <v/>
      </c>
      <c r="AA67" s="136">
        <f>IF(E67=$AA$6,1,"")</f>
        <v/>
      </c>
      <c r="AB67" s="136">
        <f>IF(E67=$AB$6,1,"")</f>
        <v/>
      </c>
      <c r="AC67" s="136">
        <f>IF(E67=$AC$6,1,"")</f>
        <v/>
      </c>
      <c r="AD67" s="136">
        <f>IF(E67=$AD$6,1,"")</f>
        <v/>
      </c>
      <c r="AE67" s="136">
        <f>IF(E67=$AE$6,1,"")</f>
        <v/>
      </c>
      <c r="AF67" s="136">
        <f>IF(E67=$AF$6,1,"")</f>
        <v/>
      </c>
      <c r="AG67" s="136">
        <f>IF(E67=$AG$6,1,"")</f>
        <v/>
      </c>
      <c r="AH67" s="136">
        <f>IF(E67=$AH$6,1,"")</f>
        <v/>
      </c>
      <c r="AI67" s="136">
        <f>IF(E67=$AI$6,1,"")</f>
        <v/>
      </c>
      <c r="AJ67" s="136">
        <f>IF(E67=$AJ$6,1,"")</f>
        <v/>
      </c>
      <c r="AK67" s="81">
        <f>IF(E67=$AK$6,1,"")</f>
        <v/>
      </c>
      <c r="AL67" s="81">
        <f>IF(E67=$AL$6,1,"")</f>
        <v/>
      </c>
      <c r="AM67" s="81">
        <f>IF(E67=$AM$6,1,"")</f>
        <v/>
      </c>
      <c r="AN67" s="81">
        <f>IF(E67=$AN$6,1,"")</f>
        <v/>
      </c>
      <c r="AO67" s="81">
        <f>IF(E67=$AO$6,1,"")</f>
        <v/>
      </c>
      <c r="AP67" s="81">
        <f>IF(E67=$AP$6,1,"")</f>
        <v/>
      </c>
      <c r="AQ67" s="81">
        <f>IF(E67=$AQ$6,1,"")</f>
        <v/>
      </c>
      <c r="AR67" s="81">
        <f>IF(E67=$AR$6,1,"")</f>
        <v/>
      </c>
      <c r="AS67" s="81" t="n"/>
    </row>
    <row r="68" ht="15.75" customHeight="1" s="80">
      <c r="A68" s="123" t="inlineStr">
        <is>
          <t>Sara Ravier</t>
        </is>
      </c>
      <c r="B68" s="124" t="inlineStr">
        <is>
          <t>07/29/2025</t>
        </is>
      </c>
      <c r="C68" s="125" t="inlineStr">
        <is>
          <t>mc200051</t>
        </is>
      </c>
      <c r="D68" s="126" t="inlineStr">
        <is>
          <t>Michael</t>
        </is>
      </c>
      <c r="E68" s="127" t="inlineStr">
        <is>
          <t>OT TW</t>
        </is>
      </c>
      <c r="F68" s="128" t="n">
        <v>60</v>
      </c>
      <c r="G68" s="129" t="n"/>
      <c r="H68" s="130" t="n"/>
      <c r="I68" s="131" t="n"/>
      <c r="J68" s="131">
        <f>IF(COUNTIF(B68:E68,"*")=0,"",IF(T68=1,"Invalid Service",IF(AND(V68=1,F68=""),"Add Session Mins",IF(AND(E68&gt;0,H68="",T68=""),"Enter Contract Rate",IF(AND(E68="IEP mtg, prep, rept",F68&gt;0),(G68*H68),IF(AND(E68&gt;0,F68&gt;0,H68&gt;0,I68=""),"Enter Travel",IF(AND(F68&gt;0,I68="Y"),(G68*H68)+$M$10,IF(AND(F68&gt;0,I68="N"),(G68*H68),H68))))))))</f>
        <v/>
      </c>
      <c r="K68" s="132">
        <f>J68</f>
        <v/>
      </c>
      <c r="L68" s="148" t="n"/>
      <c r="M68" s="148" t="n"/>
      <c r="N68" s="148" t="n"/>
      <c r="O68" s="87" t="n"/>
      <c r="P68" s="81" t="n"/>
      <c r="Q68" s="81" t="n"/>
      <c r="R68" s="81" t="n"/>
      <c r="S68" s="81" t="n"/>
      <c r="T68" s="136">
        <f>IF(AND(E68&gt;0,U68=0),1,"")</f>
        <v/>
      </c>
      <c r="U68" s="136">
        <f>SUM(X68:AR68)</f>
        <v/>
      </c>
      <c r="V68" s="136">
        <f>IF(E68=$Q$16,0,SUM(X68:AI68))</f>
        <v/>
      </c>
      <c r="W68" s="136">
        <f>SUM(AK68:AR68)</f>
        <v/>
      </c>
      <c r="X68" s="136">
        <f>IF(E68=$X$6,1,"")</f>
        <v/>
      </c>
      <c r="Y68" s="136">
        <f>IF(E68=$Y$6,1,"")</f>
        <v/>
      </c>
      <c r="Z68" s="136">
        <f>IF(E68=$Z$6,1,"")</f>
        <v/>
      </c>
      <c r="AA68" s="136">
        <f>IF(E68=$AA$6,1,"")</f>
        <v/>
      </c>
      <c r="AB68" s="136">
        <f>IF(E68=$AB$6,1,"")</f>
        <v/>
      </c>
      <c r="AC68" s="136">
        <f>IF(E68=$AC$6,1,"")</f>
        <v/>
      </c>
      <c r="AD68" s="136">
        <f>IF(E68=$AD$6,1,"")</f>
        <v/>
      </c>
      <c r="AE68" s="136">
        <f>IF(E68=$AE$6,1,"")</f>
        <v/>
      </c>
      <c r="AF68" s="136">
        <f>IF(E68=$AF$6,1,"")</f>
        <v/>
      </c>
      <c r="AG68" s="136">
        <f>IF(E68=$AG$6,1,"")</f>
        <v/>
      </c>
      <c r="AH68" s="136">
        <f>IF(E68=$AH$6,1,"")</f>
        <v/>
      </c>
      <c r="AI68" s="136">
        <f>IF(E68=$AI$6,1,"")</f>
        <v/>
      </c>
      <c r="AJ68" s="136">
        <f>IF(E68=$AJ$6,1,"")</f>
        <v/>
      </c>
      <c r="AK68" s="81">
        <f>IF(E68=$AK$6,1,"")</f>
        <v/>
      </c>
      <c r="AL68" s="81">
        <f>IF(E68=$AL$6,1,"")</f>
        <v/>
      </c>
      <c r="AM68" s="81">
        <f>IF(E68=$AM$6,1,"")</f>
        <v/>
      </c>
      <c r="AN68" s="81">
        <f>IF(E68=$AN$6,1,"")</f>
        <v/>
      </c>
      <c r="AO68" s="81">
        <f>IF(E68=$AO$6,1,"")</f>
        <v/>
      </c>
      <c r="AP68" s="81">
        <f>IF(E68=$AP$6,1,"")</f>
        <v/>
      </c>
      <c r="AQ68" s="81">
        <f>IF(E68=$AQ$6,1,"")</f>
        <v/>
      </c>
      <c r="AR68" s="81">
        <f>IF(E68=$AR$6,1,"")</f>
        <v/>
      </c>
      <c r="AS68" s="81" t="n"/>
    </row>
    <row r="69" ht="15.75" customHeight="1" s="80">
      <c r="A69" s="123" t="inlineStr">
        <is>
          <t>Sara Ravier</t>
        </is>
      </c>
      <c r="B69" s="124" t="inlineStr">
        <is>
          <t>07/30/2025</t>
        </is>
      </c>
      <c r="C69" s="125" t="inlineStr">
        <is>
          <t>mc200051</t>
        </is>
      </c>
      <c r="D69" s="126" t="inlineStr">
        <is>
          <t>Michael</t>
        </is>
      </c>
      <c r="E69" s="127" t="inlineStr">
        <is>
          <t>OT TW</t>
        </is>
      </c>
      <c r="F69" s="128" t="n">
        <v>60</v>
      </c>
      <c r="G69" s="129" t="n"/>
      <c r="H69" s="130" t="n"/>
      <c r="I69" s="131" t="n"/>
      <c r="J69" s="131">
        <f>IF(COUNTIF(B69:E69,"*")=0,"",IF(T69=1,"Invalid Service",IF(AND(V69=1,F69=""),"Add Session Mins",IF(AND(E69&gt;0,H69="",T69=""),"Enter Contract Rate",IF(AND(E69="IEP mtg, prep, rept",F69&gt;0),(G69*H69),IF(AND(E69&gt;0,F69&gt;0,H69&gt;0,I69=""),"Enter Travel",IF(AND(F69&gt;0,I69="Y"),(G69*H69)+$M$10,IF(AND(F69&gt;0,I69="N"),(G69*H69),H69))))))))</f>
        <v/>
      </c>
      <c r="K69" s="132">
        <f>J69</f>
        <v/>
      </c>
      <c r="L69" s="148" t="n"/>
      <c r="M69" s="148" t="n"/>
      <c r="N69" s="148" t="n"/>
      <c r="O69" s="87" t="n"/>
      <c r="P69" s="81" t="n"/>
      <c r="Q69" s="81" t="n"/>
      <c r="R69" s="81" t="n"/>
      <c r="S69" s="81" t="n"/>
      <c r="T69" s="136">
        <f>IF(AND(E69&gt;0,U69=0),1,"")</f>
        <v/>
      </c>
      <c r="U69" s="136">
        <f>SUM(X69:AR69)</f>
        <v/>
      </c>
      <c r="V69" s="136">
        <f>IF(E69=$Q$16,0,SUM(X69:AI69))</f>
        <v/>
      </c>
      <c r="W69" s="136">
        <f>SUM(AK69:AR69)</f>
        <v/>
      </c>
      <c r="X69" s="136">
        <f>IF(E69=$X$6,1,"")</f>
        <v/>
      </c>
      <c r="Y69" s="136">
        <f>IF(E69=$Y$6,1,"")</f>
        <v/>
      </c>
      <c r="Z69" s="136">
        <f>IF(E69=$Z$6,1,"")</f>
        <v/>
      </c>
      <c r="AA69" s="136">
        <f>IF(E69=$AA$6,1,"")</f>
        <v/>
      </c>
      <c r="AB69" s="136">
        <f>IF(E69=$AB$6,1,"")</f>
        <v/>
      </c>
      <c r="AC69" s="136">
        <f>IF(E69=$AC$6,1,"")</f>
        <v/>
      </c>
      <c r="AD69" s="136">
        <f>IF(E69=$AD$6,1,"")</f>
        <v/>
      </c>
      <c r="AE69" s="136">
        <f>IF(E69=$AE$6,1,"")</f>
        <v/>
      </c>
      <c r="AF69" s="136">
        <f>IF(E69=$AF$6,1,"")</f>
        <v/>
      </c>
      <c r="AG69" s="136">
        <f>IF(E69=$AG$6,1,"")</f>
        <v/>
      </c>
      <c r="AH69" s="136">
        <f>IF(E69=$AH$6,1,"")</f>
        <v/>
      </c>
      <c r="AI69" s="136">
        <f>IF(E69=$AI$6,1,"")</f>
        <v/>
      </c>
      <c r="AJ69" s="136">
        <f>IF(E69=$AJ$6,1,"")</f>
        <v/>
      </c>
      <c r="AK69" s="81">
        <f>IF(E69=$AK$6,1,"")</f>
        <v/>
      </c>
      <c r="AL69" s="81">
        <f>IF(E69=$AL$6,1,"")</f>
        <v/>
      </c>
      <c r="AM69" s="81">
        <f>IF(E69=$AM$6,1,"")</f>
        <v/>
      </c>
      <c r="AN69" s="81">
        <f>IF(E69=$AN$6,1,"")</f>
        <v/>
      </c>
      <c r="AO69" s="81">
        <f>IF(E69=$AO$6,1,"")</f>
        <v/>
      </c>
      <c r="AP69" s="81">
        <f>IF(E69=$AP$6,1,"")</f>
        <v/>
      </c>
      <c r="AQ69" s="81">
        <f>IF(E69=$AQ$6,1,"")</f>
        <v/>
      </c>
      <c r="AR69" s="81">
        <f>IF(E69=$AR$6,1,"")</f>
        <v/>
      </c>
      <c r="AS69" s="81" t="n"/>
    </row>
    <row r="70" ht="15.75" customHeight="1" s="80">
      <c r="A70" s="123" t="inlineStr">
        <is>
          <t>Rochelle Johnson</t>
        </is>
      </c>
      <c r="B70" s="124" t="inlineStr">
        <is>
          <t>07/07/2025</t>
        </is>
      </c>
      <c r="C70" s="125" t="inlineStr">
        <is>
          <t>nw208774</t>
        </is>
      </c>
      <c r="D70" s="126" t="inlineStr">
        <is>
          <t>Nicholas</t>
        </is>
      </c>
      <c r="E70" s="127" t="inlineStr">
        <is>
          <t>COU TW</t>
        </is>
      </c>
      <c r="F70" s="128" t="n">
        <v>120</v>
      </c>
      <c r="G70" s="129" t="n"/>
      <c r="H70" s="130" t="n"/>
      <c r="I70" s="131" t="n"/>
      <c r="J70" s="131">
        <f>IF(COUNTIF(B70:E70,"*")=0,"",IF(T70=1,"Invalid Service",IF(AND(V70=1,F70=""),"Add Session Mins",IF(AND(E70&gt;0,H70="",T70=""),"Enter Contract Rate",IF(AND(E70="IEP mtg, prep, rept",F70&gt;0),(G70*H70),IF(AND(E70&gt;0,F70&gt;0,H70&gt;0,I70=""),"Enter Travel",IF(AND(F70&gt;0,I70="Y"),(G70*H70)+$M$10,IF(AND(F70&gt;0,I70="N"),(G70*H70),H70))))))))</f>
        <v/>
      </c>
      <c r="K70" s="132">
        <f>J70</f>
        <v/>
      </c>
      <c r="L70" s="148" t="n"/>
      <c r="M70" s="148" t="n"/>
      <c r="N70" s="148" t="n"/>
      <c r="O70" s="87" t="n"/>
      <c r="P70" s="81" t="n"/>
      <c r="Q70" s="81" t="n"/>
      <c r="R70" s="81" t="n"/>
      <c r="S70" s="81" t="n"/>
      <c r="T70" s="136">
        <f>IF(AND(E70&gt;0,U70=0),1,"")</f>
        <v/>
      </c>
      <c r="U70" s="136">
        <f>SUM(X70:AR70)</f>
        <v/>
      </c>
      <c r="V70" s="136">
        <f>IF(E70=$Q$16,0,SUM(X70:AI70))</f>
        <v/>
      </c>
      <c r="W70" s="136">
        <f>SUM(AK70:AR70)</f>
        <v/>
      </c>
      <c r="X70" s="136">
        <f>IF(E70=$X$6,1,"")</f>
        <v/>
      </c>
      <c r="Y70" s="136">
        <f>IF(E70=$Y$6,1,"")</f>
        <v/>
      </c>
      <c r="Z70" s="136">
        <f>IF(E70=$Z$6,1,"")</f>
        <v/>
      </c>
      <c r="AA70" s="136">
        <f>IF(E70=$AA$6,1,"")</f>
        <v/>
      </c>
      <c r="AB70" s="136">
        <f>IF(E70=$AB$6,1,"")</f>
        <v/>
      </c>
      <c r="AC70" s="136">
        <f>IF(E70=$AC$6,1,"")</f>
        <v/>
      </c>
      <c r="AD70" s="136">
        <f>IF(E70=$AD$6,1,"")</f>
        <v/>
      </c>
      <c r="AE70" s="136">
        <f>IF(E70=$AE$6,1,"")</f>
        <v/>
      </c>
      <c r="AF70" s="136">
        <f>IF(E70=$AF$6,1,"")</f>
        <v/>
      </c>
      <c r="AG70" s="136">
        <f>IF(E70=$AG$6,1,"")</f>
        <v/>
      </c>
      <c r="AH70" s="136">
        <f>IF(E70=$AH$6,1,"")</f>
        <v/>
      </c>
      <c r="AI70" s="136">
        <f>IF(E70=$AI$6,1,"")</f>
        <v/>
      </c>
      <c r="AJ70" s="136">
        <f>IF(E70=$AJ$6,1,"")</f>
        <v/>
      </c>
      <c r="AK70" s="81">
        <f>IF(E70=$AK$6,1,"")</f>
        <v/>
      </c>
      <c r="AL70" s="81">
        <f>IF(E70=$AL$6,1,"")</f>
        <v/>
      </c>
      <c r="AM70" s="81">
        <f>IF(E70=$AM$6,1,"")</f>
        <v/>
      </c>
      <c r="AN70" s="81">
        <f>IF(E70=$AN$6,1,"")</f>
        <v/>
      </c>
      <c r="AO70" s="81">
        <f>IF(E70=$AO$6,1,"")</f>
        <v/>
      </c>
      <c r="AP70" s="81">
        <f>IF(E70=$AP$6,1,"")</f>
        <v/>
      </c>
      <c r="AQ70" s="81">
        <f>IF(E70=$AQ$6,1,"")</f>
        <v/>
      </c>
      <c r="AR70" s="81">
        <f>IF(E70=$AR$6,1,"")</f>
        <v/>
      </c>
      <c r="AS70" s="81" t="n"/>
    </row>
    <row r="71" ht="15.75" customHeight="1" s="80">
      <c r="A71" s="123" t="inlineStr">
        <is>
          <t>Rochelle Johnson</t>
        </is>
      </c>
      <c r="B71" s="124" t="inlineStr">
        <is>
          <t>07/23/2025</t>
        </is>
      </c>
      <c r="C71" s="125" t="inlineStr">
        <is>
          <t>nw208774</t>
        </is>
      </c>
      <c r="D71" s="126" t="inlineStr">
        <is>
          <t>Nicholas</t>
        </is>
      </c>
      <c r="E71" s="127" t="inlineStr">
        <is>
          <t>COU TW</t>
        </is>
      </c>
      <c r="F71" s="128" t="n">
        <v>60</v>
      </c>
      <c r="G71" s="129" t="n"/>
      <c r="H71" s="130" t="n"/>
      <c r="I71" s="131" t="n"/>
      <c r="J71" s="131">
        <f>IF(COUNTIF(B71:E71,"*")=0,"",IF(T71=1,"Invalid Service",IF(AND(V71=1,F71=""),"Add Session Mins",IF(AND(E71&gt;0,H71="",T71=""),"Enter Contract Rate",IF(AND(E71="IEP mtg, prep, rept",F71&gt;0),(G71*H71),IF(AND(E71&gt;0,F71&gt;0,H71&gt;0,I71=""),"Enter Travel",IF(AND(F71&gt;0,I71="Y"),(G71*H71)+$M$10,IF(AND(F71&gt;0,I71="N"),(G71*H71),H71))))))))</f>
        <v/>
      </c>
      <c r="K71" s="132">
        <f>J71</f>
        <v/>
      </c>
      <c r="L71" s="148" t="n"/>
      <c r="M71" s="148" t="n"/>
      <c r="N71" s="148" t="n"/>
      <c r="O71" s="87" t="n"/>
      <c r="P71" s="81" t="n"/>
      <c r="Q71" s="81" t="n"/>
      <c r="R71" s="81" t="n"/>
      <c r="S71" s="81" t="n"/>
      <c r="T71" s="136">
        <f>IF(AND(E71&gt;0,U71=0),1,"")</f>
        <v/>
      </c>
      <c r="U71" s="136">
        <f>SUM(X71:AR71)</f>
        <v/>
      </c>
      <c r="V71" s="136">
        <f>IF(E71=$Q$16,0,SUM(X71:AI71))</f>
        <v/>
      </c>
      <c r="W71" s="136">
        <f>SUM(AK71:AR71)</f>
        <v/>
      </c>
      <c r="X71" s="136">
        <f>IF(E71=$X$6,1,"")</f>
        <v/>
      </c>
      <c r="Y71" s="136">
        <f>IF(E71=$Y$6,1,"")</f>
        <v/>
      </c>
      <c r="Z71" s="136">
        <f>IF(E71=$Z$6,1,"")</f>
        <v/>
      </c>
      <c r="AA71" s="136">
        <f>IF(E71=$AA$6,1,"")</f>
        <v/>
      </c>
      <c r="AB71" s="136">
        <f>IF(E71=$AB$6,1,"")</f>
        <v/>
      </c>
      <c r="AC71" s="136">
        <f>IF(E71=$AC$6,1,"")</f>
        <v/>
      </c>
      <c r="AD71" s="136">
        <f>IF(E71=$AD$6,1,"")</f>
        <v/>
      </c>
      <c r="AE71" s="136">
        <f>IF(E71=$AE$6,1,"")</f>
        <v/>
      </c>
      <c r="AF71" s="136">
        <f>IF(E71=$AF$6,1,"")</f>
        <v/>
      </c>
      <c r="AG71" s="136">
        <f>IF(E71=$AG$6,1,"")</f>
        <v/>
      </c>
      <c r="AH71" s="136">
        <f>IF(E71=$AH$6,1,"")</f>
        <v/>
      </c>
      <c r="AI71" s="136">
        <f>IF(E71=$AI$6,1,"")</f>
        <v/>
      </c>
      <c r="AJ71" s="136">
        <f>IF(E71=$AJ$6,1,"")</f>
        <v/>
      </c>
      <c r="AK71" s="81">
        <f>IF(E71=$AK$6,1,"")</f>
        <v/>
      </c>
      <c r="AL71" s="81">
        <f>IF(E71=$AL$6,1,"")</f>
        <v/>
      </c>
      <c r="AM71" s="81">
        <f>IF(E71=$AM$6,1,"")</f>
        <v/>
      </c>
      <c r="AN71" s="81">
        <f>IF(E71=$AN$6,1,"")</f>
        <v/>
      </c>
      <c r="AO71" s="81">
        <f>IF(E71=$AO$6,1,"")</f>
        <v/>
      </c>
      <c r="AP71" s="81">
        <f>IF(E71=$AP$6,1,"")</f>
        <v/>
      </c>
      <c r="AQ71" s="81">
        <f>IF(E71=$AQ$6,1,"")</f>
        <v/>
      </c>
      <c r="AR71" s="81">
        <f>IF(E71=$AR$6,1,"")</f>
        <v/>
      </c>
      <c r="AS71" s="81" t="n"/>
    </row>
    <row r="72" ht="15.75" customHeight="1" s="80">
      <c r="A72" s="123" t="inlineStr">
        <is>
          <t>Rochelle Johnson</t>
        </is>
      </c>
      <c r="B72" s="124" t="inlineStr">
        <is>
          <t>07/30/2025</t>
        </is>
      </c>
      <c r="C72" s="125" t="inlineStr">
        <is>
          <t>nw208774</t>
        </is>
      </c>
      <c r="D72" s="126" t="inlineStr">
        <is>
          <t>Nicholas</t>
        </is>
      </c>
      <c r="E72" s="127" t="inlineStr">
        <is>
          <t>COU TW</t>
        </is>
      </c>
      <c r="F72" s="128" t="n">
        <v>60</v>
      </c>
      <c r="G72" s="129" t="n"/>
      <c r="H72" s="130" t="n"/>
      <c r="I72" s="131" t="n"/>
      <c r="J72" s="131">
        <f>IF(COUNTIF(B72:E72,"*")=0,"",IF(T72=1,"Invalid Service",IF(AND(V72=1,F72=""),"Add Session Mins",IF(AND(E72&gt;0,H72="",T72=""),"Enter Contract Rate",IF(AND(E72="IEP mtg, prep, rept",F72&gt;0),(G72*H72),IF(AND(E72&gt;0,F72&gt;0,H72&gt;0,I72=""),"Enter Travel",IF(AND(F72&gt;0,I72="Y"),(G72*H72)+$M$10,IF(AND(F72&gt;0,I72="N"),(G72*H72),H72))))))))</f>
        <v/>
      </c>
      <c r="K72" s="132">
        <f>J72</f>
        <v/>
      </c>
      <c r="L72" s="148" t="n"/>
      <c r="M72" s="148" t="n"/>
      <c r="N72" s="148" t="n"/>
      <c r="O72" s="87" t="n"/>
      <c r="P72" s="81" t="n"/>
      <c r="Q72" s="81" t="n"/>
      <c r="R72" s="81" t="n"/>
      <c r="S72" s="81" t="n"/>
      <c r="T72" s="136">
        <f>IF(AND(E72&gt;0,U72=0),1,"")</f>
        <v/>
      </c>
      <c r="U72" s="136">
        <f>SUM(X72:AR72)</f>
        <v/>
      </c>
      <c r="V72" s="136">
        <f>IF(E72=$Q$16,0,SUM(X72:AI72))</f>
        <v/>
      </c>
      <c r="W72" s="136">
        <f>SUM(AK72:AR72)</f>
        <v/>
      </c>
      <c r="X72" s="136">
        <f>IF(E72=$X$6,1,"")</f>
        <v/>
      </c>
      <c r="Y72" s="136">
        <f>IF(E72=$Y$6,1,"")</f>
        <v/>
      </c>
      <c r="Z72" s="136">
        <f>IF(E72=$Z$6,1,"")</f>
        <v/>
      </c>
      <c r="AA72" s="136">
        <f>IF(E72=$AA$6,1,"")</f>
        <v/>
      </c>
      <c r="AB72" s="136">
        <f>IF(E72=$AB$6,1,"")</f>
        <v/>
      </c>
      <c r="AC72" s="136">
        <f>IF(E72=$AC$6,1,"")</f>
        <v/>
      </c>
      <c r="AD72" s="136">
        <f>IF(E72=$AD$6,1,"")</f>
        <v/>
      </c>
      <c r="AE72" s="136">
        <f>IF(E72=$AE$6,1,"")</f>
        <v/>
      </c>
      <c r="AF72" s="136">
        <f>IF(E72=$AF$6,1,"")</f>
        <v/>
      </c>
      <c r="AG72" s="136">
        <f>IF(E72=$AG$6,1,"")</f>
        <v/>
      </c>
      <c r="AH72" s="136">
        <f>IF(E72=$AH$6,1,"")</f>
        <v/>
      </c>
      <c r="AI72" s="136">
        <f>IF(E72=$AI$6,1,"")</f>
        <v/>
      </c>
      <c r="AJ72" s="136">
        <f>IF(E72=$AJ$6,1,"")</f>
        <v/>
      </c>
      <c r="AK72" s="81">
        <f>IF(E72=$AK$6,1,"")</f>
        <v/>
      </c>
      <c r="AL72" s="81">
        <f>IF(E72=$AL$6,1,"")</f>
        <v/>
      </c>
      <c r="AM72" s="81">
        <f>IF(E72=$AM$6,1,"")</f>
        <v/>
      </c>
      <c r="AN72" s="81">
        <f>IF(E72=$AN$6,1,"")</f>
        <v/>
      </c>
      <c r="AO72" s="81">
        <f>IF(E72=$AO$6,1,"")</f>
        <v/>
      </c>
      <c r="AP72" s="81">
        <f>IF(E72=$AP$6,1,"")</f>
        <v/>
      </c>
      <c r="AQ72" s="81">
        <f>IF(E72=$AQ$6,1,"")</f>
        <v/>
      </c>
      <c r="AR72" s="81">
        <f>IF(E72=$AR$6,1,"")</f>
        <v/>
      </c>
      <c r="AS72" s="81" t="n"/>
    </row>
    <row r="73" ht="15.75" customHeight="1" s="80">
      <c r="A73" s="123" t="inlineStr">
        <is>
          <t>Cynthia Gocek</t>
        </is>
      </c>
      <c r="B73" s="124" t="inlineStr">
        <is>
          <t>07/14/2025</t>
        </is>
      </c>
      <c r="C73" s="125" t="inlineStr">
        <is>
          <t>rh184850</t>
        </is>
      </c>
      <c r="D73" s="126" t="inlineStr">
        <is>
          <t>Rionne</t>
        </is>
      </c>
      <c r="E73" s="127" t="inlineStr">
        <is>
          <t>SLP TW</t>
        </is>
      </c>
      <c r="F73" s="128" t="n">
        <v>150</v>
      </c>
      <c r="G73" s="129" t="n"/>
      <c r="H73" s="130" t="n"/>
      <c r="I73" s="131" t="n"/>
      <c r="J73" s="131">
        <f>IF(COUNTIF(B73:E73,"*")=0,"",IF(T73=1,"Invalid Service",IF(AND(V73=1,F73=""),"Add Session Mins",IF(AND(E73&gt;0,H73="",T73=""),"Enter Contract Rate",IF(AND(E73="IEP mtg, prep, rept",F73&gt;0),(G73*H73),IF(AND(E73&gt;0,F73&gt;0,H73&gt;0,I73=""),"Enter Travel",IF(AND(F73&gt;0,I73="Y"),(G73*H73)+$M$10,IF(AND(F73&gt;0,I73="N"),(G73*H73),H73))))))))</f>
        <v/>
      </c>
      <c r="K73" s="132">
        <f>J73</f>
        <v/>
      </c>
      <c r="L73" s="148" t="n"/>
      <c r="M73" s="148" t="n"/>
      <c r="N73" s="148" t="n"/>
      <c r="O73" s="87" t="n"/>
      <c r="P73" s="81" t="n"/>
      <c r="Q73" s="81" t="n"/>
      <c r="R73" s="81" t="n"/>
      <c r="S73" s="81" t="n"/>
      <c r="T73" s="136">
        <f>IF(AND(E73&gt;0,U73=0),1,"")</f>
        <v/>
      </c>
      <c r="U73" s="136">
        <f>SUM(X73:AR73)</f>
        <v/>
      </c>
      <c r="V73" s="136">
        <f>IF(E73=$Q$16,0,SUM(X73:AI73))</f>
        <v/>
      </c>
      <c r="W73" s="136">
        <f>SUM(AK73:AR73)</f>
        <v/>
      </c>
      <c r="X73" s="136">
        <f>IF(E73=$X$6,1,"")</f>
        <v/>
      </c>
      <c r="Y73" s="136">
        <f>IF(E73=$Y$6,1,"")</f>
        <v/>
      </c>
      <c r="Z73" s="136">
        <f>IF(E73=$Z$6,1,"")</f>
        <v/>
      </c>
      <c r="AA73" s="136">
        <f>IF(E73=$AA$6,1,"")</f>
        <v/>
      </c>
      <c r="AB73" s="136">
        <f>IF(E73=$AB$6,1,"")</f>
        <v/>
      </c>
      <c r="AC73" s="136">
        <f>IF(E73=$AC$6,1,"")</f>
        <v/>
      </c>
      <c r="AD73" s="136">
        <f>IF(E73=$AD$6,1,"")</f>
        <v/>
      </c>
      <c r="AE73" s="136">
        <f>IF(E73=$AE$6,1,"")</f>
        <v/>
      </c>
      <c r="AF73" s="136">
        <f>IF(E73=$AF$6,1,"")</f>
        <v/>
      </c>
      <c r="AG73" s="136">
        <f>IF(E73=$AG$6,1,"")</f>
        <v/>
      </c>
      <c r="AH73" s="136">
        <f>IF(E73=$AH$6,1,"")</f>
        <v/>
      </c>
      <c r="AI73" s="136">
        <f>IF(E73=$AI$6,1,"")</f>
        <v/>
      </c>
      <c r="AJ73" s="136">
        <f>IF(E73=$AJ$6,1,"")</f>
        <v/>
      </c>
      <c r="AK73" s="81">
        <f>IF(E73=$AK$6,1,"")</f>
        <v/>
      </c>
      <c r="AL73" s="81">
        <f>IF(E73=$AL$6,1,"")</f>
        <v/>
      </c>
      <c r="AM73" s="81">
        <f>IF(E73=$AM$6,1,"")</f>
        <v/>
      </c>
      <c r="AN73" s="81">
        <f>IF(E73=$AN$6,1,"")</f>
        <v/>
      </c>
      <c r="AO73" s="81">
        <f>IF(E73=$AO$6,1,"")</f>
        <v/>
      </c>
      <c r="AP73" s="81">
        <f>IF(E73=$AP$6,1,"")</f>
        <v/>
      </c>
      <c r="AQ73" s="81">
        <f>IF(E73=$AQ$6,1,"")</f>
        <v/>
      </c>
      <c r="AR73" s="81">
        <f>IF(E73=$AR$6,1,"")</f>
        <v/>
      </c>
      <c r="AS73" s="81" t="n"/>
    </row>
    <row r="74" ht="15.75" customHeight="1" s="80">
      <c r="A74" s="123" t="inlineStr">
        <is>
          <t>Cynthia Gocek</t>
        </is>
      </c>
      <c r="B74" s="124" t="inlineStr">
        <is>
          <t>07/15/2025</t>
        </is>
      </c>
      <c r="C74" s="125" t="inlineStr">
        <is>
          <t>rh184850</t>
        </is>
      </c>
      <c r="D74" s="126" t="inlineStr">
        <is>
          <t>Rionne</t>
        </is>
      </c>
      <c r="E74" s="127" t="inlineStr">
        <is>
          <t>SLP TW</t>
        </is>
      </c>
      <c r="F74" s="128" t="n">
        <v>150</v>
      </c>
      <c r="G74" s="129" t="n"/>
      <c r="H74" s="130" t="n"/>
      <c r="I74" s="131" t="n"/>
      <c r="J74" s="131">
        <f>IF(COUNTIF(B74:E74,"*")=0,"",IF(T74=1,"Invalid Service",IF(AND(V74=1,F74=""),"Add Session Mins",IF(AND(E74&gt;0,H74="",T74=""),"Enter Contract Rate",IF(AND(E74="IEP mtg, prep, rept",F74&gt;0),(G74*H74),IF(AND(E74&gt;0,F74&gt;0,H74&gt;0,I74=""),"Enter Travel",IF(AND(F74&gt;0,I74="Y"),(G74*H74)+$M$10,IF(AND(F74&gt;0,I74="N"),(G74*H74),H74))))))))</f>
        <v/>
      </c>
      <c r="K74" s="132">
        <f>J74</f>
        <v/>
      </c>
      <c r="L74" s="148" t="n"/>
      <c r="M74" s="148" t="n"/>
      <c r="N74" s="148" t="n"/>
      <c r="O74" s="87" t="n"/>
      <c r="P74" s="81" t="n"/>
      <c r="Q74" s="81" t="n"/>
      <c r="R74" s="81" t="n"/>
      <c r="S74" s="81" t="n"/>
      <c r="T74" s="136">
        <f>IF(AND(E74&gt;0,U74=0),1,"")</f>
        <v/>
      </c>
      <c r="U74" s="136">
        <f>SUM(X74:AR74)</f>
        <v/>
      </c>
      <c r="V74" s="136">
        <f>IF(E74=$Q$16,0,SUM(X74:AI74))</f>
        <v/>
      </c>
      <c r="W74" s="136">
        <f>SUM(AK74:AR74)</f>
        <v/>
      </c>
      <c r="X74" s="136">
        <f>IF(E74=$X$6,1,"")</f>
        <v/>
      </c>
      <c r="Y74" s="136">
        <f>IF(E74=$Y$6,1,"")</f>
        <v/>
      </c>
      <c r="Z74" s="136">
        <f>IF(E74=$Z$6,1,"")</f>
        <v/>
      </c>
      <c r="AA74" s="136">
        <f>IF(E74=$AA$6,1,"")</f>
        <v/>
      </c>
      <c r="AB74" s="136">
        <f>IF(E74=$AB$6,1,"")</f>
        <v/>
      </c>
      <c r="AC74" s="136">
        <f>IF(E74=$AC$6,1,"")</f>
        <v/>
      </c>
      <c r="AD74" s="136">
        <f>IF(E74=$AD$6,1,"")</f>
        <v/>
      </c>
      <c r="AE74" s="136">
        <f>IF(E74=$AE$6,1,"")</f>
        <v/>
      </c>
      <c r="AF74" s="136">
        <f>IF(E74=$AF$6,1,"")</f>
        <v/>
      </c>
      <c r="AG74" s="136">
        <f>IF(E74=$AG$6,1,"")</f>
        <v/>
      </c>
      <c r="AH74" s="136">
        <f>IF(E74=$AH$6,1,"")</f>
        <v/>
      </c>
      <c r="AI74" s="136">
        <f>IF(E74=$AI$6,1,"")</f>
        <v/>
      </c>
      <c r="AJ74" s="136">
        <f>IF(E74=$AJ$6,1,"")</f>
        <v/>
      </c>
      <c r="AK74" s="81">
        <f>IF(E74=$AK$6,1,"")</f>
        <v/>
      </c>
      <c r="AL74" s="81">
        <f>IF(E74=$AL$6,1,"")</f>
        <v/>
      </c>
      <c r="AM74" s="81">
        <f>IF(E74=$AM$6,1,"")</f>
        <v/>
      </c>
      <c r="AN74" s="81">
        <f>IF(E74=$AN$6,1,"")</f>
        <v/>
      </c>
      <c r="AO74" s="81">
        <f>IF(E74=$AO$6,1,"")</f>
        <v/>
      </c>
      <c r="AP74" s="81">
        <f>IF(E74=$AP$6,1,"")</f>
        <v/>
      </c>
      <c r="AQ74" s="81">
        <f>IF(E74=$AQ$6,1,"")</f>
        <v/>
      </c>
      <c r="AR74" s="81">
        <f>IF(E74=$AR$6,1,"")</f>
        <v/>
      </c>
      <c r="AS74" s="81" t="n"/>
    </row>
    <row r="75" ht="15.75" customHeight="1" s="80">
      <c r="A75" s="123" t="inlineStr">
        <is>
          <t>Cynthia Gocek</t>
        </is>
      </c>
      <c r="B75" s="124" t="inlineStr">
        <is>
          <t>07/18/2025</t>
        </is>
      </c>
      <c r="C75" s="125" t="inlineStr">
        <is>
          <t>rh184850</t>
        </is>
      </c>
      <c r="D75" s="126" t="inlineStr">
        <is>
          <t>Rionne</t>
        </is>
      </c>
      <c r="E75" s="127" t="inlineStr">
        <is>
          <t>SLP TW</t>
        </is>
      </c>
      <c r="F75" s="128" t="n">
        <v>60</v>
      </c>
      <c r="G75" s="129" t="n"/>
      <c r="H75" s="130" t="n"/>
      <c r="I75" s="131" t="n"/>
      <c r="J75" s="131">
        <f>IF(COUNTIF(B75:E75,"*")=0,"",IF(T75=1,"Invalid Service",IF(AND(V75=1,F75=""),"Add Session Mins",IF(AND(E75&gt;0,H75="",T75=""),"Enter Contract Rate",IF(AND(E75="IEP mtg, prep, rept",F75&gt;0),(G75*H75),IF(AND(E75&gt;0,F75&gt;0,H75&gt;0,I75=""),"Enter Travel",IF(AND(F75&gt;0,I75="Y"),(G75*H75)+$M$10,IF(AND(F75&gt;0,I75="N"),(G75*H75),H75))))))))</f>
        <v/>
      </c>
      <c r="K75" s="132">
        <f>J75</f>
        <v/>
      </c>
      <c r="L75" s="148" t="n"/>
      <c r="M75" s="148" t="n"/>
      <c r="N75" s="148" t="n"/>
      <c r="O75" s="87" t="n"/>
      <c r="P75" s="81" t="n"/>
      <c r="Q75" s="81" t="n"/>
      <c r="R75" s="81" t="n"/>
      <c r="S75" s="81" t="n"/>
      <c r="T75" s="136">
        <f>IF(AND(E75&gt;0,U75=0),1,"")</f>
        <v/>
      </c>
      <c r="U75" s="136">
        <f>SUM(X75:AR75)</f>
        <v/>
      </c>
      <c r="V75" s="136">
        <f>IF(E75=$Q$16,0,SUM(X75:AI75))</f>
        <v/>
      </c>
      <c r="W75" s="136">
        <f>SUM(AK75:AR75)</f>
        <v/>
      </c>
      <c r="X75" s="136">
        <f>IF(E75=$X$6,1,"")</f>
        <v/>
      </c>
      <c r="Y75" s="136">
        <f>IF(E75=$Y$6,1,"")</f>
        <v/>
      </c>
      <c r="Z75" s="136">
        <f>IF(E75=$Z$6,1,"")</f>
        <v/>
      </c>
      <c r="AA75" s="136">
        <f>IF(E75=$AA$6,1,"")</f>
        <v/>
      </c>
      <c r="AB75" s="136">
        <f>IF(E75=$AB$6,1,"")</f>
        <v/>
      </c>
      <c r="AC75" s="136">
        <f>IF(E75=$AC$6,1,"")</f>
        <v/>
      </c>
      <c r="AD75" s="136">
        <f>IF(E75=$AD$6,1,"")</f>
        <v/>
      </c>
      <c r="AE75" s="136">
        <f>IF(E75=$AE$6,1,"")</f>
        <v/>
      </c>
      <c r="AF75" s="136">
        <f>IF(E75=$AF$6,1,"")</f>
        <v/>
      </c>
      <c r="AG75" s="136">
        <f>IF(E75=$AG$6,1,"")</f>
        <v/>
      </c>
      <c r="AH75" s="136">
        <f>IF(E75=$AH$6,1,"")</f>
        <v/>
      </c>
      <c r="AI75" s="136">
        <f>IF(E75=$AI$6,1,"")</f>
        <v/>
      </c>
      <c r="AJ75" s="136">
        <f>IF(E75=$AJ$6,1,"")</f>
        <v/>
      </c>
      <c r="AK75" s="81">
        <f>IF(E75=$AK$6,1,"")</f>
        <v/>
      </c>
      <c r="AL75" s="81">
        <f>IF(E75=$AL$6,1,"")</f>
        <v/>
      </c>
      <c r="AM75" s="81">
        <f>IF(E75=$AM$6,1,"")</f>
        <v/>
      </c>
      <c r="AN75" s="81">
        <f>IF(E75=$AN$6,1,"")</f>
        <v/>
      </c>
      <c r="AO75" s="81">
        <f>IF(E75=$AO$6,1,"")</f>
        <v/>
      </c>
      <c r="AP75" s="81">
        <f>IF(E75=$AP$6,1,"")</f>
        <v/>
      </c>
      <c r="AQ75" s="81">
        <f>IF(E75=$AQ$6,1,"")</f>
        <v/>
      </c>
      <c r="AR75" s="81">
        <f>IF(E75=$AR$6,1,"")</f>
        <v/>
      </c>
      <c r="AS75" s="81" t="n"/>
    </row>
    <row r="76" ht="15.75" customHeight="1" s="80">
      <c r="A76" s="123" t="inlineStr">
        <is>
          <t>Cynthia Gocek</t>
        </is>
      </c>
      <c r="B76" s="150" t="inlineStr">
        <is>
          <t>07/21/2025</t>
        </is>
      </c>
      <c r="C76" s="125" t="inlineStr">
        <is>
          <t>rh184850</t>
        </is>
      </c>
      <c r="D76" s="156" t="inlineStr">
        <is>
          <t>Rionne</t>
        </is>
      </c>
      <c r="E76" s="127" t="inlineStr">
        <is>
          <t>SLP TW</t>
        </is>
      </c>
      <c r="F76" s="128" t="n">
        <v>90</v>
      </c>
      <c r="G76" s="129" t="n"/>
      <c r="H76" s="130" t="n"/>
      <c r="I76" s="131" t="n"/>
      <c r="J76" s="131">
        <f>IF(COUNTIF(B76:E76,"*")=0,"",IF(T76=1,"Invalid Service",IF(AND(V76=1,F76=""),"Add Session Mins",IF(AND(E76&gt;0,H76="",T76=""),"Enter Contract Rate",IF(AND(E76="IEP mtg, prep, rept",F76&gt;0),(G76*H76),IF(AND(E76&gt;0,F76&gt;0,H76&gt;0,I76=""),"Enter Travel",IF(AND(F76&gt;0,I76="Y"),(G76*H76)+$M$10,IF(AND(F76&gt;0,I76="N"),(G76*H76),H76))))))))</f>
        <v/>
      </c>
      <c r="K76" s="132">
        <f>J76</f>
        <v/>
      </c>
      <c r="L76" s="148" t="n"/>
      <c r="M76" s="148" t="n"/>
      <c r="N76" s="148" t="n"/>
      <c r="O76" s="87" t="n"/>
      <c r="P76" s="81" t="n"/>
      <c r="Q76" s="81" t="n"/>
      <c r="R76" s="81" t="n"/>
      <c r="S76" s="81" t="n"/>
      <c r="T76" s="136">
        <f>IF(AND(E76&gt;0,U76=0),1,"")</f>
        <v/>
      </c>
      <c r="U76" s="136">
        <f>SUM(X76:AR76)</f>
        <v/>
      </c>
      <c r="V76" s="136">
        <f>IF(E76=$Q$16,0,SUM(X76:AI76))</f>
        <v/>
      </c>
      <c r="W76" s="136">
        <f>SUM(AK76:AR76)</f>
        <v/>
      </c>
      <c r="X76" s="136">
        <f>IF(E76=$X$6,1,"")</f>
        <v/>
      </c>
      <c r="Y76" s="136">
        <f>IF(E76=$Y$6,1,"")</f>
        <v/>
      </c>
      <c r="Z76" s="136">
        <f>IF(E76=$Z$6,1,"")</f>
        <v/>
      </c>
      <c r="AA76" s="136">
        <f>IF(E76=$AA$6,1,"")</f>
        <v/>
      </c>
      <c r="AB76" s="136">
        <f>IF(E76=$AB$6,1,"")</f>
        <v/>
      </c>
      <c r="AC76" s="136">
        <f>IF(E76=$AC$6,1,"")</f>
        <v/>
      </c>
      <c r="AD76" s="136">
        <f>IF(E76=$AD$6,1,"")</f>
        <v/>
      </c>
      <c r="AE76" s="136">
        <f>IF(E76=$AE$6,1,"")</f>
        <v/>
      </c>
      <c r="AF76" s="136">
        <f>IF(E76=$AF$6,1,"")</f>
        <v/>
      </c>
      <c r="AG76" s="136">
        <f>IF(E76=$AG$6,1,"")</f>
        <v/>
      </c>
      <c r="AH76" s="136">
        <f>IF(E76=$AH$6,1,"")</f>
        <v/>
      </c>
      <c r="AI76" s="136">
        <f>IF(E76=$AI$6,1,"")</f>
        <v/>
      </c>
      <c r="AJ76" s="136">
        <f>IF(E76=$AJ$6,1,"")</f>
        <v/>
      </c>
      <c r="AK76" s="81">
        <f>IF(E76=$AK$6,1,"")</f>
        <v/>
      </c>
      <c r="AL76" s="81">
        <f>IF(E76=$AL$6,1,"")</f>
        <v/>
      </c>
      <c r="AM76" s="81">
        <f>IF(E76=$AM$6,1,"")</f>
        <v/>
      </c>
      <c r="AN76" s="81">
        <f>IF(E76=$AN$6,1,"")</f>
        <v/>
      </c>
      <c r="AO76" s="81">
        <f>IF(E76=$AO$6,1,"")</f>
        <v/>
      </c>
      <c r="AP76" s="81">
        <f>IF(E76=$AP$6,1,"")</f>
        <v/>
      </c>
      <c r="AQ76" s="81">
        <f>IF(E76=$AQ$6,1,"")</f>
        <v/>
      </c>
      <c r="AR76" s="81">
        <f>IF(E76=$AR$6,1,"")</f>
        <v/>
      </c>
      <c r="AS76" s="81" t="n"/>
    </row>
    <row r="77" ht="15.75" customHeight="1" s="80">
      <c r="A77" s="123" t="inlineStr">
        <is>
          <t>Cynthia Gocek</t>
        </is>
      </c>
      <c r="B77" s="150" t="inlineStr">
        <is>
          <t>07/22/2025</t>
        </is>
      </c>
      <c r="C77" s="125" t="inlineStr">
        <is>
          <t>rh184850</t>
        </is>
      </c>
      <c r="D77" s="156" t="inlineStr">
        <is>
          <t>Rionne</t>
        </is>
      </c>
      <c r="E77" s="127" t="inlineStr">
        <is>
          <t>SLP TW</t>
        </is>
      </c>
      <c r="F77" s="128" t="n">
        <v>60</v>
      </c>
      <c r="G77" s="129" t="n"/>
      <c r="H77" s="130" t="n"/>
      <c r="I77" s="131" t="n"/>
      <c r="J77" s="131">
        <f>IF(COUNTIF(B77:E77,"*")=0,"",IF(T77=1,"Invalid Service",IF(AND(V77=1,F77=""),"Add Session Mins",IF(AND(E77&gt;0,H77="",T77=""),"Enter Contract Rate",IF(AND(E77="IEP mtg, prep, rept",F77&gt;0),(G77*H77),IF(AND(E77&gt;0,F77&gt;0,H77&gt;0,I77=""),"Enter Travel",IF(AND(F77&gt;0,I77="Y"),(G77*H77)+$M$10,IF(AND(F77&gt;0,I77="N"),(G77*H77),H77))))))))</f>
        <v/>
      </c>
      <c r="K77" s="132">
        <f>J77</f>
        <v/>
      </c>
      <c r="L77" s="148" t="n"/>
      <c r="M77" s="148" t="n"/>
      <c r="N77" s="148" t="n"/>
      <c r="O77" s="87" t="n"/>
      <c r="P77" s="81" t="n"/>
      <c r="Q77" s="81" t="n"/>
      <c r="R77" s="81" t="n"/>
      <c r="S77" s="81" t="n"/>
      <c r="T77" s="136">
        <f>IF(AND(E77&gt;0,U77=0),1,"")</f>
        <v/>
      </c>
      <c r="U77" s="136">
        <f>SUM(X77:AR77)</f>
        <v/>
      </c>
      <c r="V77" s="136">
        <f>IF(E77=$Q$16,0,SUM(X77:AI77))</f>
        <v/>
      </c>
      <c r="W77" s="136">
        <f>SUM(AK77:AR77)</f>
        <v/>
      </c>
      <c r="X77" s="136">
        <f>IF(E77=$X$6,1,"")</f>
        <v/>
      </c>
      <c r="Y77" s="136">
        <f>IF(E77=$Y$6,1,"")</f>
        <v/>
      </c>
      <c r="Z77" s="136">
        <f>IF(E77=$Z$6,1,"")</f>
        <v/>
      </c>
      <c r="AA77" s="136">
        <f>IF(E77=$AA$6,1,"")</f>
        <v/>
      </c>
      <c r="AB77" s="136">
        <f>IF(E77=$AB$6,1,"")</f>
        <v/>
      </c>
      <c r="AC77" s="136">
        <f>IF(E77=$AC$6,1,"")</f>
        <v/>
      </c>
      <c r="AD77" s="136">
        <f>IF(E77=$AD$6,1,"")</f>
        <v/>
      </c>
      <c r="AE77" s="136">
        <f>IF(E77=$AE$6,1,"")</f>
        <v/>
      </c>
      <c r="AF77" s="136">
        <f>IF(E77=$AF$6,1,"")</f>
        <v/>
      </c>
      <c r="AG77" s="136">
        <f>IF(E77=$AG$6,1,"")</f>
        <v/>
      </c>
      <c r="AH77" s="136">
        <f>IF(E77=$AH$6,1,"")</f>
        <v/>
      </c>
      <c r="AI77" s="136">
        <f>IF(E77=$AI$6,1,"")</f>
        <v/>
      </c>
      <c r="AJ77" s="136">
        <f>IF(E77=$AJ$6,1,"")</f>
        <v/>
      </c>
      <c r="AK77" s="81">
        <f>IF(E77=$AK$6,1,"")</f>
        <v/>
      </c>
      <c r="AL77" s="81">
        <f>IF(E77=$AL$6,1,"")</f>
        <v/>
      </c>
      <c r="AM77" s="81">
        <f>IF(E77=$AM$6,1,"")</f>
        <v/>
      </c>
      <c r="AN77" s="81">
        <f>IF(E77=$AN$6,1,"")</f>
        <v/>
      </c>
      <c r="AO77" s="81">
        <f>IF(E77=$AO$6,1,"")</f>
        <v/>
      </c>
      <c r="AP77" s="81">
        <f>IF(E77=$AP$6,1,"")</f>
        <v/>
      </c>
      <c r="AQ77" s="81">
        <f>IF(E77=$AQ$6,1,"")</f>
        <v/>
      </c>
      <c r="AR77" s="81">
        <f>IF(E77=$AR$6,1,"")</f>
        <v/>
      </c>
      <c r="AS77" s="81" t="n"/>
    </row>
    <row r="78" ht="15.75" customHeight="1" s="80">
      <c r="A78" s="123" t="inlineStr">
        <is>
          <t>Cynthia Gocek</t>
        </is>
      </c>
      <c r="B78" s="150" t="inlineStr">
        <is>
          <t>07/23/2025</t>
        </is>
      </c>
      <c r="C78" s="125" t="inlineStr">
        <is>
          <t>rh184850</t>
        </is>
      </c>
      <c r="D78" s="156" t="inlineStr">
        <is>
          <t>Rionne</t>
        </is>
      </c>
      <c r="E78" s="127" t="inlineStr">
        <is>
          <t>SLP TW</t>
        </is>
      </c>
      <c r="F78" s="128" t="n">
        <v>60</v>
      </c>
      <c r="G78" s="129" t="n"/>
      <c r="H78" s="130" t="n"/>
      <c r="I78" s="131" t="n"/>
      <c r="J78" s="131">
        <f>IF(COUNTIF(B78:E78,"*")=0,"",IF(T78=1,"Invalid Service",IF(AND(V78=1,F78=""),"Add Session Mins",IF(AND(E78&gt;0,H78="",T78=""),"Enter Contract Rate",IF(AND(E78="IEP mtg, prep, rept",F78&gt;0),(G78*H78),IF(AND(E78&gt;0,F78&gt;0,H78&gt;0,I78=""),"Enter Travel",IF(AND(F78&gt;0,I78="Y"),(G78*H78)+$M$10,IF(AND(F78&gt;0,I78="N"),(G78*H78),H78))))))))</f>
        <v/>
      </c>
      <c r="K78" s="132">
        <f>J78</f>
        <v/>
      </c>
      <c r="L78" s="148" t="n"/>
      <c r="M78" s="148" t="n"/>
      <c r="N78" s="148" t="n"/>
      <c r="O78" s="87" t="n"/>
      <c r="P78" s="81" t="n"/>
      <c r="Q78" s="81" t="n"/>
      <c r="R78" s="81" t="n"/>
      <c r="S78" s="81" t="n"/>
      <c r="T78" s="136">
        <f>IF(AND(E78&gt;0,U78=0),1,"")</f>
        <v/>
      </c>
      <c r="U78" s="136">
        <f>SUM(X78:AR78)</f>
        <v/>
      </c>
      <c r="V78" s="136">
        <f>IF(E78=$Q$16,0,SUM(X78:AI78))</f>
        <v/>
      </c>
      <c r="W78" s="136">
        <f>SUM(AK78:AR78)</f>
        <v/>
      </c>
      <c r="X78" s="136">
        <f>IF(E78=$X$6,1,"")</f>
        <v/>
      </c>
      <c r="Y78" s="136">
        <f>IF(E78=$Y$6,1,"")</f>
        <v/>
      </c>
      <c r="Z78" s="136">
        <f>IF(E78=$Z$6,1,"")</f>
        <v/>
      </c>
      <c r="AA78" s="136">
        <f>IF(E78=$AA$6,1,"")</f>
        <v/>
      </c>
      <c r="AB78" s="136">
        <f>IF(E78=$AB$6,1,"")</f>
        <v/>
      </c>
      <c r="AC78" s="136">
        <f>IF(E78=$AC$6,1,"")</f>
        <v/>
      </c>
      <c r="AD78" s="136">
        <f>IF(E78=$AD$6,1,"")</f>
        <v/>
      </c>
      <c r="AE78" s="136">
        <f>IF(E78=$AE$6,1,"")</f>
        <v/>
      </c>
      <c r="AF78" s="136">
        <f>IF(E78=$AF$6,1,"")</f>
        <v/>
      </c>
      <c r="AG78" s="136">
        <f>IF(E78=$AG$6,1,"")</f>
        <v/>
      </c>
      <c r="AH78" s="136">
        <f>IF(E78=$AH$6,1,"")</f>
        <v/>
      </c>
      <c r="AI78" s="136">
        <f>IF(E78=$AI$6,1,"")</f>
        <v/>
      </c>
      <c r="AJ78" s="136">
        <f>IF(E78=$AJ$6,1,"")</f>
        <v/>
      </c>
      <c r="AK78" s="81">
        <f>IF(E78=$AK$6,1,"")</f>
        <v/>
      </c>
      <c r="AL78" s="81">
        <f>IF(E78=$AL$6,1,"")</f>
        <v/>
      </c>
      <c r="AM78" s="81">
        <f>IF(E78=$AM$6,1,"")</f>
        <v/>
      </c>
      <c r="AN78" s="81">
        <f>IF(E78=$AN$6,1,"")</f>
        <v/>
      </c>
      <c r="AO78" s="81">
        <f>IF(E78=$AO$6,1,"")</f>
        <v/>
      </c>
      <c r="AP78" s="81">
        <f>IF(E78=$AP$6,1,"")</f>
        <v/>
      </c>
      <c r="AQ78" s="81">
        <f>IF(E78=$AQ$6,1,"")</f>
        <v/>
      </c>
      <c r="AR78" s="81">
        <f>IF(E78=$AR$6,1,"")</f>
        <v/>
      </c>
      <c r="AS78" s="81" t="n"/>
    </row>
    <row r="79" ht="15.75" customHeight="1" s="80">
      <c r="A79" s="123" t="inlineStr">
        <is>
          <t>Cynthia Gocek</t>
        </is>
      </c>
      <c r="B79" s="150" t="inlineStr">
        <is>
          <t>07/24/2025</t>
        </is>
      </c>
      <c r="C79" s="125" t="inlineStr">
        <is>
          <t>rh184850</t>
        </is>
      </c>
      <c r="D79" s="156" t="inlineStr">
        <is>
          <t>Rionne</t>
        </is>
      </c>
      <c r="E79" s="127" t="inlineStr">
        <is>
          <t>SLP TW</t>
        </is>
      </c>
      <c r="F79" s="128" t="n">
        <v>60</v>
      </c>
      <c r="G79" s="129" t="n"/>
      <c r="H79" s="130" t="n"/>
      <c r="I79" s="131" t="n"/>
      <c r="J79" s="131">
        <f>IF(COUNTIF(B79:E79,"*")=0,"",IF(T79=1,"Invalid Service",IF(AND(V79=1,F79=""),"Add Session Mins",IF(AND(E79&gt;0,H79="",T79=""),"Enter Contract Rate",IF(AND(E79="IEP mtg, prep, rept",F79&gt;0),(G79*H79),IF(AND(E79&gt;0,F79&gt;0,H79&gt;0,I79=""),"Enter Travel",IF(AND(F79&gt;0,I79="Y"),(G79*H79)+$M$10,IF(AND(F79&gt;0,I79="N"),(G79*H79),H79))))))))</f>
        <v/>
      </c>
      <c r="K79" s="132">
        <f>J79</f>
        <v/>
      </c>
      <c r="L79" s="148" t="n"/>
      <c r="M79" s="148" t="n"/>
      <c r="N79" s="148" t="n"/>
      <c r="O79" s="87" t="n"/>
      <c r="P79" s="81" t="n"/>
      <c r="Q79" s="81" t="n"/>
      <c r="R79" s="81" t="n"/>
      <c r="S79" s="81" t="n"/>
      <c r="T79" s="136">
        <f>IF(AND(E79&gt;0,U79=0),1,"")</f>
        <v/>
      </c>
      <c r="U79" s="136">
        <f>SUM(X79:AR79)</f>
        <v/>
      </c>
      <c r="V79" s="136">
        <f>IF(E79=$Q$16,0,SUM(X79:AI79))</f>
        <v/>
      </c>
      <c r="W79" s="136">
        <f>SUM(AK79:AR79)</f>
        <v/>
      </c>
      <c r="X79" s="136">
        <f>IF(E79=$X$6,1,"")</f>
        <v/>
      </c>
      <c r="Y79" s="136">
        <f>IF(E79=$Y$6,1,"")</f>
        <v/>
      </c>
      <c r="Z79" s="136">
        <f>IF(E79=$Z$6,1,"")</f>
        <v/>
      </c>
      <c r="AA79" s="136">
        <f>IF(E79=$AA$6,1,"")</f>
        <v/>
      </c>
      <c r="AB79" s="136">
        <f>IF(E79=$AB$6,1,"")</f>
        <v/>
      </c>
      <c r="AC79" s="136">
        <f>IF(E79=$AC$6,1,"")</f>
        <v/>
      </c>
      <c r="AD79" s="136">
        <f>IF(E79=$AD$6,1,"")</f>
        <v/>
      </c>
      <c r="AE79" s="136">
        <f>IF(E79=$AE$6,1,"")</f>
        <v/>
      </c>
      <c r="AF79" s="136">
        <f>IF(E79=$AF$6,1,"")</f>
        <v/>
      </c>
      <c r="AG79" s="136">
        <f>IF(E79=$AG$6,1,"")</f>
        <v/>
      </c>
      <c r="AH79" s="136">
        <f>IF(E79=$AH$6,1,"")</f>
        <v/>
      </c>
      <c r="AI79" s="136">
        <f>IF(E79=$AI$6,1,"")</f>
        <v/>
      </c>
      <c r="AJ79" s="136">
        <f>IF(E79=$AJ$6,1,"")</f>
        <v/>
      </c>
      <c r="AK79" s="81">
        <f>IF(E79=$AK$6,1,"")</f>
        <v/>
      </c>
      <c r="AL79" s="81">
        <f>IF(E79=$AL$6,1,"")</f>
        <v/>
      </c>
      <c r="AM79" s="81">
        <f>IF(E79=$AM$6,1,"")</f>
        <v/>
      </c>
      <c r="AN79" s="81">
        <f>IF(E79=$AN$6,1,"")</f>
        <v/>
      </c>
      <c r="AO79" s="81">
        <f>IF(E79=$AO$6,1,"")</f>
        <v/>
      </c>
      <c r="AP79" s="81">
        <f>IF(E79=$AP$6,1,"")</f>
        <v/>
      </c>
      <c r="AQ79" s="81">
        <f>IF(E79=$AQ$6,1,"")</f>
        <v/>
      </c>
      <c r="AR79" s="81">
        <f>IF(E79=$AR$6,1,"")</f>
        <v/>
      </c>
      <c r="AS79" s="81" t="n"/>
    </row>
    <row r="80" ht="15.75" customHeight="1" s="80">
      <c r="A80" s="123" t="inlineStr">
        <is>
          <t>Cynthia Gocek</t>
        </is>
      </c>
      <c r="B80" s="150" t="inlineStr">
        <is>
          <t>07/25/2025</t>
        </is>
      </c>
      <c r="C80" s="125" t="inlineStr">
        <is>
          <t>rh184850</t>
        </is>
      </c>
      <c r="D80" s="156" t="inlineStr">
        <is>
          <t>Rionne</t>
        </is>
      </c>
      <c r="E80" s="127" t="inlineStr">
        <is>
          <t>SLP TW</t>
        </is>
      </c>
      <c r="F80" s="128" t="n">
        <v>60</v>
      </c>
      <c r="G80" s="129" t="n"/>
      <c r="H80" s="130" t="n"/>
      <c r="I80" s="131" t="n"/>
      <c r="J80" s="131">
        <f>IF(COUNTIF(B80:E80,"*")=0,"",IF(T80=1,"Invalid Service",IF(AND(V80=1,F80=""),"Add Session Mins",IF(AND(E80&gt;0,H80="",T80=""),"Enter Contract Rate",IF(AND(E80="IEP mtg, prep, rept",F80&gt;0),(G80*H80),IF(AND(E80&gt;0,F80&gt;0,H80&gt;0,I80=""),"Enter Travel",IF(AND(F80&gt;0,I80="Y"),(G80*H80)+$M$10,IF(AND(F80&gt;0,I80="N"),(G80*H80),H80))))))))</f>
        <v/>
      </c>
      <c r="K80" s="132">
        <f>J80</f>
        <v/>
      </c>
      <c r="L80" s="148" t="n"/>
      <c r="M80" s="148" t="n"/>
      <c r="N80" s="148" t="n"/>
      <c r="O80" s="87" t="n"/>
      <c r="P80" s="81" t="n"/>
      <c r="Q80" s="81" t="n"/>
      <c r="R80" s="81" t="n"/>
      <c r="S80" s="81" t="n"/>
      <c r="T80" s="136">
        <f>IF(AND(E80&gt;0,U80=0),1,"")</f>
        <v/>
      </c>
      <c r="U80" s="136">
        <f>SUM(X80:AR80)</f>
        <v/>
      </c>
      <c r="V80" s="136">
        <f>IF(E80=$Q$16,0,SUM(X80:AI80))</f>
        <v/>
      </c>
      <c r="W80" s="136">
        <f>SUM(AK80:AR80)</f>
        <v/>
      </c>
      <c r="X80" s="136">
        <f>IF(E80=$X$6,1,"")</f>
        <v/>
      </c>
      <c r="Y80" s="136">
        <f>IF(E80=$Y$6,1,"")</f>
        <v/>
      </c>
      <c r="Z80" s="136">
        <f>IF(E80=$Z$6,1,"")</f>
        <v/>
      </c>
      <c r="AA80" s="136">
        <f>IF(E80=$AA$6,1,"")</f>
        <v/>
      </c>
      <c r="AB80" s="136">
        <f>IF(E80=$AB$6,1,"")</f>
        <v/>
      </c>
      <c r="AC80" s="136">
        <f>IF(E80=$AC$6,1,"")</f>
        <v/>
      </c>
      <c r="AD80" s="136">
        <f>IF(E80=$AD$6,1,"")</f>
        <v/>
      </c>
      <c r="AE80" s="136">
        <f>IF(E80=$AE$6,1,"")</f>
        <v/>
      </c>
      <c r="AF80" s="136">
        <f>IF(E80=$AF$6,1,"")</f>
        <v/>
      </c>
      <c r="AG80" s="136">
        <f>IF(E80=$AG$6,1,"")</f>
        <v/>
      </c>
      <c r="AH80" s="136">
        <f>IF(E80=$AH$6,1,"")</f>
        <v/>
      </c>
      <c r="AI80" s="136">
        <f>IF(E80=$AI$6,1,"")</f>
        <v/>
      </c>
      <c r="AJ80" s="136">
        <f>IF(E80=$AJ$6,1,"")</f>
        <v/>
      </c>
      <c r="AK80" s="81">
        <f>IF(E80=$AK$6,1,"")</f>
        <v/>
      </c>
      <c r="AL80" s="81">
        <f>IF(E80=$AL$6,1,"")</f>
        <v/>
      </c>
      <c r="AM80" s="81">
        <f>IF(E80=$AM$6,1,"")</f>
        <v/>
      </c>
      <c r="AN80" s="81">
        <f>IF(E80=$AN$6,1,"")</f>
        <v/>
      </c>
      <c r="AO80" s="81">
        <f>IF(E80=$AO$6,1,"")</f>
        <v/>
      </c>
      <c r="AP80" s="81">
        <f>IF(E80=$AP$6,1,"")</f>
        <v/>
      </c>
      <c r="AQ80" s="81">
        <f>IF(E80=$AQ$6,1,"")</f>
        <v/>
      </c>
      <c r="AR80" s="81">
        <f>IF(E80=$AR$6,1,"")</f>
        <v/>
      </c>
      <c r="AS80" s="81" t="n"/>
    </row>
    <row r="81" ht="15.75" customHeight="1" s="80">
      <c r="A81" s="123" t="inlineStr">
        <is>
          <t>Cynthia Gocek</t>
        </is>
      </c>
      <c r="B81" s="150" t="inlineStr">
        <is>
          <t>07/28/2025</t>
        </is>
      </c>
      <c r="C81" s="125" t="inlineStr">
        <is>
          <t>rh184850</t>
        </is>
      </c>
      <c r="D81" s="156" t="inlineStr">
        <is>
          <t>Rionne</t>
        </is>
      </c>
      <c r="E81" s="127" t="inlineStr">
        <is>
          <t>SLP TW</t>
        </is>
      </c>
      <c r="F81" s="128" t="n">
        <v>90</v>
      </c>
      <c r="G81" s="129" t="n"/>
      <c r="H81" s="130" t="n"/>
      <c r="I81" s="131" t="n"/>
      <c r="J81" s="131">
        <f>IF(COUNTIF(B81:E81,"*")=0,"",IF(T81=1,"Invalid Service",IF(AND(V81=1,F81=""),"Add Session Mins",IF(AND(E81&gt;0,H81="",T81=""),"Enter Contract Rate",IF(AND(E81="IEP mtg, prep, rept",F81&gt;0),(G81*H81),IF(AND(E81&gt;0,F81&gt;0,H81&gt;0,I81=""),"Enter Travel",IF(AND(F81&gt;0,I81="Y"),(G81*H81)+$M$10,IF(AND(F81&gt;0,I81="N"),(G81*H81),H81))))))))</f>
        <v/>
      </c>
      <c r="K81" s="132">
        <f>J81</f>
        <v/>
      </c>
      <c r="L81" s="148" t="n"/>
      <c r="M81" s="148" t="n"/>
      <c r="N81" s="148" t="n"/>
      <c r="O81" s="87" t="n"/>
      <c r="P81" s="81" t="n"/>
      <c r="Q81" s="81" t="n"/>
      <c r="R81" s="81" t="n"/>
      <c r="S81" s="81" t="n"/>
      <c r="T81" s="136">
        <f>IF(AND(E81&gt;0,U81=0),1,"")</f>
        <v/>
      </c>
      <c r="U81" s="136">
        <f>SUM(X81:AR81)</f>
        <v/>
      </c>
      <c r="V81" s="136">
        <f>IF(E81=$Q$16,0,SUM(X81:AI81))</f>
        <v/>
      </c>
      <c r="W81" s="136">
        <f>SUM(AK81:AR81)</f>
        <v/>
      </c>
      <c r="X81" s="136">
        <f>IF(E81=$X$6,1,"")</f>
        <v/>
      </c>
      <c r="Y81" s="136">
        <f>IF(E81=$Y$6,1,"")</f>
        <v/>
      </c>
      <c r="Z81" s="136">
        <f>IF(E81=$Z$6,1,"")</f>
        <v/>
      </c>
      <c r="AA81" s="136">
        <f>IF(E81=$AA$6,1,"")</f>
        <v/>
      </c>
      <c r="AB81" s="136">
        <f>IF(E81=$AB$6,1,"")</f>
        <v/>
      </c>
      <c r="AC81" s="136">
        <f>IF(E81=$AC$6,1,"")</f>
        <v/>
      </c>
      <c r="AD81" s="136">
        <f>IF(E81=$AD$6,1,"")</f>
        <v/>
      </c>
      <c r="AE81" s="136">
        <f>IF(E81=$AE$6,1,"")</f>
        <v/>
      </c>
      <c r="AF81" s="136">
        <f>IF(E81=$AF$6,1,"")</f>
        <v/>
      </c>
      <c r="AG81" s="136">
        <f>IF(E81=$AG$6,1,"")</f>
        <v/>
      </c>
      <c r="AH81" s="136">
        <f>IF(E81=$AH$6,1,"")</f>
        <v/>
      </c>
      <c r="AI81" s="136">
        <f>IF(E81=$AI$6,1,"")</f>
        <v/>
      </c>
      <c r="AJ81" s="136">
        <f>IF(E81=$AJ$6,1,"")</f>
        <v/>
      </c>
      <c r="AK81" s="81">
        <f>IF(E81=$AK$6,1,"")</f>
        <v/>
      </c>
      <c r="AL81" s="81">
        <f>IF(E81=$AL$6,1,"")</f>
        <v/>
      </c>
      <c r="AM81" s="81">
        <f>IF(E81=$AM$6,1,"")</f>
        <v/>
      </c>
      <c r="AN81" s="81">
        <f>IF(E81=$AN$6,1,"")</f>
        <v/>
      </c>
      <c r="AO81" s="81">
        <f>IF(E81=$AO$6,1,"")</f>
        <v/>
      </c>
      <c r="AP81" s="81">
        <f>IF(E81=$AP$6,1,"")</f>
        <v/>
      </c>
      <c r="AQ81" s="81">
        <f>IF(E81=$AQ$6,1,"")</f>
        <v/>
      </c>
      <c r="AR81" s="81">
        <f>IF(E81=$AR$6,1,"")</f>
        <v/>
      </c>
      <c r="AS81" s="81" t="n"/>
    </row>
    <row r="82" ht="15.75" customHeight="1" s="80">
      <c r="A82" s="123" t="inlineStr">
        <is>
          <t>Cynthia Gocek</t>
        </is>
      </c>
      <c r="B82" s="150" t="inlineStr">
        <is>
          <t>07/29/2025</t>
        </is>
      </c>
      <c r="C82" s="125" t="inlineStr">
        <is>
          <t>rh184850</t>
        </is>
      </c>
      <c r="D82" s="156" t="inlineStr">
        <is>
          <t>Rionne</t>
        </is>
      </c>
      <c r="E82" s="127" t="inlineStr">
        <is>
          <t>SLP TW</t>
        </is>
      </c>
      <c r="F82" s="128" t="n">
        <v>90</v>
      </c>
      <c r="G82" s="129" t="n"/>
      <c r="H82" s="130" t="n"/>
      <c r="I82" s="131" t="n"/>
      <c r="J82" s="131">
        <f>IF(COUNTIF(B82:E82,"*")=0,"",IF(T82=1,"Invalid Service",IF(AND(V82=1,F82=""),"Add Session Mins",IF(AND(E82&gt;0,H82="",T82=""),"Enter Contract Rate",IF(AND(E82="IEP mtg, prep, rept",F82&gt;0),(G82*H82),IF(AND(E82&gt;0,F82&gt;0,H82&gt;0,I82=""),"Enter Travel",IF(AND(F82&gt;0,I82="Y"),(G82*H82)+$M$10,IF(AND(F82&gt;0,I82="N"),(G82*H82),H82))))))))</f>
        <v/>
      </c>
      <c r="K82" s="132">
        <f>J82</f>
        <v/>
      </c>
      <c r="L82" s="148" t="n"/>
      <c r="M82" s="148" t="n"/>
      <c r="N82" s="148" t="n"/>
      <c r="O82" s="87" t="n"/>
      <c r="P82" s="81" t="n"/>
      <c r="Q82" s="81" t="n"/>
      <c r="R82" s="81" t="n"/>
      <c r="S82" s="81" t="n"/>
      <c r="T82" s="136">
        <f>IF(AND(E82&gt;0,U82=0),1,"")</f>
        <v/>
      </c>
      <c r="U82" s="136">
        <f>SUM(X82:AR82)</f>
        <v/>
      </c>
      <c r="V82" s="136">
        <f>IF(E82=$Q$16,0,SUM(X82:AI82))</f>
        <v/>
      </c>
      <c r="W82" s="136">
        <f>SUM(AK82:AR82)</f>
        <v/>
      </c>
      <c r="X82" s="136">
        <f>IF(E82=$X$6,1,"")</f>
        <v/>
      </c>
      <c r="Y82" s="136">
        <f>IF(E82=$Y$6,1,"")</f>
        <v/>
      </c>
      <c r="Z82" s="136">
        <f>IF(E82=$Z$6,1,"")</f>
        <v/>
      </c>
      <c r="AA82" s="136">
        <f>IF(E82=$AA$6,1,"")</f>
        <v/>
      </c>
      <c r="AB82" s="136">
        <f>IF(E82=$AB$6,1,"")</f>
        <v/>
      </c>
      <c r="AC82" s="136">
        <f>IF(E82=$AC$6,1,"")</f>
        <v/>
      </c>
      <c r="AD82" s="136">
        <f>IF(E82=$AD$6,1,"")</f>
        <v/>
      </c>
      <c r="AE82" s="136">
        <f>IF(E82=$AE$6,1,"")</f>
        <v/>
      </c>
      <c r="AF82" s="136">
        <f>IF(E82=$AF$6,1,"")</f>
        <v/>
      </c>
      <c r="AG82" s="136">
        <f>IF(E82=$AG$6,1,"")</f>
        <v/>
      </c>
      <c r="AH82" s="136">
        <f>IF(E82=$AH$6,1,"")</f>
        <v/>
      </c>
      <c r="AI82" s="136">
        <f>IF(E82=$AI$6,1,"")</f>
        <v/>
      </c>
      <c r="AJ82" s="136">
        <f>IF(E82=$AJ$6,1,"")</f>
        <v/>
      </c>
      <c r="AK82" s="81">
        <f>IF(E82=$AK$6,1,"")</f>
        <v/>
      </c>
      <c r="AL82" s="81">
        <f>IF(E82=$AL$6,1,"")</f>
        <v/>
      </c>
      <c r="AM82" s="81">
        <f>IF(E82=$AM$6,1,"")</f>
        <v/>
      </c>
      <c r="AN82" s="81">
        <f>IF(E82=$AN$6,1,"")</f>
        <v/>
      </c>
      <c r="AO82" s="81">
        <f>IF(E82=$AO$6,1,"")</f>
        <v/>
      </c>
      <c r="AP82" s="81">
        <f>IF(E82=$AP$6,1,"")</f>
        <v/>
      </c>
      <c r="AQ82" s="81">
        <f>IF(E82=$AQ$6,1,"")</f>
        <v/>
      </c>
      <c r="AR82" s="81">
        <f>IF(E82=$AR$6,1,"")</f>
        <v/>
      </c>
      <c r="AS82" s="81" t="n"/>
    </row>
    <row r="83" ht="15.75" customHeight="1" s="80">
      <c r="A83" s="123" t="inlineStr">
        <is>
          <t>Cynthia Gocek</t>
        </is>
      </c>
      <c r="B83" s="150" t="inlineStr">
        <is>
          <t>07/30/2025</t>
        </is>
      </c>
      <c r="C83" s="125" t="inlineStr">
        <is>
          <t>rh184850</t>
        </is>
      </c>
      <c r="D83" s="156" t="inlineStr">
        <is>
          <t>Rionne</t>
        </is>
      </c>
      <c r="E83" s="127" t="inlineStr">
        <is>
          <t>SLP TW</t>
        </is>
      </c>
      <c r="F83" s="128" t="n">
        <v>90</v>
      </c>
      <c r="G83" s="129" t="n"/>
      <c r="H83" s="130" t="n"/>
      <c r="I83" s="131" t="n"/>
      <c r="J83" s="131">
        <f>IF(COUNTIF(B83:E83,"*")=0,"",IF(T83=1,"Invalid Service",IF(AND(V83=1,F83=""),"Add Session Mins",IF(AND(E83&gt;0,H83="",T83=""),"Enter Contract Rate",IF(AND(E83="IEP mtg, prep, rept",F83&gt;0),(G83*H83),IF(AND(E83&gt;0,F83&gt;0,H83&gt;0,I83=""),"Enter Travel",IF(AND(F83&gt;0,I83="Y"),(G83*H83)+$M$10,IF(AND(F83&gt;0,I83="N"),(G83*H83),H83))))))))</f>
        <v/>
      </c>
      <c r="K83" s="132">
        <f>J83</f>
        <v/>
      </c>
      <c r="L83" s="148" t="n"/>
      <c r="M83" s="148" t="n"/>
      <c r="N83" s="148" t="n"/>
      <c r="O83" s="87" t="n"/>
      <c r="P83" s="81" t="n"/>
      <c r="Q83" s="81" t="n"/>
      <c r="R83" s="81" t="n"/>
      <c r="S83" s="81" t="n"/>
      <c r="T83" s="136">
        <f>IF(AND(E83&gt;0,U83=0),1,"")</f>
        <v/>
      </c>
      <c r="U83" s="136">
        <f>SUM(X83:AR83)</f>
        <v/>
      </c>
      <c r="V83" s="136">
        <f>IF(E83=$Q$16,0,SUM(X83:AI83))</f>
        <v/>
      </c>
      <c r="W83" s="136">
        <f>SUM(AK83:AR83)</f>
        <v/>
      </c>
      <c r="X83" s="136">
        <f>IF(E83=$X$6,1,"")</f>
        <v/>
      </c>
      <c r="Y83" s="136">
        <f>IF(E83=$Y$6,1,"")</f>
        <v/>
      </c>
      <c r="Z83" s="136">
        <f>IF(E83=$Z$6,1,"")</f>
        <v/>
      </c>
      <c r="AA83" s="136">
        <f>IF(E83=$AA$6,1,"")</f>
        <v/>
      </c>
      <c r="AB83" s="136">
        <f>IF(E83=$AB$6,1,"")</f>
        <v/>
      </c>
      <c r="AC83" s="136">
        <f>IF(E83=$AC$6,1,"")</f>
        <v/>
      </c>
      <c r="AD83" s="136">
        <f>IF(E83=$AD$6,1,"")</f>
        <v/>
      </c>
      <c r="AE83" s="136">
        <f>IF(E83=$AE$6,1,"")</f>
        <v/>
      </c>
      <c r="AF83" s="136">
        <f>IF(E83=$AF$6,1,"")</f>
        <v/>
      </c>
      <c r="AG83" s="136">
        <f>IF(E83=$AG$6,1,"")</f>
        <v/>
      </c>
      <c r="AH83" s="136">
        <f>IF(E83=$AH$6,1,"")</f>
        <v/>
      </c>
      <c r="AI83" s="136">
        <f>IF(E83=$AI$6,1,"")</f>
        <v/>
      </c>
      <c r="AJ83" s="136">
        <f>IF(E83=$AJ$6,1,"")</f>
        <v/>
      </c>
      <c r="AK83" s="81">
        <f>IF(E83=$AK$6,1,"")</f>
        <v/>
      </c>
      <c r="AL83" s="81">
        <f>IF(E83=$AL$6,1,"")</f>
        <v/>
      </c>
      <c r="AM83" s="81">
        <f>IF(E83=$AM$6,1,"")</f>
        <v/>
      </c>
      <c r="AN83" s="81">
        <f>IF(E83=$AN$6,1,"")</f>
        <v/>
      </c>
      <c r="AO83" s="81">
        <f>IF(E83=$AO$6,1,"")</f>
        <v/>
      </c>
      <c r="AP83" s="81">
        <f>IF(E83=$AP$6,1,"")</f>
        <v/>
      </c>
      <c r="AQ83" s="81">
        <f>IF(E83=$AQ$6,1,"")</f>
        <v/>
      </c>
      <c r="AR83" s="81">
        <f>IF(E83=$AR$6,1,"")</f>
        <v/>
      </c>
      <c r="AS83" s="81" t="n"/>
    </row>
    <row r="84" ht="15.75" customHeight="1" s="80">
      <c r="A84" s="123" t="inlineStr">
        <is>
          <t>Cynthia Gocek</t>
        </is>
      </c>
      <c r="B84" s="150" t="inlineStr">
        <is>
          <t>07/31/2025</t>
        </is>
      </c>
      <c r="C84" s="125" t="inlineStr">
        <is>
          <t>rh184850</t>
        </is>
      </c>
      <c r="D84" s="156" t="inlineStr">
        <is>
          <t>Rionne</t>
        </is>
      </c>
      <c r="E84" s="127" t="inlineStr">
        <is>
          <t>SLP TW</t>
        </is>
      </c>
      <c r="F84" s="128" t="n">
        <v>60</v>
      </c>
      <c r="G84" s="129" t="n"/>
      <c r="H84" s="130" t="n"/>
      <c r="I84" s="131" t="n"/>
      <c r="J84" s="131">
        <f>IF(COUNTIF(B84:E84,"*")=0,"",IF(T84=1,"Invalid Service",IF(AND(V84=1,F84=""),"Add Session Mins",IF(AND(E84&gt;0,H84="",T84=""),"Enter Contract Rate",IF(AND(E84="IEP mtg, prep, rept",F84&gt;0),(G84*H84),IF(AND(E84&gt;0,F84&gt;0,H84&gt;0,I84=""),"Enter Travel",IF(AND(F84&gt;0,I84="Y"),(G84*H84)+$M$10,IF(AND(F84&gt;0,I84="N"),(G84*H84),H84))))))))</f>
        <v/>
      </c>
      <c r="K84" s="132">
        <f>J84</f>
        <v/>
      </c>
      <c r="L84" s="148" t="n"/>
      <c r="M84" s="148" t="n"/>
      <c r="N84" s="148" t="n"/>
      <c r="O84" s="87" t="n"/>
      <c r="P84" s="81" t="n"/>
      <c r="Q84" s="81" t="n"/>
      <c r="R84" s="81" t="n"/>
      <c r="S84" s="81" t="n"/>
      <c r="T84" s="136">
        <f>IF(AND(E84&gt;0,U84=0),1,"")</f>
        <v/>
      </c>
      <c r="U84" s="136">
        <f>SUM(X84:AR84)</f>
        <v/>
      </c>
      <c r="V84" s="136">
        <f>IF(E84=$Q$16,0,SUM(X84:AI84))</f>
        <v/>
      </c>
      <c r="W84" s="136">
        <f>SUM(AK84:AR84)</f>
        <v/>
      </c>
      <c r="X84" s="136">
        <f>IF(E84=$X$6,1,"")</f>
        <v/>
      </c>
      <c r="Y84" s="136">
        <f>IF(E84=$Y$6,1,"")</f>
        <v/>
      </c>
      <c r="Z84" s="136">
        <f>IF(E84=$Z$6,1,"")</f>
        <v/>
      </c>
      <c r="AA84" s="136">
        <f>IF(E84=$AA$6,1,"")</f>
        <v/>
      </c>
      <c r="AB84" s="136">
        <f>IF(E84=$AB$6,1,"")</f>
        <v/>
      </c>
      <c r="AC84" s="136">
        <f>IF(E84=$AC$6,1,"")</f>
        <v/>
      </c>
      <c r="AD84" s="136">
        <f>IF(E84=$AD$6,1,"")</f>
        <v/>
      </c>
      <c r="AE84" s="136">
        <f>IF(E84=$AE$6,1,"")</f>
        <v/>
      </c>
      <c r="AF84" s="136">
        <f>IF(E84=$AF$6,1,"")</f>
        <v/>
      </c>
      <c r="AG84" s="136">
        <f>IF(E84=$AG$6,1,"")</f>
        <v/>
      </c>
      <c r="AH84" s="136">
        <f>IF(E84=$AH$6,1,"")</f>
        <v/>
      </c>
      <c r="AI84" s="136">
        <f>IF(E84=$AI$6,1,"")</f>
        <v/>
      </c>
      <c r="AJ84" s="136">
        <f>IF(E84=$AJ$6,1,"")</f>
        <v/>
      </c>
      <c r="AK84" s="81">
        <f>IF(E84=$AK$6,1,"")</f>
        <v/>
      </c>
      <c r="AL84" s="81">
        <f>IF(E84=$AL$6,1,"")</f>
        <v/>
      </c>
      <c r="AM84" s="81">
        <f>IF(E84=$AM$6,1,"")</f>
        <v/>
      </c>
      <c r="AN84" s="81">
        <f>IF(E84=$AN$6,1,"")</f>
        <v/>
      </c>
      <c r="AO84" s="81">
        <f>IF(E84=$AO$6,1,"")</f>
        <v/>
      </c>
      <c r="AP84" s="81">
        <f>IF(E84=$AP$6,1,"")</f>
        <v/>
      </c>
      <c r="AQ84" s="81">
        <f>IF(E84=$AQ$6,1,"")</f>
        <v/>
      </c>
      <c r="AR84" s="81">
        <f>IF(E84=$AR$6,1,"")</f>
        <v/>
      </c>
      <c r="AS84" s="81" t="n"/>
    </row>
    <row r="85" ht="15.75" customHeight="1" s="80">
      <c r="A85" s="123" t="inlineStr">
        <is>
          <t>Liana Rabadi</t>
        </is>
      </c>
      <c r="B85" s="124" t="inlineStr">
        <is>
          <t>07/10/2025</t>
        </is>
      </c>
      <c r="C85" s="140" t="inlineStr">
        <is>
          <t>rm217597</t>
        </is>
      </c>
      <c r="D85" s="126" t="inlineStr">
        <is>
          <t>Roxanna</t>
        </is>
      </c>
      <c r="E85" s="127" t="inlineStr">
        <is>
          <t>PT TW</t>
        </is>
      </c>
      <c r="F85" s="128" t="n">
        <v>30</v>
      </c>
      <c r="G85" s="129" t="n"/>
      <c r="H85" s="130" t="n"/>
      <c r="I85" s="131" t="n"/>
      <c r="J85" s="131">
        <f>IF(COUNTIF(B85:E85,"*")=0,"",IF(T85=1,"Invalid Service",IF(AND(V85=1,F85=""),"Add Session Mins",IF(AND(E85&gt;0,H85="",T85=""),"Enter Contract Rate",IF(AND(E85="IEP mtg, prep, rept",F85&gt;0),(G85*H85),IF(AND(E85&gt;0,F85&gt;0,H85&gt;0,I85=""),"Enter Travel",IF(AND(F85&gt;0,I85="Y"),(G85*H85)+$M$10,IF(AND(F85&gt;0,I85="N"),(G85*H85),H85))))))))</f>
        <v/>
      </c>
      <c r="K85" s="132">
        <f>J85</f>
        <v/>
      </c>
      <c r="L85" s="148" t="n"/>
      <c r="M85" s="148" t="n"/>
      <c r="N85" s="148" t="n"/>
      <c r="O85" s="87" t="n"/>
      <c r="P85" s="81" t="n"/>
      <c r="Q85" s="81" t="n"/>
      <c r="R85" s="81" t="n"/>
      <c r="S85" s="81" t="n"/>
      <c r="T85" s="136">
        <f>IF(AND(E85&gt;0,U85=0),1,"")</f>
        <v/>
      </c>
      <c r="U85" s="136">
        <f>SUM(X85:AR85)</f>
        <v/>
      </c>
      <c r="V85" s="136">
        <f>IF(E85=$Q$16,0,SUM(X85:AI85))</f>
        <v/>
      </c>
      <c r="W85" s="136">
        <f>SUM(AK85:AR85)</f>
        <v/>
      </c>
      <c r="X85" s="136">
        <f>IF(E85=$X$6,1,"")</f>
        <v/>
      </c>
      <c r="Y85" s="136">
        <f>IF(E85=$Y$6,1,"")</f>
        <v/>
      </c>
      <c r="Z85" s="136">
        <f>IF(E85=$Z$6,1,"")</f>
        <v/>
      </c>
      <c r="AA85" s="136">
        <f>IF(E85=$AA$6,1,"")</f>
        <v/>
      </c>
      <c r="AB85" s="136">
        <f>IF(E85=$AB$6,1,"")</f>
        <v/>
      </c>
      <c r="AC85" s="136">
        <f>IF(E85=$AC$6,1,"")</f>
        <v/>
      </c>
      <c r="AD85" s="136">
        <f>IF(E85=$AD$6,1,"")</f>
        <v/>
      </c>
      <c r="AE85" s="136">
        <f>IF(E85=$AE$6,1,"")</f>
        <v/>
      </c>
      <c r="AF85" s="136">
        <f>IF(E85=$AF$6,1,"")</f>
        <v/>
      </c>
      <c r="AG85" s="136">
        <f>IF(E85=$AG$6,1,"")</f>
        <v/>
      </c>
      <c r="AH85" s="136">
        <f>IF(E85=$AH$6,1,"")</f>
        <v/>
      </c>
      <c r="AI85" s="136">
        <f>IF(E85=$AI$6,1,"")</f>
        <v/>
      </c>
      <c r="AJ85" s="136">
        <f>IF(E85=$AJ$6,1,"")</f>
        <v/>
      </c>
      <c r="AK85" s="81">
        <f>IF(E85=$AK$6,1,"")</f>
        <v/>
      </c>
      <c r="AL85" s="81">
        <f>IF(E85=$AL$6,1,"")</f>
        <v/>
      </c>
      <c r="AM85" s="81">
        <f>IF(E85=$AM$6,1,"")</f>
        <v/>
      </c>
      <c r="AN85" s="81">
        <f>IF(E85=$AN$6,1,"")</f>
        <v/>
      </c>
      <c r="AO85" s="81">
        <f>IF(E85=$AO$6,1,"")</f>
        <v/>
      </c>
      <c r="AP85" s="81">
        <f>IF(E85=$AP$6,1,"")</f>
        <v/>
      </c>
      <c r="AQ85" s="81">
        <f>IF(E85=$AQ$6,1,"")</f>
        <v/>
      </c>
      <c r="AR85" s="81">
        <f>IF(E85=$AR$6,1,"")</f>
        <v/>
      </c>
      <c r="AS85" s="81" t="n"/>
    </row>
    <row r="86" ht="15.75" customHeight="1" s="80">
      <c r="A86" s="123" t="inlineStr">
        <is>
          <t>Liana Rabadi</t>
        </is>
      </c>
      <c r="B86" s="124" t="inlineStr">
        <is>
          <t>07/17/2025</t>
        </is>
      </c>
      <c r="C86" s="125" t="inlineStr">
        <is>
          <t>rm217597</t>
        </is>
      </c>
      <c r="D86" s="126" t="inlineStr">
        <is>
          <t>Roxanna</t>
        </is>
      </c>
      <c r="E86" s="127" t="inlineStr">
        <is>
          <t>PT TW</t>
        </is>
      </c>
      <c r="F86" s="128" t="n">
        <v>30</v>
      </c>
      <c r="G86" s="129" t="n"/>
      <c r="H86" s="130" t="n"/>
      <c r="I86" s="131" t="n"/>
      <c r="J86" s="131">
        <f>IF(COUNTIF(B86:E86,"*")=0,"",IF(T86=1,"Invalid Service",IF(AND(V86=1,F86=""),"Add Session Mins",IF(AND(E86&gt;0,H86="",T86=""),"Enter Contract Rate",IF(AND(E86="IEP mtg, prep, rept",F86&gt;0),(G86*H86),IF(AND(E86&gt;0,F86&gt;0,H86&gt;0,I86=""),"Enter Travel",IF(AND(F86&gt;0,I86="Y"),(G86*H86)+$M$10,IF(AND(F86&gt;0,I86="N"),(G86*H86),H86))))))))</f>
        <v/>
      </c>
      <c r="K86" s="132">
        <f>J86</f>
        <v/>
      </c>
      <c r="L86" s="148" t="n"/>
      <c r="M86" s="148" t="n"/>
      <c r="N86" s="148" t="n"/>
      <c r="O86" s="87" t="n"/>
      <c r="P86" s="81" t="n"/>
      <c r="Q86" s="81" t="n"/>
      <c r="R86" s="81" t="n"/>
      <c r="S86" s="81" t="n"/>
      <c r="T86" s="136">
        <f>IF(AND(E86&gt;0,U86=0),1,"")</f>
        <v/>
      </c>
      <c r="U86" s="136">
        <f>SUM(X86:AR86)</f>
        <v/>
      </c>
      <c r="V86" s="136">
        <f>IF(E86=$Q$16,0,SUM(X86:AI86))</f>
        <v/>
      </c>
      <c r="W86" s="136">
        <f>SUM(AK86:AR86)</f>
        <v/>
      </c>
      <c r="X86" s="136">
        <f>IF(E86=$X$6,1,"")</f>
        <v/>
      </c>
      <c r="Y86" s="136">
        <f>IF(E86=$Y$6,1,"")</f>
        <v/>
      </c>
      <c r="Z86" s="136">
        <f>IF(E86=$Z$6,1,"")</f>
        <v/>
      </c>
      <c r="AA86" s="136">
        <f>IF(E86=$AA$6,1,"")</f>
        <v/>
      </c>
      <c r="AB86" s="136">
        <f>IF(E86=$AB$6,1,"")</f>
        <v/>
      </c>
      <c r="AC86" s="136">
        <f>IF(E86=$AC$6,1,"")</f>
        <v/>
      </c>
      <c r="AD86" s="136">
        <f>IF(E86=$AD$6,1,"")</f>
        <v/>
      </c>
      <c r="AE86" s="136">
        <f>IF(E86=$AE$6,1,"")</f>
        <v/>
      </c>
      <c r="AF86" s="136">
        <f>IF(E86=$AF$6,1,"")</f>
        <v/>
      </c>
      <c r="AG86" s="136">
        <f>IF(E86=$AG$6,1,"")</f>
        <v/>
      </c>
      <c r="AH86" s="136">
        <f>IF(E86=$AH$6,1,"")</f>
        <v/>
      </c>
      <c r="AI86" s="136">
        <f>IF(E86=$AI$6,1,"")</f>
        <v/>
      </c>
      <c r="AJ86" s="136">
        <f>IF(E86=$AJ$6,1,"")</f>
        <v/>
      </c>
      <c r="AK86" s="81">
        <f>IF(E86=$AK$6,1,"")</f>
        <v/>
      </c>
      <c r="AL86" s="81">
        <f>IF(E86=$AL$6,1,"")</f>
        <v/>
      </c>
      <c r="AM86" s="81">
        <f>IF(E86=$AM$6,1,"")</f>
        <v/>
      </c>
      <c r="AN86" s="81">
        <f>IF(E86=$AN$6,1,"")</f>
        <v/>
      </c>
      <c r="AO86" s="81">
        <f>IF(E86=$AO$6,1,"")</f>
        <v/>
      </c>
      <c r="AP86" s="81">
        <f>IF(E86=$AP$6,1,"")</f>
        <v/>
      </c>
      <c r="AQ86" s="81">
        <f>IF(E86=$AQ$6,1,"")</f>
        <v/>
      </c>
      <c r="AR86" s="81">
        <f>IF(E86=$AR$6,1,"")</f>
        <v/>
      </c>
      <c r="AS86" s="81" t="n"/>
    </row>
    <row r="87" ht="15.75" customHeight="1" s="80">
      <c r="A87" s="123" t="inlineStr">
        <is>
          <t>Liana Rabadi</t>
        </is>
      </c>
      <c r="B87" s="124" t="inlineStr">
        <is>
          <t>07/24/2025</t>
        </is>
      </c>
      <c r="C87" s="125" t="inlineStr">
        <is>
          <t>rm217597</t>
        </is>
      </c>
      <c r="D87" s="126" t="inlineStr">
        <is>
          <t>Roxanna</t>
        </is>
      </c>
      <c r="E87" s="127" t="inlineStr">
        <is>
          <t>PT TW</t>
        </is>
      </c>
      <c r="F87" s="128" t="n">
        <v>30</v>
      </c>
      <c r="G87" s="129" t="n"/>
      <c r="H87" s="130" t="n"/>
      <c r="I87" s="131" t="n"/>
      <c r="J87" s="131">
        <f>IF(COUNTIF(B87:E87,"*")=0,"",IF(T87=1,"Invalid Service",IF(AND(V87=1,F87=""),"Add Session Mins",IF(AND(E87&gt;0,H87="",T87=""),"Enter Contract Rate",IF(AND(E87="IEP mtg, prep, rept",F87&gt;0),(G87*H87),IF(AND(E87&gt;0,F87&gt;0,H87&gt;0,I87=""),"Enter Travel",IF(AND(F87&gt;0,I87="Y"),(G87*H87)+$M$10,IF(AND(F87&gt;0,I87="N"),(G87*H87),H87))))))))</f>
        <v/>
      </c>
      <c r="K87" s="132">
        <f>J87</f>
        <v/>
      </c>
      <c r="L87" s="148" t="n"/>
      <c r="M87" s="148" t="n"/>
      <c r="N87" s="148" t="n"/>
      <c r="O87" s="87" t="n"/>
      <c r="P87" s="81" t="n"/>
      <c r="Q87" s="81" t="n"/>
      <c r="R87" s="81" t="n"/>
      <c r="S87" s="81" t="n"/>
      <c r="T87" s="136">
        <f>IF(AND(E87&gt;0,U87=0),1,"")</f>
        <v/>
      </c>
      <c r="U87" s="136">
        <f>SUM(X87:AR87)</f>
        <v/>
      </c>
      <c r="V87" s="136">
        <f>IF(E87=$Q$16,0,SUM(X87:AI87))</f>
        <v/>
      </c>
      <c r="W87" s="136">
        <f>SUM(AK87:AR87)</f>
        <v/>
      </c>
      <c r="X87" s="136">
        <f>IF(E87=$X$6,1,"")</f>
        <v/>
      </c>
      <c r="Y87" s="136">
        <f>IF(E87=$Y$6,1,"")</f>
        <v/>
      </c>
      <c r="Z87" s="136">
        <f>IF(E87=$Z$6,1,"")</f>
        <v/>
      </c>
      <c r="AA87" s="136">
        <f>IF(E87=$AA$6,1,"")</f>
        <v/>
      </c>
      <c r="AB87" s="136">
        <f>IF(E87=$AB$6,1,"")</f>
        <v/>
      </c>
      <c r="AC87" s="136">
        <f>IF(E87=$AC$6,1,"")</f>
        <v/>
      </c>
      <c r="AD87" s="136">
        <f>IF(E87=$AD$6,1,"")</f>
        <v/>
      </c>
      <c r="AE87" s="136">
        <f>IF(E87=$AE$6,1,"")</f>
        <v/>
      </c>
      <c r="AF87" s="136">
        <f>IF(E87=$AF$6,1,"")</f>
        <v/>
      </c>
      <c r="AG87" s="136">
        <f>IF(E87=$AG$6,1,"")</f>
        <v/>
      </c>
      <c r="AH87" s="136">
        <f>IF(E87=$AH$6,1,"")</f>
        <v/>
      </c>
      <c r="AI87" s="136">
        <f>IF(E87=$AI$6,1,"")</f>
        <v/>
      </c>
      <c r="AJ87" s="136">
        <f>IF(E87=$AJ$6,1,"")</f>
        <v/>
      </c>
      <c r="AK87" s="81">
        <f>IF(E87=$AK$6,1,"")</f>
        <v/>
      </c>
      <c r="AL87" s="81">
        <f>IF(E87=$AL$6,1,"")</f>
        <v/>
      </c>
      <c r="AM87" s="81">
        <f>IF(E87=$AM$6,1,"")</f>
        <v/>
      </c>
      <c r="AN87" s="81">
        <f>IF(E87=$AN$6,1,"")</f>
        <v/>
      </c>
      <c r="AO87" s="81">
        <f>IF(E87=$AO$6,1,"")</f>
        <v/>
      </c>
      <c r="AP87" s="81">
        <f>IF(E87=$AP$6,1,"")</f>
        <v/>
      </c>
      <c r="AQ87" s="81">
        <f>IF(E87=$AQ$6,1,"")</f>
        <v/>
      </c>
      <c r="AR87" s="81">
        <f>IF(E87=$AR$6,1,"")</f>
        <v/>
      </c>
      <c r="AS87" s="81" t="n"/>
    </row>
    <row r="88" ht="15.75" customHeight="1" s="80">
      <c r="A88" s="123" t="inlineStr">
        <is>
          <t>Liana Rabadi</t>
        </is>
      </c>
      <c r="B88" s="124" t="inlineStr">
        <is>
          <t>07/31/2025</t>
        </is>
      </c>
      <c r="C88" s="125" t="inlineStr">
        <is>
          <t>rm217597</t>
        </is>
      </c>
      <c r="D88" s="126" t="inlineStr">
        <is>
          <t>Roxanna</t>
        </is>
      </c>
      <c r="E88" s="127" t="inlineStr">
        <is>
          <t>PT TW</t>
        </is>
      </c>
      <c r="F88" s="128" t="n">
        <v>30</v>
      </c>
      <c r="G88" s="129" t="n"/>
      <c r="H88" s="130" t="n"/>
      <c r="I88" s="131" t="n"/>
      <c r="J88" s="131">
        <f>IF(COUNTIF(B88:E88,"*")=0,"",IF(T88=1,"Invalid Service",IF(AND(V88=1,F88=""),"Add Session Mins",IF(AND(E88&gt;0,H88="",T88=""),"Enter Contract Rate",IF(AND(E88="IEP mtg, prep, rept",F88&gt;0),(G88*H88),IF(AND(E88&gt;0,F88&gt;0,H88&gt;0,I88=""),"Enter Travel",IF(AND(F88&gt;0,I88="Y"),(G88*H88)+$M$10,IF(AND(F88&gt;0,I88="N"),(G88*H88),H88))))))))</f>
        <v/>
      </c>
      <c r="K88" s="132">
        <f>J88</f>
        <v/>
      </c>
      <c r="L88" s="148" t="n"/>
      <c r="M88" s="148" t="n"/>
      <c r="N88" s="148" t="n"/>
      <c r="O88" s="87" t="n"/>
      <c r="P88" s="81" t="n"/>
      <c r="Q88" s="81" t="n"/>
      <c r="R88" s="81" t="n"/>
      <c r="S88" s="81" t="n"/>
      <c r="T88" s="136">
        <f>IF(AND(E88&gt;0,U88=0),1,"")</f>
        <v/>
      </c>
      <c r="U88" s="136">
        <f>SUM(X88:AR88)</f>
        <v/>
      </c>
      <c r="V88" s="136">
        <f>IF(E88=$Q$16,0,SUM(X88:AI88))</f>
        <v/>
      </c>
      <c r="W88" s="136">
        <f>SUM(AK88:AR88)</f>
        <v/>
      </c>
      <c r="X88" s="136">
        <f>IF(E88=$X$6,1,"")</f>
        <v/>
      </c>
      <c r="Y88" s="136">
        <f>IF(E88=$Y$6,1,"")</f>
        <v/>
      </c>
      <c r="Z88" s="136">
        <f>IF(E88=$Z$6,1,"")</f>
        <v/>
      </c>
      <c r="AA88" s="136">
        <f>IF(E88=$AA$6,1,"")</f>
        <v/>
      </c>
      <c r="AB88" s="136">
        <f>IF(E88=$AB$6,1,"")</f>
        <v/>
      </c>
      <c r="AC88" s="136">
        <f>IF(E88=$AC$6,1,"")</f>
        <v/>
      </c>
      <c r="AD88" s="136">
        <f>IF(E88=$AD$6,1,"")</f>
        <v/>
      </c>
      <c r="AE88" s="136">
        <f>IF(E88=$AE$6,1,"")</f>
        <v/>
      </c>
      <c r="AF88" s="136">
        <f>IF(E88=$AF$6,1,"")</f>
        <v/>
      </c>
      <c r="AG88" s="136">
        <f>IF(E88=$AG$6,1,"")</f>
        <v/>
      </c>
      <c r="AH88" s="136">
        <f>IF(E88=$AH$6,1,"")</f>
        <v/>
      </c>
      <c r="AI88" s="136">
        <f>IF(E88=$AI$6,1,"")</f>
        <v/>
      </c>
      <c r="AJ88" s="136">
        <f>IF(E88=$AJ$6,1,"")</f>
        <v/>
      </c>
      <c r="AK88" s="81">
        <f>IF(E88=$AK$6,1,"")</f>
        <v/>
      </c>
      <c r="AL88" s="81">
        <f>IF(E88=$AL$6,1,"")</f>
        <v/>
      </c>
      <c r="AM88" s="81">
        <f>IF(E88=$AM$6,1,"")</f>
        <v/>
      </c>
      <c r="AN88" s="81">
        <f>IF(E88=$AN$6,1,"")</f>
        <v/>
      </c>
      <c r="AO88" s="81">
        <f>IF(E88=$AO$6,1,"")</f>
        <v/>
      </c>
      <c r="AP88" s="81">
        <f>IF(E88=$AP$6,1,"")</f>
        <v/>
      </c>
      <c r="AQ88" s="81">
        <f>IF(E88=$AQ$6,1,"")</f>
        <v/>
      </c>
      <c r="AR88" s="81">
        <f>IF(E88=$AR$6,1,"")</f>
        <v/>
      </c>
      <c r="AS88" s="81" t="n"/>
    </row>
    <row r="89" ht="15.75" customHeight="1" s="80">
      <c r="A89" s="123" t="inlineStr">
        <is>
          <t>Sara Ravier</t>
        </is>
      </c>
      <c r="B89" s="124" t="inlineStr">
        <is>
          <t>07/07/2025</t>
        </is>
      </c>
      <c r="C89" s="125" t="inlineStr">
        <is>
          <t>sc200053</t>
        </is>
      </c>
      <c r="D89" s="126" t="inlineStr">
        <is>
          <t>Samantha</t>
        </is>
      </c>
      <c r="E89" s="127" t="inlineStr">
        <is>
          <t>OT TW</t>
        </is>
      </c>
      <c r="F89" s="128" t="n">
        <v>60</v>
      </c>
      <c r="G89" s="129" t="n"/>
      <c r="H89" s="130" t="n"/>
      <c r="I89" s="131" t="n"/>
      <c r="J89" s="131">
        <f>IF(COUNTIF(B89:E89,"*")=0,"",IF(T89=1,"Invalid Service",IF(AND(V89=1,F89=""),"Add Session Mins",IF(AND(E89&gt;0,H89="",T89=""),"Enter Contract Rate",IF(AND(E89="IEP mtg, prep, rept",F89&gt;0),(G89*H89),IF(AND(E89&gt;0,F89&gt;0,H89&gt;0,I89=""),"Enter Travel",IF(AND(F89&gt;0,I89="Y"),(G89*H89)+$M$10,IF(AND(F89&gt;0,I89="N"),(G89*H89),H89))))))))</f>
        <v/>
      </c>
      <c r="K89" s="132">
        <f>J89</f>
        <v/>
      </c>
      <c r="L89" s="148" t="n"/>
      <c r="M89" s="148" t="n"/>
      <c r="N89" s="148" t="n"/>
      <c r="O89" s="87" t="n"/>
      <c r="P89" s="81" t="n"/>
      <c r="Q89" s="81" t="n"/>
      <c r="R89" s="81" t="n"/>
      <c r="S89" s="81" t="n"/>
      <c r="T89" s="136">
        <f>IF(AND(E89&gt;0,U89=0),1,"")</f>
        <v/>
      </c>
      <c r="U89" s="136">
        <f>SUM(X89:AR89)</f>
        <v/>
      </c>
      <c r="V89" s="136">
        <f>IF(E89=$Q$16,0,SUM(X89:AI89))</f>
        <v/>
      </c>
      <c r="W89" s="136">
        <f>SUM(AK89:AR89)</f>
        <v/>
      </c>
      <c r="X89" s="136">
        <f>IF(E89=$X$6,1,"")</f>
        <v/>
      </c>
      <c r="Y89" s="136">
        <f>IF(E89=$Y$6,1,"")</f>
        <v/>
      </c>
      <c r="Z89" s="136">
        <f>IF(E89=$Z$6,1,"")</f>
        <v/>
      </c>
      <c r="AA89" s="136">
        <f>IF(E89=$AA$6,1,"")</f>
        <v/>
      </c>
      <c r="AB89" s="136">
        <f>IF(E89=$AB$6,1,"")</f>
        <v/>
      </c>
      <c r="AC89" s="136">
        <f>IF(E89=$AC$6,1,"")</f>
        <v/>
      </c>
      <c r="AD89" s="136">
        <f>IF(E89=$AD$6,1,"")</f>
        <v/>
      </c>
      <c r="AE89" s="136">
        <f>IF(E89=$AE$6,1,"")</f>
        <v/>
      </c>
      <c r="AF89" s="136">
        <f>IF(E89=$AF$6,1,"")</f>
        <v/>
      </c>
      <c r="AG89" s="136">
        <f>IF(E89=$AG$6,1,"")</f>
        <v/>
      </c>
      <c r="AH89" s="136">
        <f>IF(E89=$AH$6,1,"")</f>
        <v/>
      </c>
      <c r="AI89" s="136">
        <f>IF(E89=$AI$6,1,"")</f>
        <v/>
      </c>
      <c r="AJ89" s="136">
        <f>IF(E89=$AJ$6,1,"")</f>
        <v/>
      </c>
      <c r="AK89" s="81">
        <f>IF(E89=$AK$6,1,"")</f>
        <v/>
      </c>
      <c r="AL89" s="81">
        <f>IF(E89=$AL$6,1,"")</f>
        <v/>
      </c>
      <c r="AM89" s="81">
        <f>IF(E89=$AM$6,1,"")</f>
        <v/>
      </c>
      <c r="AN89" s="81">
        <f>IF(E89=$AN$6,1,"")</f>
        <v/>
      </c>
      <c r="AO89" s="81">
        <f>IF(E89=$AO$6,1,"")</f>
        <v/>
      </c>
      <c r="AP89" s="81">
        <f>IF(E89=$AP$6,1,"")</f>
        <v/>
      </c>
      <c r="AQ89" s="81">
        <f>IF(E89=$AQ$6,1,"")</f>
        <v/>
      </c>
      <c r="AR89" s="81">
        <f>IF(E89=$AR$6,1,"")</f>
        <v/>
      </c>
      <c r="AS89" s="81" t="n"/>
    </row>
    <row r="90" ht="15.75" customHeight="1" s="80">
      <c r="A90" s="123" t="inlineStr">
        <is>
          <t>Sara Ravier</t>
        </is>
      </c>
      <c r="B90" s="124" t="inlineStr">
        <is>
          <t>07/08/2025</t>
        </is>
      </c>
      <c r="C90" s="125" t="inlineStr">
        <is>
          <t>sc200053</t>
        </is>
      </c>
      <c r="D90" s="126" t="inlineStr">
        <is>
          <t>Samantha</t>
        </is>
      </c>
      <c r="E90" s="127" t="inlineStr">
        <is>
          <t>OT TW</t>
        </is>
      </c>
      <c r="F90" s="128" t="n">
        <v>60</v>
      </c>
      <c r="G90" s="129" t="n"/>
      <c r="H90" s="130" t="n"/>
      <c r="I90" s="131" t="n"/>
      <c r="J90" s="131">
        <f>IF(COUNTIF(B90:E90,"*")=0,"",IF(T90=1,"Invalid Service",IF(AND(V90=1,F90=""),"Add Session Mins",IF(AND(E90&gt;0,H90="",T90=""),"Enter Contract Rate",IF(AND(E90="IEP mtg, prep, rept",F90&gt;0),(G90*H90),IF(AND(E90&gt;0,F90&gt;0,H90&gt;0,I90=""),"Enter Travel",IF(AND(F90&gt;0,I90="Y"),(G90*H90)+$M$10,IF(AND(F90&gt;0,I90="N"),(G90*H90),H90))))))))</f>
        <v/>
      </c>
      <c r="K90" s="132">
        <f>J90</f>
        <v/>
      </c>
      <c r="L90" s="148" t="n"/>
      <c r="M90" s="148" t="n"/>
      <c r="N90" s="148" t="n"/>
      <c r="O90" s="87" t="n"/>
      <c r="P90" s="81" t="n"/>
      <c r="Q90" s="81" t="n"/>
      <c r="R90" s="81" t="n"/>
      <c r="S90" s="81" t="n"/>
      <c r="T90" s="136">
        <f>IF(AND(E90&gt;0,U90=0),1,"")</f>
        <v/>
      </c>
      <c r="U90" s="136">
        <f>SUM(X90:AR90)</f>
        <v/>
      </c>
      <c r="V90" s="136">
        <f>IF(E90=$Q$16,0,SUM(X90:AI90))</f>
        <v/>
      </c>
      <c r="W90" s="136">
        <f>SUM(AK90:AR90)</f>
        <v/>
      </c>
      <c r="X90" s="136">
        <f>IF(E90=$X$6,1,"")</f>
        <v/>
      </c>
      <c r="Y90" s="136">
        <f>IF(E90=$Y$6,1,"")</f>
        <v/>
      </c>
      <c r="Z90" s="136">
        <f>IF(E90=$Z$6,1,"")</f>
        <v/>
      </c>
      <c r="AA90" s="136">
        <f>IF(E90=$AA$6,1,"")</f>
        <v/>
      </c>
      <c r="AB90" s="136">
        <f>IF(E90=$AB$6,1,"")</f>
        <v/>
      </c>
      <c r="AC90" s="136">
        <f>IF(E90=$AC$6,1,"")</f>
        <v/>
      </c>
      <c r="AD90" s="136">
        <f>IF(E90=$AD$6,1,"")</f>
        <v/>
      </c>
      <c r="AE90" s="136">
        <f>IF(E90=$AE$6,1,"")</f>
        <v/>
      </c>
      <c r="AF90" s="136">
        <f>IF(E90=$AF$6,1,"")</f>
        <v/>
      </c>
      <c r="AG90" s="136">
        <f>IF(E90=$AG$6,1,"")</f>
        <v/>
      </c>
      <c r="AH90" s="136">
        <f>IF(E90=$AH$6,1,"")</f>
        <v/>
      </c>
      <c r="AI90" s="136">
        <f>IF(E90=$AI$6,1,"")</f>
        <v/>
      </c>
      <c r="AJ90" s="136">
        <f>IF(E90=$AJ$6,1,"")</f>
        <v/>
      </c>
      <c r="AK90" s="81">
        <f>IF(E90=$AK$6,1,"")</f>
        <v/>
      </c>
      <c r="AL90" s="81">
        <f>IF(E90=$AL$6,1,"")</f>
        <v/>
      </c>
      <c r="AM90" s="81">
        <f>IF(E90=$AM$6,1,"")</f>
        <v/>
      </c>
      <c r="AN90" s="81">
        <f>IF(E90=$AN$6,1,"")</f>
        <v/>
      </c>
      <c r="AO90" s="81">
        <f>IF(E90=$AO$6,1,"")</f>
        <v/>
      </c>
      <c r="AP90" s="81">
        <f>IF(E90=$AP$6,1,"")</f>
        <v/>
      </c>
      <c r="AQ90" s="81">
        <f>IF(E90=$AQ$6,1,"")</f>
        <v/>
      </c>
      <c r="AR90" s="81">
        <f>IF(E90=$AR$6,1,"")</f>
        <v/>
      </c>
      <c r="AS90" s="81" t="n"/>
    </row>
    <row r="91" ht="15.75" customHeight="1" s="80">
      <c r="A91" s="123" t="inlineStr">
        <is>
          <t>Sara Ravier</t>
        </is>
      </c>
      <c r="B91" s="124" t="inlineStr">
        <is>
          <t>07/08/2025</t>
        </is>
      </c>
      <c r="C91" s="125" t="inlineStr">
        <is>
          <t>sc200053</t>
        </is>
      </c>
      <c r="D91" s="126" t="inlineStr">
        <is>
          <t>Samantha</t>
        </is>
      </c>
      <c r="E91" s="127" t="inlineStr">
        <is>
          <t>OT TW</t>
        </is>
      </c>
      <c r="F91" s="128" t="n">
        <v>90</v>
      </c>
      <c r="G91" s="129" t="n"/>
      <c r="H91" s="130" t="n"/>
      <c r="I91" s="131" t="n"/>
      <c r="J91" s="131">
        <f>IF(COUNTIF(B91:E91,"*")=0,"",IF(T91=1,"Invalid Service",IF(AND(V91=1,F91=""),"Add Session Mins",IF(AND(E91&gt;0,H91="",T91=""),"Enter Contract Rate",IF(AND(E91="IEP mtg, prep, rept",F91&gt;0),(G91*H91),IF(AND(E91&gt;0,F91&gt;0,H91&gt;0,I91=""),"Enter Travel",IF(AND(F91&gt;0,I91="Y"),(G91*H91)+$M$10,IF(AND(F91&gt;0,I91="N"),(G91*H91),H91))))))))</f>
        <v/>
      </c>
      <c r="K91" s="132">
        <f>J91</f>
        <v/>
      </c>
      <c r="L91" s="148" t="n"/>
      <c r="M91" s="148" t="n"/>
      <c r="N91" s="148" t="n"/>
      <c r="O91" s="87" t="n"/>
      <c r="P91" s="81" t="n"/>
      <c r="Q91" s="81" t="n"/>
      <c r="R91" s="81" t="n"/>
      <c r="S91" s="81" t="n"/>
      <c r="T91" s="136">
        <f>IF(AND(E91&gt;0,U91=0),1,"")</f>
        <v/>
      </c>
      <c r="U91" s="136">
        <f>SUM(X91:AR91)</f>
        <v/>
      </c>
      <c r="V91" s="136">
        <f>IF(E91=$Q$16,0,SUM(X91:AI91))</f>
        <v/>
      </c>
      <c r="W91" s="136">
        <f>SUM(AK91:AR91)</f>
        <v/>
      </c>
      <c r="X91" s="136">
        <f>IF(E91=$X$6,1,"")</f>
        <v/>
      </c>
      <c r="Y91" s="136">
        <f>IF(E91=$Y$6,1,"")</f>
        <v/>
      </c>
      <c r="Z91" s="136">
        <f>IF(E91=$Z$6,1,"")</f>
        <v/>
      </c>
      <c r="AA91" s="136">
        <f>IF(E91=$AA$6,1,"")</f>
        <v/>
      </c>
      <c r="AB91" s="136">
        <f>IF(E91=$AB$6,1,"")</f>
        <v/>
      </c>
      <c r="AC91" s="136">
        <f>IF(E91=$AC$6,1,"")</f>
        <v/>
      </c>
      <c r="AD91" s="136">
        <f>IF(E91=$AD$6,1,"")</f>
        <v/>
      </c>
      <c r="AE91" s="136">
        <f>IF(E91=$AE$6,1,"")</f>
        <v/>
      </c>
      <c r="AF91" s="136">
        <f>IF(E91=$AF$6,1,"")</f>
        <v/>
      </c>
      <c r="AG91" s="136">
        <f>IF(E91=$AG$6,1,"")</f>
        <v/>
      </c>
      <c r="AH91" s="136">
        <f>IF(E91=$AH$6,1,"")</f>
        <v/>
      </c>
      <c r="AI91" s="136">
        <f>IF(E91=$AI$6,1,"")</f>
        <v/>
      </c>
      <c r="AJ91" s="136">
        <f>IF(E91=$AJ$6,1,"")</f>
        <v/>
      </c>
      <c r="AK91" s="81">
        <f>IF(E91=$AK$6,1,"")</f>
        <v/>
      </c>
      <c r="AL91" s="81">
        <f>IF(E91=$AL$6,1,"")</f>
        <v/>
      </c>
      <c r="AM91" s="81">
        <f>IF(E91=$AM$6,1,"")</f>
        <v/>
      </c>
      <c r="AN91" s="81">
        <f>IF(E91=$AN$6,1,"")</f>
        <v/>
      </c>
      <c r="AO91" s="81">
        <f>IF(E91=$AO$6,1,"")</f>
        <v/>
      </c>
      <c r="AP91" s="81">
        <f>IF(E91=$AP$6,1,"")</f>
        <v/>
      </c>
      <c r="AQ91" s="81">
        <f>IF(E91=$AQ$6,1,"")</f>
        <v/>
      </c>
      <c r="AR91" s="81">
        <f>IF(E91=$AR$6,1,"")</f>
        <v/>
      </c>
      <c r="AS91" s="81" t="n"/>
    </row>
    <row r="92" ht="15.75" customHeight="1" s="80">
      <c r="A92" s="123" t="inlineStr">
        <is>
          <t>Sara Ravier</t>
        </is>
      </c>
      <c r="B92" s="124" t="inlineStr">
        <is>
          <t>07/14/2025</t>
        </is>
      </c>
      <c r="C92" s="125" t="inlineStr">
        <is>
          <t>sc200053</t>
        </is>
      </c>
      <c r="D92" s="126" t="inlineStr">
        <is>
          <t>Samantha</t>
        </is>
      </c>
      <c r="E92" s="127" t="inlineStr">
        <is>
          <t>OT TW</t>
        </is>
      </c>
      <c r="F92" s="128" t="n">
        <v>60</v>
      </c>
      <c r="G92" s="129" t="n"/>
      <c r="H92" s="130" t="n"/>
      <c r="I92" s="131" t="n"/>
      <c r="J92" s="131">
        <f>IF(COUNTIF(B92:E92,"*")=0,"",IF(T92=1,"Invalid Service",IF(AND(V92=1,F92=""),"Add Session Mins",IF(AND(E92&gt;0,H92="",T92=""),"Enter Contract Rate",IF(AND(E92="IEP mtg, prep, rept",F92&gt;0),(G92*H92),IF(AND(E92&gt;0,F92&gt;0,H92&gt;0,I92=""),"Enter Travel",IF(AND(F92&gt;0,I92="Y"),(G92*H92)+$M$10,IF(AND(F92&gt;0,I92="N"),(G92*H92),H92))))))))</f>
        <v/>
      </c>
      <c r="K92" s="132">
        <f>J92</f>
        <v/>
      </c>
      <c r="L92" s="148" t="n"/>
      <c r="M92" s="148" t="n"/>
      <c r="N92" s="148" t="n"/>
      <c r="O92" s="87" t="n"/>
      <c r="P92" s="81" t="n"/>
      <c r="Q92" s="81" t="n"/>
      <c r="R92" s="81" t="n"/>
      <c r="S92" s="81" t="n"/>
      <c r="T92" s="136">
        <f>IF(AND(E92&gt;0,U92=0),1,"")</f>
        <v/>
      </c>
      <c r="U92" s="136">
        <f>SUM(X92:AR92)</f>
        <v/>
      </c>
      <c r="V92" s="136">
        <f>IF(E92=$Q$16,0,SUM(X92:AI92))</f>
        <v/>
      </c>
      <c r="W92" s="136">
        <f>SUM(AK92:AR92)</f>
        <v/>
      </c>
      <c r="X92" s="136">
        <f>IF(E92=$X$6,1,"")</f>
        <v/>
      </c>
      <c r="Y92" s="136">
        <f>IF(E92=$Y$6,1,"")</f>
        <v/>
      </c>
      <c r="Z92" s="136">
        <f>IF(E92=$Z$6,1,"")</f>
        <v/>
      </c>
      <c r="AA92" s="136">
        <f>IF(E92=$AA$6,1,"")</f>
        <v/>
      </c>
      <c r="AB92" s="136">
        <f>IF(E92=$AB$6,1,"")</f>
        <v/>
      </c>
      <c r="AC92" s="136">
        <f>IF(E92=$AC$6,1,"")</f>
        <v/>
      </c>
      <c r="AD92" s="136">
        <f>IF(E92=$AD$6,1,"")</f>
        <v/>
      </c>
      <c r="AE92" s="136">
        <f>IF(E92=$AE$6,1,"")</f>
        <v/>
      </c>
      <c r="AF92" s="136">
        <f>IF(E92=$AF$6,1,"")</f>
        <v/>
      </c>
      <c r="AG92" s="136">
        <f>IF(E92=$AG$6,1,"")</f>
        <v/>
      </c>
      <c r="AH92" s="136">
        <f>IF(E92=$AH$6,1,"")</f>
        <v/>
      </c>
      <c r="AI92" s="136">
        <f>IF(E92=$AI$6,1,"")</f>
        <v/>
      </c>
      <c r="AJ92" s="136">
        <f>IF(E92=$AJ$6,1,"")</f>
        <v/>
      </c>
      <c r="AK92" s="81">
        <f>IF(E92=$AK$6,1,"")</f>
        <v/>
      </c>
      <c r="AL92" s="81">
        <f>IF(E92=$AL$6,1,"")</f>
        <v/>
      </c>
      <c r="AM92" s="81">
        <f>IF(E92=$AM$6,1,"")</f>
        <v/>
      </c>
      <c r="AN92" s="81">
        <f>IF(E92=$AN$6,1,"")</f>
        <v/>
      </c>
      <c r="AO92" s="81">
        <f>IF(E92=$AO$6,1,"")</f>
        <v/>
      </c>
      <c r="AP92" s="81">
        <f>IF(E92=$AP$6,1,"")</f>
        <v/>
      </c>
      <c r="AQ92" s="81">
        <f>IF(E92=$AQ$6,1,"")</f>
        <v/>
      </c>
      <c r="AR92" s="81">
        <f>IF(E92=$AR$6,1,"")</f>
        <v/>
      </c>
      <c r="AS92" s="81" t="n"/>
    </row>
    <row r="93" ht="15.75" customHeight="1" s="80">
      <c r="A93" s="123" t="inlineStr">
        <is>
          <t>Sara Ravier</t>
        </is>
      </c>
      <c r="B93" s="124" t="inlineStr">
        <is>
          <t>07/15/2025</t>
        </is>
      </c>
      <c r="C93" s="125" t="inlineStr">
        <is>
          <t>sc200053</t>
        </is>
      </c>
      <c r="D93" s="126" t="inlineStr">
        <is>
          <t>Samantha</t>
        </is>
      </c>
      <c r="E93" s="127" t="inlineStr">
        <is>
          <t>OT TW</t>
        </is>
      </c>
      <c r="F93" s="128" t="n">
        <v>60</v>
      </c>
      <c r="G93" s="129" t="n"/>
      <c r="H93" s="130" t="n"/>
      <c r="I93" s="131" t="n"/>
      <c r="J93" s="131">
        <f>IF(COUNTIF(B93:E93,"*")=0,"",IF(T93=1,"Invalid Service",IF(AND(V93=1,F93=""),"Add Session Mins",IF(AND(E93&gt;0,H93="",T93=""),"Enter Contract Rate",IF(AND(E93="IEP mtg, prep, rept",F93&gt;0),(G93*H93),IF(AND(E93&gt;0,F93&gt;0,H93&gt;0,I93=""),"Enter Travel",IF(AND(F93&gt;0,I93="Y"),(G93*H93)+$M$10,IF(AND(F93&gt;0,I93="N"),(G93*H93),H93))))))))</f>
        <v/>
      </c>
      <c r="K93" s="132">
        <f>J93</f>
        <v/>
      </c>
      <c r="L93" s="148" t="n"/>
      <c r="M93" s="148" t="n"/>
      <c r="N93" s="148" t="n"/>
      <c r="O93" s="87" t="n"/>
      <c r="P93" s="81" t="n"/>
      <c r="Q93" s="81" t="n"/>
      <c r="R93" s="81" t="n"/>
      <c r="S93" s="81" t="n"/>
      <c r="T93" s="136">
        <f>IF(AND(E93&gt;0,U93=0),1,"")</f>
        <v/>
      </c>
      <c r="U93" s="136">
        <f>SUM(X93:AR93)</f>
        <v/>
      </c>
      <c r="V93" s="136">
        <f>IF(E93=$Q$16,0,SUM(X93:AI93))</f>
        <v/>
      </c>
      <c r="W93" s="136">
        <f>SUM(AK93:AR93)</f>
        <v/>
      </c>
      <c r="X93" s="136">
        <f>IF(E93=$X$6,1,"")</f>
        <v/>
      </c>
      <c r="Y93" s="136">
        <f>IF(E93=$Y$6,1,"")</f>
        <v/>
      </c>
      <c r="Z93" s="136">
        <f>IF(E93=$Z$6,1,"")</f>
        <v/>
      </c>
      <c r="AA93" s="136">
        <f>IF(E93=$AA$6,1,"")</f>
        <v/>
      </c>
      <c r="AB93" s="136">
        <f>IF(E93=$AB$6,1,"")</f>
        <v/>
      </c>
      <c r="AC93" s="136">
        <f>IF(E93=$AC$6,1,"")</f>
        <v/>
      </c>
      <c r="AD93" s="136">
        <f>IF(E93=$AD$6,1,"")</f>
        <v/>
      </c>
      <c r="AE93" s="136">
        <f>IF(E93=$AE$6,1,"")</f>
        <v/>
      </c>
      <c r="AF93" s="136">
        <f>IF(E93=$AF$6,1,"")</f>
        <v/>
      </c>
      <c r="AG93" s="136">
        <f>IF(E93=$AG$6,1,"")</f>
        <v/>
      </c>
      <c r="AH93" s="136">
        <f>IF(E93=$AH$6,1,"")</f>
        <v/>
      </c>
      <c r="AI93" s="136">
        <f>IF(E93=$AI$6,1,"")</f>
        <v/>
      </c>
      <c r="AJ93" s="136">
        <f>IF(E93=$AJ$6,1,"")</f>
        <v/>
      </c>
      <c r="AK93" s="81">
        <f>IF(E93=$AK$6,1,"")</f>
        <v/>
      </c>
      <c r="AL93" s="81">
        <f>IF(E93=$AL$6,1,"")</f>
        <v/>
      </c>
      <c r="AM93" s="81">
        <f>IF(E93=$AM$6,1,"")</f>
        <v/>
      </c>
      <c r="AN93" s="81">
        <f>IF(E93=$AN$6,1,"")</f>
        <v/>
      </c>
      <c r="AO93" s="81">
        <f>IF(E93=$AO$6,1,"")</f>
        <v/>
      </c>
      <c r="AP93" s="81">
        <f>IF(E93=$AP$6,1,"")</f>
        <v/>
      </c>
      <c r="AQ93" s="81">
        <f>IF(E93=$AQ$6,1,"")</f>
        <v/>
      </c>
      <c r="AR93" s="81">
        <f>IF(E93=$AR$6,1,"")</f>
        <v/>
      </c>
      <c r="AS93" s="81" t="n"/>
    </row>
    <row r="94" ht="15.75" customHeight="1" s="80">
      <c r="A94" s="123" t="inlineStr">
        <is>
          <t>Sara Ravier</t>
        </is>
      </c>
      <c r="B94" s="124" t="inlineStr">
        <is>
          <t>07/15/2025</t>
        </is>
      </c>
      <c r="C94" s="125" t="inlineStr">
        <is>
          <t>sc200053</t>
        </is>
      </c>
      <c r="D94" s="126" t="inlineStr">
        <is>
          <t>Samantha</t>
        </is>
      </c>
      <c r="E94" s="127" t="inlineStr">
        <is>
          <t>OT TW</t>
        </is>
      </c>
      <c r="F94" s="128" t="n">
        <v>90</v>
      </c>
      <c r="G94" s="129" t="n"/>
      <c r="H94" s="130" t="n"/>
      <c r="I94" s="131" t="n"/>
      <c r="J94" s="131">
        <f>IF(COUNTIF(B94:E94,"*")=0,"",IF(T94=1,"Invalid Service",IF(AND(V94=1,F94=""),"Add Session Mins",IF(AND(E94&gt;0,H94="",T94=""),"Enter Contract Rate",IF(AND(E94="IEP mtg, prep, rept",F94&gt;0),(G94*H94),IF(AND(E94&gt;0,F94&gt;0,H94&gt;0,I94=""),"Enter Travel",IF(AND(F94&gt;0,I94="Y"),(G94*H94)+$M$10,IF(AND(F94&gt;0,I94="N"),(G94*H94),H94))))))))</f>
        <v/>
      </c>
      <c r="K94" s="132">
        <f>J94</f>
        <v/>
      </c>
      <c r="L94" s="148" t="n"/>
      <c r="M94" s="148" t="n"/>
      <c r="N94" s="148" t="n"/>
      <c r="O94" s="87" t="n"/>
      <c r="P94" s="81" t="n"/>
      <c r="Q94" s="81" t="n"/>
      <c r="R94" s="81" t="n"/>
      <c r="S94" s="81" t="n"/>
      <c r="T94" s="136">
        <f>IF(AND(E94&gt;0,U94=0),1,"")</f>
        <v/>
      </c>
      <c r="U94" s="136">
        <f>SUM(X94:AR94)</f>
        <v/>
      </c>
      <c r="V94" s="136">
        <f>IF(E94=$Q$16,0,SUM(X94:AI94))</f>
        <v/>
      </c>
      <c r="W94" s="136">
        <f>SUM(AK94:AR94)</f>
        <v/>
      </c>
      <c r="X94" s="136">
        <f>IF(E94=$X$6,1,"")</f>
        <v/>
      </c>
      <c r="Y94" s="136">
        <f>IF(E94=$Y$6,1,"")</f>
        <v/>
      </c>
      <c r="Z94" s="136">
        <f>IF(E94=$Z$6,1,"")</f>
        <v/>
      </c>
      <c r="AA94" s="136">
        <f>IF(E94=$AA$6,1,"")</f>
        <v/>
      </c>
      <c r="AB94" s="136">
        <f>IF(E94=$AB$6,1,"")</f>
        <v/>
      </c>
      <c r="AC94" s="136">
        <f>IF(E94=$AC$6,1,"")</f>
        <v/>
      </c>
      <c r="AD94" s="136">
        <f>IF(E94=$AD$6,1,"")</f>
        <v/>
      </c>
      <c r="AE94" s="136">
        <f>IF(E94=$AE$6,1,"")</f>
        <v/>
      </c>
      <c r="AF94" s="136">
        <f>IF(E94=$AF$6,1,"")</f>
        <v/>
      </c>
      <c r="AG94" s="136">
        <f>IF(E94=$AG$6,1,"")</f>
        <v/>
      </c>
      <c r="AH94" s="136">
        <f>IF(E94=$AH$6,1,"")</f>
        <v/>
      </c>
      <c r="AI94" s="136">
        <f>IF(E94=$AI$6,1,"")</f>
        <v/>
      </c>
      <c r="AJ94" s="136">
        <f>IF(E94=$AJ$6,1,"")</f>
        <v/>
      </c>
      <c r="AK94" s="81">
        <f>IF(E94=$AK$6,1,"")</f>
        <v/>
      </c>
      <c r="AL94" s="81">
        <f>IF(E94=$AL$6,1,"")</f>
        <v/>
      </c>
      <c r="AM94" s="81">
        <f>IF(E94=$AM$6,1,"")</f>
        <v/>
      </c>
      <c r="AN94" s="81">
        <f>IF(E94=$AN$6,1,"")</f>
        <v/>
      </c>
      <c r="AO94" s="81">
        <f>IF(E94=$AO$6,1,"")</f>
        <v/>
      </c>
      <c r="AP94" s="81">
        <f>IF(E94=$AP$6,1,"")</f>
        <v/>
      </c>
      <c r="AQ94" s="81">
        <f>IF(E94=$AQ$6,1,"")</f>
        <v/>
      </c>
      <c r="AR94" s="81">
        <f>IF(E94=$AR$6,1,"")</f>
        <v/>
      </c>
      <c r="AS94" s="81" t="n"/>
    </row>
    <row r="95" ht="15.75" customHeight="1" s="80">
      <c r="A95" s="123" t="inlineStr">
        <is>
          <t>Sara Ravier</t>
        </is>
      </c>
      <c r="B95" s="124" t="inlineStr">
        <is>
          <t>07/21/2025</t>
        </is>
      </c>
      <c r="C95" s="125" t="inlineStr">
        <is>
          <t>sc200053</t>
        </is>
      </c>
      <c r="D95" s="155" t="inlineStr">
        <is>
          <t>Samantha</t>
        </is>
      </c>
      <c r="E95" s="127" t="inlineStr">
        <is>
          <t>OT TW</t>
        </is>
      </c>
      <c r="F95" s="128" t="n">
        <v>60</v>
      </c>
      <c r="G95" s="129" t="n"/>
      <c r="H95" s="130" t="n"/>
      <c r="I95" s="131" t="n"/>
      <c r="J95" s="131">
        <f>IF(COUNTIF(B95:E95,"*")=0,"",IF(T95=1,"Invalid Service",IF(AND(V95=1,F95=""),"Add Session Mins",IF(AND(E95&gt;0,H95="",T95=""),"Enter Contract Rate",IF(AND(E95="IEP mtg, prep, rept",F95&gt;0),(G95*H95),IF(AND(E95&gt;0,F95&gt;0,H95&gt;0,I95=""),"Enter Travel",IF(AND(F95&gt;0,I95="Y"),(G95*H95)+$M$10,IF(AND(F95&gt;0,I95="N"),(G95*H95),H95))))))))</f>
        <v/>
      </c>
      <c r="K95" s="132">
        <f>J95</f>
        <v/>
      </c>
      <c r="L95" s="148" t="n"/>
      <c r="M95" s="148" t="n"/>
      <c r="N95" s="148" t="n"/>
      <c r="O95" s="87" t="n"/>
      <c r="P95" s="81" t="n"/>
      <c r="Q95" s="81" t="n"/>
      <c r="R95" s="81" t="n"/>
      <c r="S95" s="81" t="n"/>
      <c r="T95" s="136">
        <f>IF(AND(E95&gt;0,U95=0),1,"")</f>
        <v/>
      </c>
      <c r="U95" s="136">
        <f>SUM(X95:AR95)</f>
        <v/>
      </c>
      <c r="V95" s="136">
        <f>IF(E95=$Q$16,0,SUM(X95:AI95))</f>
        <v/>
      </c>
      <c r="W95" s="136">
        <f>SUM(AK95:AR95)</f>
        <v/>
      </c>
      <c r="X95" s="136">
        <f>IF(E95=$X$6,1,"")</f>
        <v/>
      </c>
      <c r="Y95" s="136">
        <f>IF(E95=$Y$6,1,"")</f>
        <v/>
      </c>
      <c r="Z95" s="136">
        <f>IF(E95=$Z$6,1,"")</f>
        <v/>
      </c>
      <c r="AA95" s="136">
        <f>IF(E95=$AA$6,1,"")</f>
        <v/>
      </c>
      <c r="AB95" s="136">
        <f>IF(E95=$AB$6,1,"")</f>
        <v/>
      </c>
      <c r="AC95" s="136">
        <f>IF(E95=$AC$6,1,"")</f>
        <v/>
      </c>
      <c r="AD95" s="136">
        <f>IF(E95=$AD$6,1,"")</f>
        <v/>
      </c>
      <c r="AE95" s="136">
        <f>IF(E95=$AE$6,1,"")</f>
        <v/>
      </c>
      <c r="AF95" s="136">
        <f>IF(E95=$AF$6,1,"")</f>
        <v/>
      </c>
      <c r="AG95" s="136">
        <f>IF(E95=$AG$6,1,"")</f>
        <v/>
      </c>
      <c r="AH95" s="136">
        <f>IF(E95=$AH$6,1,"")</f>
        <v/>
      </c>
      <c r="AI95" s="136">
        <f>IF(E95=$AI$6,1,"")</f>
        <v/>
      </c>
      <c r="AJ95" s="136">
        <f>IF(E95=$AJ$6,1,"")</f>
        <v/>
      </c>
      <c r="AK95" s="81">
        <f>IF(E95=$AK$6,1,"")</f>
        <v/>
      </c>
      <c r="AL95" s="81">
        <f>IF(E95=$AL$6,1,"")</f>
        <v/>
      </c>
      <c r="AM95" s="81">
        <f>IF(E95=$AM$6,1,"")</f>
        <v/>
      </c>
      <c r="AN95" s="81">
        <f>IF(E95=$AN$6,1,"")</f>
        <v/>
      </c>
      <c r="AO95" s="81">
        <f>IF(E95=$AO$6,1,"")</f>
        <v/>
      </c>
      <c r="AP95" s="81">
        <f>IF(E95=$AP$6,1,"")</f>
        <v/>
      </c>
      <c r="AQ95" s="81">
        <f>IF(E95=$AQ$6,1,"")</f>
        <v/>
      </c>
      <c r="AR95" s="81">
        <f>IF(E95=$AR$6,1,"")</f>
        <v/>
      </c>
      <c r="AS95" s="81" t="n"/>
    </row>
    <row r="96" ht="15.75" customHeight="1" s="80">
      <c r="A96" s="152" t="inlineStr">
        <is>
          <t>Sara Ravier</t>
        </is>
      </c>
      <c r="B96" s="124" t="inlineStr">
        <is>
          <t>07/22/2025</t>
        </is>
      </c>
      <c r="C96" s="125" t="inlineStr">
        <is>
          <t>sc200053</t>
        </is>
      </c>
      <c r="D96" s="126" t="inlineStr">
        <is>
          <t>Samantha</t>
        </is>
      </c>
      <c r="E96" s="127" t="inlineStr">
        <is>
          <t>OT TW</t>
        </is>
      </c>
      <c r="F96" s="128" t="n">
        <v>60</v>
      </c>
      <c r="G96" s="129" t="n"/>
      <c r="H96" s="130" t="n"/>
      <c r="I96" s="131" t="n"/>
      <c r="J96" s="131">
        <f>IF(COUNTIF(B96:E96,"*")=0,"",IF(T96=1,"Invalid Service",IF(AND(V96=1,F96=""),"Add Session Mins",IF(AND(E96&gt;0,H96="",T96=""),"Enter Contract Rate",IF(AND(E96="IEP mtg, prep, rept",F96&gt;0),(G96*H96),IF(AND(E96&gt;0,F96&gt;0,H96&gt;0,I96=""),"Enter Travel",IF(AND(F96&gt;0,I96="Y"),(G96*H96)+$M$10,IF(AND(F96&gt;0,I96="N"),(G96*H96),H96))))))))</f>
        <v/>
      </c>
      <c r="K96" s="132">
        <f>J96</f>
        <v/>
      </c>
      <c r="L96" s="148" t="n"/>
      <c r="M96" s="148" t="n"/>
      <c r="N96" s="148" t="n"/>
      <c r="O96" s="87" t="n"/>
      <c r="P96" s="81" t="n"/>
      <c r="Q96" s="81" t="n"/>
      <c r="R96" s="81" t="n"/>
      <c r="S96" s="81" t="n"/>
      <c r="T96" s="136">
        <f>IF(AND(E96&gt;0,U96=0),1,"")</f>
        <v/>
      </c>
      <c r="U96" s="136">
        <f>SUM(X96:AR96)</f>
        <v/>
      </c>
      <c r="V96" s="136">
        <f>IF(E96=$Q$16,0,SUM(X96:AI96))</f>
        <v/>
      </c>
      <c r="W96" s="136">
        <f>SUM(AK96:AR96)</f>
        <v/>
      </c>
      <c r="X96" s="136">
        <f>IF(E96=$X$6,1,"")</f>
        <v/>
      </c>
      <c r="Y96" s="136">
        <f>IF(E96=$Y$6,1,"")</f>
        <v/>
      </c>
      <c r="Z96" s="136">
        <f>IF(E96=$Z$6,1,"")</f>
        <v/>
      </c>
      <c r="AA96" s="136">
        <f>IF(E96=$AA$6,1,"")</f>
        <v/>
      </c>
      <c r="AB96" s="136">
        <f>IF(E96=$AB$6,1,"")</f>
        <v/>
      </c>
      <c r="AC96" s="136">
        <f>IF(E96=$AC$6,1,"")</f>
        <v/>
      </c>
      <c r="AD96" s="136">
        <f>IF(E96=$AD$6,1,"")</f>
        <v/>
      </c>
      <c r="AE96" s="136">
        <f>IF(E96=$AE$6,1,"")</f>
        <v/>
      </c>
      <c r="AF96" s="136">
        <f>IF(E96=$AF$6,1,"")</f>
        <v/>
      </c>
      <c r="AG96" s="136">
        <f>IF(E96=$AG$6,1,"")</f>
        <v/>
      </c>
      <c r="AH96" s="136">
        <f>IF(E96=$AH$6,1,"")</f>
        <v/>
      </c>
      <c r="AI96" s="136">
        <f>IF(E96=$AI$6,1,"")</f>
        <v/>
      </c>
      <c r="AJ96" s="136">
        <f>IF(E96=$AJ$6,1,"")</f>
        <v/>
      </c>
      <c r="AK96" s="81">
        <f>IF(E96=$AK$6,1,"")</f>
        <v/>
      </c>
      <c r="AL96" s="81">
        <f>IF(E96=$AL$6,1,"")</f>
        <v/>
      </c>
      <c r="AM96" s="81">
        <f>IF(E96=$AM$6,1,"")</f>
        <v/>
      </c>
      <c r="AN96" s="81">
        <f>IF(E96=$AN$6,1,"")</f>
        <v/>
      </c>
      <c r="AO96" s="81">
        <f>IF(E96=$AO$6,1,"")</f>
        <v/>
      </c>
      <c r="AP96" s="81">
        <f>IF(E96=$AP$6,1,"")</f>
        <v/>
      </c>
      <c r="AQ96" s="81">
        <f>IF(E96=$AQ$6,1,"")</f>
        <v/>
      </c>
      <c r="AR96" s="81">
        <f>IF(E96=$AR$6,1,"")</f>
        <v/>
      </c>
      <c r="AS96" s="81" t="n"/>
    </row>
    <row r="97" ht="15.75" customHeight="1" s="80">
      <c r="A97" s="123" t="inlineStr">
        <is>
          <t>Sara Ravier</t>
        </is>
      </c>
      <c r="B97" s="150" t="inlineStr">
        <is>
          <t>07/28/2025</t>
        </is>
      </c>
      <c r="C97" s="125" t="inlineStr">
        <is>
          <t>sc200053</t>
        </is>
      </c>
      <c r="D97" s="156" t="inlineStr">
        <is>
          <t>Samantha</t>
        </is>
      </c>
      <c r="E97" s="127" t="inlineStr">
        <is>
          <t>OT TW</t>
        </is>
      </c>
      <c r="F97" s="128" t="n">
        <v>60</v>
      </c>
      <c r="G97" s="129" t="n"/>
      <c r="H97" s="130" t="n"/>
      <c r="I97" s="131" t="n"/>
      <c r="J97" s="131">
        <f>IF(COUNTIF(B97:E97,"*")=0,"",IF(T97=1,"Invalid Service",IF(AND(V97=1,F97=""),"Add Session Mins",IF(AND(E97&gt;0,H97="",T97=""),"Enter Contract Rate",IF(AND(E97="IEP mtg, prep, rept",F97&gt;0),(G97*H97),IF(AND(E97&gt;0,F97&gt;0,H97&gt;0,I97=""),"Enter Travel",IF(AND(F97&gt;0,I97="Y"),(G97*H97)+$M$10,IF(AND(F97&gt;0,I97="N"),(G97*H97),H97))))))))</f>
        <v/>
      </c>
      <c r="K97" s="132">
        <f>J97</f>
        <v/>
      </c>
      <c r="L97" s="148" t="n"/>
      <c r="M97" s="148" t="n"/>
      <c r="N97" s="148" t="n"/>
      <c r="O97" s="87" t="n"/>
      <c r="P97" s="81" t="n"/>
      <c r="Q97" s="81" t="n"/>
      <c r="R97" s="81" t="n"/>
      <c r="S97" s="81" t="n"/>
      <c r="T97" s="136">
        <f>IF(AND(E97&gt;0,U97=0),1,"")</f>
        <v/>
      </c>
      <c r="U97" s="136">
        <f>SUM(X97:AR97)</f>
        <v/>
      </c>
      <c r="V97" s="136">
        <f>IF(E97=$Q$16,0,SUM(X97:AI97))</f>
        <v/>
      </c>
      <c r="W97" s="136">
        <f>SUM(AK97:AR97)</f>
        <v/>
      </c>
      <c r="X97" s="136">
        <f>IF(E97=$X$6,1,"")</f>
        <v/>
      </c>
      <c r="Y97" s="136">
        <f>IF(E97=$Y$6,1,"")</f>
        <v/>
      </c>
      <c r="Z97" s="136">
        <f>IF(E97=$Z$6,1,"")</f>
        <v/>
      </c>
      <c r="AA97" s="136">
        <f>IF(E97=$AA$6,1,"")</f>
        <v/>
      </c>
      <c r="AB97" s="136">
        <f>IF(E97=$AB$6,1,"")</f>
        <v/>
      </c>
      <c r="AC97" s="136">
        <f>IF(E97=$AC$6,1,"")</f>
        <v/>
      </c>
      <c r="AD97" s="136">
        <f>IF(E97=$AD$6,1,"")</f>
        <v/>
      </c>
      <c r="AE97" s="136">
        <f>IF(E97=$AE$6,1,"")</f>
        <v/>
      </c>
      <c r="AF97" s="136">
        <f>IF(E97=$AF$6,1,"")</f>
        <v/>
      </c>
      <c r="AG97" s="136">
        <f>IF(E97=$AG$6,1,"")</f>
        <v/>
      </c>
      <c r="AH97" s="136">
        <f>IF(E97=$AH$6,1,"")</f>
        <v/>
      </c>
      <c r="AI97" s="136">
        <f>IF(E97=$AI$6,1,"")</f>
        <v/>
      </c>
      <c r="AJ97" s="136">
        <f>IF(E97=$AJ$6,1,"")</f>
        <v/>
      </c>
      <c r="AK97" s="81">
        <f>IF(E97=$AK$6,1,"")</f>
        <v/>
      </c>
      <c r="AL97" s="81">
        <f>IF(E97=$AL$6,1,"")</f>
        <v/>
      </c>
      <c r="AM97" s="81">
        <f>IF(E97=$AM$6,1,"")</f>
        <v/>
      </c>
      <c r="AN97" s="81">
        <f>IF(E97=$AN$6,1,"")</f>
        <v/>
      </c>
      <c r="AO97" s="81">
        <f>IF(E97=$AO$6,1,"")</f>
        <v/>
      </c>
      <c r="AP97" s="81">
        <f>IF(E97=$AP$6,1,"")</f>
        <v/>
      </c>
      <c r="AQ97" s="81">
        <f>IF(E97=$AQ$6,1,"")</f>
        <v/>
      </c>
      <c r="AR97" s="81">
        <f>IF(E97=$AR$6,1,"")</f>
        <v/>
      </c>
      <c r="AS97" s="81" t="n"/>
    </row>
    <row r="98" ht="15.75" customHeight="1" s="80">
      <c r="A98" s="123" t="inlineStr">
        <is>
          <t>Sara Ravier</t>
        </is>
      </c>
      <c r="B98" s="124" t="inlineStr">
        <is>
          <t>07/29/2025</t>
        </is>
      </c>
      <c r="C98" s="125" t="inlineStr">
        <is>
          <t>sc200053</t>
        </is>
      </c>
      <c r="D98" s="126" t="inlineStr">
        <is>
          <t>Samantha</t>
        </is>
      </c>
      <c r="E98" s="127" t="inlineStr">
        <is>
          <t>OT TW</t>
        </is>
      </c>
      <c r="F98" s="128" t="n">
        <v>60</v>
      </c>
      <c r="G98" s="129" t="n"/>
      <c r="H98" s="130" t="n"/>
      <c r="I98" s="131" t="n"/>
      <c r="J98" s="131">
        <f>IF(COUNTIF(B98:E98,"*")=0,"",IF(T98=1,"Invalid Service",IF(AND(V98=1,F98=""),"Add Session Mins",IF(AND(E98&gt;0,H98="",T98=""),"Enter Contract Rate",IF(AND(E98="IEP mtg, prep, rept",F98&gt;0),(G98*H98),IF(AND(E98&gt;0,F98&gt;0,H98&gt;0,I98=""),"Enter Travel",IF(AND(F98&gt;0,I98="Y"),(G98*H98)+$M$10,IF(AND(F98&gt;0,I98="N"),(G98*H98),H98))))))))</f>
        <v/>
      </c>
      <c r="K98" s="132">
        <f>J98</f>
        <v/>
      </c>
      <c r="L98" s="148" t="n"/>
      <c r="M98" s="148" t="n"/>
      <c r="N98" s="148" t="n"/>
      <c r="O98" s="87" t="n"/>
      <c r="P98" s="81" t="n"/>
      <c r="Q98" s="81" t="n"/>
      <c r="R98" s="81" t="n"/>
      <c r="S98" s="81" t="n"/>
      <c r="T98" s="136">
        <f>IF(AND(E98&gt;0,U98=0),1,"")</f>
        <v/>
      </c>
      <c r="U98" s="136">
        <f>SUM(X98:AR98)</f>
        <v/>
      </c>
      <c r="V98" s="136">
        <f>IF(E98=$Q$16,0,SUM(X98:AI98))</f>
        <v/>
      </c>
      <c r="W98" s="136">
        <f>SUM(AK98:AR98)</f>
        <v/>
      </c>
      <c r="X98" s="136">
        <f>IF(E98=$X$6,1,"")</f>
        <v/>
      </c>
      <c r="Y98" s="136">
        <f>IF(E98=$Y$6,1,"")</f>
        <v/>
      </c>
      <c r="Z98" s="136">
        <f>IF(E98=$Z$6,1,"")</f>
        <v/>
      </c>
      <c r="AA98" s="136">
        <f>IF(E98=$AA$6,1,"")</f>
        <v/>
      </c>
      <c r="AB98" s="136">
        <f>IF(E98=$AB$6,1,"")</f>
        <v/>
      </c>
      <c r="AC98" s="136">
        <f>IF(E98=$AC$6,1,"")</f>
        <v/>
      </c>
      <c r="AD98" s="136">
        <f>IF(E98=$AD$6,1,"")</f>
        <v/>
      </c>
      <c r="AE98" s="136">
        <f>IF(E98=$AE$6,1,"")</f>
        <v/>
      </c>
      <c r="AF98" s="136">
        <f>IF(E98=$AF$6,1,"")</f>
        <v/>
      </c>
      <c r="AG98" s="136">
        <f>IF(E98=$AG$6,1,"")</f>
        <v/>
      </c>
      <c r="AH98" s="136">
        <f>IF(E98=$AH$6,1,"")</f>
        <v/>
      </c>
      <c r="AI98" s="136">
        <f>IF(E98=$AI$6,1,"")</f>
        <v/>
      </c>
      <c r="AJ98" s="136">
        <f>IF(E98=$AJ$6,1,"")</f>
        <v/>
      </c>
      <c r="AK98" s="81">
        <f>IF(E98=$AK$6,1,"")</f>
        <v/>
      </c>
      <c r="AL98" s="81">
        <f>IF(E98=$AL$6,1,"")</f>
        <v/>
      </c>
      <c r="AM98" s="81">
        <f>IF(E98=$AM$6,1,"")</f>
        <v/>
      </c>
      <c r="AN98" s="81">
        <f>IF(E98=$AN$6,1,"")</f>
        <v/>
      </c>
      <c r="AO98" s="81">
        <f>IF(E98=$AO$6,1,"")</f>
        <v/>
      </c>
      <c r="AP98" s="81">
        <f>IF(E98=$AP$6,1,"")</f>
        <v/>
      </c>
      <c r="AQ98" s="81">
        <f>IF(E98=$AQ$6,1,"")</f>
        <v/>
      </c>
      <c r="AR98" s="81">
        <f>IF(E98=$AR$6,1,"")</f>
        <v/>
      </c>
      <c r="AS98" s="81" t="n"/>
    </row>
    <row r="99" ht="15.75" customHeight="1" s="80">
      <c r="A99" s="123" t="inlineStr">
        <is>
          <t>Peter Gibson</t>
        </is>
      </c>
      <c r="B99" s="124" t="inlineStr">
        <is>
          <t>07/08/2025</t>
        </is>
      </c>
      <c r="C99" s="125" t="inlineStr">
        <is>
          <t>vl189751</t>
        </is>
      </c>
      <c r="D99" s="126" t="inlineStr">
        <is>
          <t>Vivian</t>
        </is>
      </c>
      <c r="E99" s="127" t="inlineStr">
        <is>
          <t>SLP TW</t>
        </is>
      </c>
      <c r="F99" s="128" t="n">
        <v>30</v>
      </c>
      <c r="G99" s="129" t="n"/>
      <c r="H99" s="130" t="n"/>
      <c r="I99" s="131" t="n"/>
      <c r="J99" s="131">
        <f>IF(COUNTIF(B99:E99,"*")=0,"",IF(T99=1,"Invalid Service",IF(AND(V99=1,F99=""),"Add Session Mins",IF(AND(E99&gt;0,H99="",T99=""),"Enter Contract Rate",IF(AND(E99="IEP mtg, prep, rept",F99&gt;0),(G99*H99),IF(AND(E99&gt;0,F99&gt;0,H99&gt;0,I99=""),"Enter Travel",IF(AND(F99&gt;0,I99="Y"),(G99*H99)+$M$10,IF(AND(F99&gt;0,I99="N"),(G99*H99),H99))))))))</f>
        <v/>
      </c>
      <c r="K99" s="132">
        <f>J99</f>
        <v/>
      </c>
      <c r="L99" s="148" t="n"/>
      <c r="M99" s="148" t="n"/>
      <c r="N99" s="148" t="n"/>
      <c r="O99" s="87" t="n"/>
      <c r="P99" s="81" t="n"/>
      <c r="Q99" s="81" t="n"/>
      <c r="R99" s="81" t="n"/>
      <c r="S99" s="81" t="n"/>
      <c r="T99" s="136">
        <f>IF(AND(E99&gt;0,U99=0),1,"")</f>
        <v/>
      </c>
      <c r="U99" s="136">
        <f>SUM(X99:AR99)</f>
        <v/>
      </c>
      <c r="V99" s="136">
        <f>IF(E99=$Q$16,0,SUM(X99:AI99))</f>
        <v/>
      </c>
      <c r="W99" s="136">
        <f>SUM(AK99:AR99)</f>
        <v/>
      </c>
      <c r="X99" s="136">
        <f>IF(E99=$X$6,1,"")</f>
        <v/>
      </c>
      <c r="Y99" s="136">
        <f>IF(E99=$Y$6,1,"")</f>
        <v/>
      </c>
      <c r="Z99" s="136">
        <f>IF(E99=$Z$6,1,"")</f>
        <v/>
      </c>
      <c r="AA99" s="136">
        <f>IF(E99=$AA$6,1,"")</f>
        <v/>
      </c>
      <c r="AB99" s="136">
        <f>IF(E99=$AB$6,1,"")</f>
        <v/>
      </c>
      <c r="AC99" s="136">
        <f>IF(E99=$AC$6,1,"")</f>
        <v/>
      </c>
      <c r="AD99" s="136">
        <f>IF(E99=$AD$6,1,"")</f>
        <v/>
      </c>
      <c r="AE99" s="136">
        <f>IF(E99=$AE$6,1,"")</f>
        <v/>
      </c>
      <c r="AF99" s="136">
        <f>IF(E99=$AF$6,1,"")</f>
        <v/>
      </c>
      <c r="AG99" s="136">
        <f>IF(E99=$AG$6,1,"")</f>
        <v/>
      </c>
      <c r="AH99" s="136">
        <f>IF(E99=$AH$6,1,"")</f>
        <v/>
      </c>
      <c r="AI99" s="136">
        <f>IF(E99=$AI$6,1,"")</f>
        <v/>
      </c>
      <c r="AJ99" s="136">
        <f>IF(E99=$AJ$6,1,"")</f>
        <v/>
      </c>
      <c r="AK99" s="81">
        <f>IF(E99=$AK$6,1,"")</f>
        <v/>
      </c>
      <c r="AL99" s="81">
        <f>IF(E99=$AL$6,1,"")</f>
        <v/>
      </c>
      <c r="AM99" s="81">
        <f>IF(E99=$AM$6,1,"")</f>
        <v/>
      </c>
      <c r="AN99" s="81">
        <f>IF(E99=$AN$6,1,"")</f>
        <v/>
      </c>
      <c r="AO99" s="81">
        <f>IF(E99=$AO$6,1,"")</f>
        <v/>
      </c>
      <c r="AP99" s="81">
        <f>IF(E99=$AP$6,1,"")</f>
        <v/>
      </c>
      <c r="AQ99" s="81">
        <f>IF(E99=$AQ$6,1,"")</f>
        <v/>
      </c>
      <c r="AR99" s="81">
        <f>IF(E99=$AR$6,1,"")</f>
        <v/>
      </c>
      <c r="AS99" s="81" t="n"/>
    </row>
    <row r="100" ht="15.75" customHeight="1" s="80">
      <c r="A100" s="123" t="inlineStr">
        <is>
          <t>Peter Gibson</t>
        </is>
      </c>
      <c r="B100" s="124" t="inlineStr">
        <is>
          <t>07/15/2025</t>
        </is>
      </c>
      <c r="C100" s="125" t="inlineStr">
        <is>
          <t>vl189751</t>
        </is>
      </c>
      <c r="D100" s="126" t="inlineStr">
        <is>
          <t>Vivian</t>
        </is>
      </c>
      <c r="E100" s="127" t="inlineStr">
        <is>
          <t>SLP TW</t>
        </is>
      </c>
      <c r="F100" s="128" t="n">
        <v>30</v>
      </c>
      <c r="G100" s="129" t="n"/>
      <c r="H100" s="130" t="n"/>
      <c r="I100" s="131" t="n"/>
      <c r="J100" s="131">
        <f>IF(COUNTIF(B100:E100,"*")=0,"",IF(T100=1,"Invalid Service",IF(AND(V100=1,F100=""),"Add Session Mins",IF(AND(E100&gt;0,H100="",T100=""),"Enter Contract Rate",IF(AND(E100="IEP mtg, prep, rept",F100&gt;0),(G100*H100),IF(AND(E100&gt;0,F100&gt;0,H100&gt;0,I100=""),"Enter Travel",IF(AND(F100&gt;0,I100="Y"),(G100*H100)+$M$10,IF(AND(F100&gt;0,I100="N"),(G100*H100),H100))))))))</f>
        <v/>
      </c>
      <c r="K100" s="132">
        <f>J100</f>
        <v/>
      </c>
      <c r="L100" s="148" t="n"/>
      <c r="M100" s="148" t="n"/>
      <c r="N100" s="148" t="n"/>
      <c r="O100" s="87" t="n"/>
      <c r="P100" s="81" t="n"/>
      <c r="Q100" s="81" t="n"/>
      <c r="R100" s="81" t="n"/>
      <c r="S100" s="81" t="n"/>
      <c r="T100" s="136">
        <f>IF(AND(E100&gt;0,U100=0),1,"")</f>
        <v/>
      </c>
      <c r="U100" s="136">
        <f>SUM(X100:AR100)</f>
        <v/>
      </c>
      <c r="V100" s="136">
        <f>IF(E100=$Q$16,0,SUM(X100:AI100))</f>
        <v/>
      </c>
      <c r="W100" s="136">
        <f>SUM(AK100:AR100)</f>
        <v/>
      </c>
      <c r="X100" s="136">
        <f>IF(E100=$X$6,1,"")</f>
        <v/>
      </c>
      <c r="Y100" s="136">
        <f>IF(E100=$Y$6,1,"")</f>
        <v/>
      </c>
      <c r="Z100" s="136">
        <f>IF(E100=$Z$6,1,"")</f>
        <v/>
      </c>
      <c r="AA100" s="136">
        <f>IF(E100=$AA$6,1,"")</f>
        <v/>
      </c>
      <c r="AB100" s="136">
        <f>IF(E100=$AB$6,1,"")</f>
        <v/>
      </c>
      <c r="AC100" s="136">
        <f>IF(E100=$AC$6,1,"")</f>
        <v/>
      </c>
      <c r="AD100" s="136">
        <f>IF(E100=$AD$6,1,"")</f>
        <v/>
      </c>
      <c r="AE100" s="136">
        <f>IF(E100=$AE$6,1,"")</f>
        <v/>
      </c>
      <c r="AF100" s="136">
        <f>IF(E100=$AF$6,1,"")</f>
        <v/>
      </c>
      <c r="AG100" s="136">
        <f>IF(E100=$AG$6,1,"")</f>
        <v/>
      </c>
      <c r="AH100" s="136">
        <f>IF(E100=$AH$6,1,"")</f>
        <v/>
      </c>
      <c r="AI100" s="136">
        <f>IF(E100=$AI$6,1,"")</f>
        <v/>
      </c>
      <c r="AJ100" s="136">
        <f>IF(E100=$AJ$6,1,"")</f>
        <v/>
      </c>
      <c r="AK100" s="81">
        <f>IF(E100=$AK$6,1,"")</f>
        <v/>
      </c>
      <c r="AL100" s="81">
        <f>IF(E100=$AL$6,1,"")</f>
        <v/>
      </c>
      <c r="AM100" s="81">
        <f>IF(E100=$AM$6,1,"")</f>
        <v/>
      </c>
      <c r="AN100" s="81">
        <f>IF(E100=$AN$6,1,"")</f>
        <v/>
      </c>
      <c r="AO100" s="81">
        <f>IF(E100=$AO$6,1,"")</f>
        <v/>
      </c>
      <c r="AP100" s="81">
        <f>IF(E100=$AP$6,1,"")</f>
        <v/>
      </c>
      <c r="AQ100" s="81">
        <f>IF(E100=$AQ$6,1,"")</f>
        <v/>
      </c>
      <c r="AR100" s="81">
        <f>IF(E100=$AR$6,1,"")</f>
        <v/>
      </c>
      <c r="AS100" s="81" t="n"/>
    </row>
    <row r="101" ht="15.75" customHeight="1" s="80">
      <c r="A101" s="123" t="inlineStr">
        <is>
          <t>Peter Gibson</t>
        </is>
      </c>
      <c r="B101" s="124" t="inlineStr">
        <is>
          <t>07/22/2025</t>
        </is>
      </c>
      <c r="C101" s="125" t="inlineStr">
        <is>
          <t>vl189751</t>
        </is>
      </c>
      <c r="D101" s="126" t="inlineStr">
        <is>
          <t>Vivian</t>
        </is>
      </c>
      <c r="E101" s="127" t="inlineStr">
        <is>
          <t>SLP TW</t>
        </is>
      </c>
      <c r="F101" s="128" t="n">
        <v>30</v>
      </c>
      <c r="G101" s="129" t="n"/>
      <c r="H101" s="130" t="n"/>
      <c r="I101" s="131" t="n"/>
      <c r="J101" s="131">
        <f>IF(COUNTIF(B101:E101,"*")=0,"",IF(T101=1,"Invalid Service",IF(AND(V101=1,F101=""),"Add Session Mins",IF(AND(E101&gt;0,H101="",T101=""),"Enter Contract Rate",IF(AND(E101="IEP mtg, prep, rept",F101&gt;0),(G101*H101),IF(AND(E101&gt;0,F101&gt;0,H101&gt;0,I101=""),"Enter Travel",IF(AND(F101&gt;0,I101="Y"),(G101*H101)+$M$10,IF(AND(F101&gt;0,I101="N"),(G101*H101),H101))))))))</f>
        <v/>
      </c>
      <c r="K101" s="132">
        <f>J101</f>
        <v/>
      </c>
      <c r="L101" s="148" t="n"/>
      <c r="M101" s="148" t="n"/>
      <c r="N101" s="148" t="n"/>
      <c r="O101" s="87" t="n"/>
      <c r="P101" s="81" t="n"/>
      <c r="Q101" s="81" t="n"/>
      <c r="R101" s="81" t="n"/>
      <c r="S101" s="81" t="n"/>
      <c r="T101" s="136">
        <f>IF(AND(E101&gt;0,U101=0),1,"")</f>
        <v/>
      </c>
      <c r="U101" s="136">
        <f>SUM(X101:AR101)</f>
        <v/>
      </c>
      <c r="V101" s="136">
        <f>IF(E101=$Q$16,0,SUM(X101:AI101))</f>
        <v/>
      </c>
      <c r="W101" s="136">
        <f>SUM(AK101:AR101)</f>
        <v/>
      </c>
      <c r="X101" s="136">
        <f>IF(E101=$X$6,1,"")</f>
        <v/>
      </c>
      <c r="Y101" s="136">
        <f>IF(E101=$Y$6,1,"")</f>
        <v/>
      </c>
      <c r="Z101" s="136">
        <f>IF(E101=$Z$6,1,"")</f>
        <v/>
      </c>
      <c r="AA101" s="136">
        <f>IF(E101=$AA$6,1,"")</f>
        <v/>
      </c>
      <c r="AB101" s="136">
        <f>IF(E101=$AB$6,1,"")</f>
        <v/>
      </c>
      <c r="AC101" s="136">
        <f>IF(E101=$AC$6,1,"")</f>
        <v/>
      </c>
      <c r="AD101" s="136">
        <f>IF(E101=$AD$6,1,"")</f>
        <v/>
      </c>
      <c r="AE101" s="136">
        <f>IF(E101=$AE$6,1,"")</f>
        <v/>
      </c>
      <c r="AF101" s="136">
        <f>IF(E101=$AF$6,1,"")</f>
        <v/>
      </c>
      <c r="AG101" s="136">
        <f>IF(E101=$AG$6,1,"")</f>
        <v/>
      </c>
      <c r="AH101" s="136">
        <f>IF(E101=$AH$6,1,"")</f>
        <v/>
      </c>
      <c r="AI101" s="136">
        <f>IF(E101=$AI$6,1,"")</f>
        <v/>
      </c>
      <c r="AJ101" s="136">
        <f>IF(E101=$AJ$6,1,"")</f>
        <v/>
      </c>
      <c r="AK101" s="81">
        <f>IF(E101=$AK$6,1,"")</f>
        <v/>
      </c>
      <c r="AL101" s="81">
        <f>IF(E101=$AL$6,1,"")</f>
        <v/>
      </c>
      <c r="AM101" s="81">
        <f>IF(E101=$AM$6,1,"")</f>
        <v/>
      </c>
      <c r="AN101" s="81">
        <f>IF(E101=$AN$6,1,"")</f>
        <v/>
      </c>
      <c r="AO101" s="81">
        <f>IF(E101=$AO$6,1,"")</f>
        <v/>
      </c>
      <c r="AP101" s="81">
        <f>IF(E101=$AP$6,1,"")</f>
        <v/>
      </c>
      <c r="AQ101" s="81">
        <f>IF(E101=$AQ$6,1,"")</f>
        <v/>
      </c>
      <c r="AR101" s="81">
        <f>IF(E101=$AR$6,1,"")</f>
        <v/>
      </c>
      <c r="AS101" s="81" t="n"/>
    </row>
    <row r="102" ht="15.75" customHeight="1" s="80">
      <c r="A102" s="123" t="inlineStr">
        <is>
          <t>Peter Gibson</t>
        </is>
      </c>
      <c r="B102" s="124" t="inlineStr">
        <is>
          <t>07/29/2025</t>
        </is>
      </c>
      <c r="C102" s="125" t="inlineStr">
        <is>
          <t>vl189751</t>
        </is>
      </c>
      <c r="D102" s="126" t="inlineStr">
        <is>
          <t>Vivian</t>
        </is>
      </c>
      <c r="E102" s="127" t="inlineStr">
        <is>
          <t>SLP TW</t>
        </is>
      </c>
      <c r="F102" s="128" t="n">
        <v>30</v>
      </c>
      <c r="G102" s="129" t="n"/>
      <c r="H102" s="130" t="n"/>
      <c r="I102" s="131" t="n"/>
      <c r="J102" s="131">
        <f>IF(COUNTIF(B102:E102,"*")=0,"",IF(T102=1,"Invalid Service",IF(AND(V102=1,F102=""),"Add Session Mins",IF(AND(E102&gt;0,H102="",T102=""),"Enter Contract Rate",IF(AND(E102="IEP mtg, prep, rept",F102&gt;0),(G102*H102),IF(AND(E102&gt;0,F102&gt;0,H102&gt;0,I102=""),"Enter Travel",IF(AND(F102&gt;0,I102="Y"),(G102*H102)+$M$10,IF(AND(F102&gt;0,I102="N"),(G102*H102),H102))))))))</f>
        <v/>
      </c>
      <c r="K102" s="132">
        <f>J102</f>
        <v/>
      </c>
      <c r="L102" s="148" t="n"/>
      <c r="M102" s="148" t="n"/>
      <c r="N102" s="148" t="n"/>
      <c r="O102" s="87" t="n"/>
      <c r="P102" s="81" t="n"/>
      <c r="Q102" s="81" t="n"/>
      <c r="R102" s="81" t="n"/>
      <c r="S102" s="81" t="n"/>
      <c r="T102" s="136">
        <f>IF(AND(E102&gt;0,U102=0),1,"")</f>
        <v/>
      </c>
      <c r="U102" s="136">
        <f>SUM(X102:AR102)</f>
        <v/>
      </c>
      <c r="V102" s="136">
        <f>IF(E102=$Q$16,0,SUM(X102:AI102))</f>
        <v/>
      </c>
      <c r="W102" s="136">
        <f>SUM(AK102:AR102)</f>
        <v/>
      </c>
      <c r="X102" s="136">
        <f>IF(E102=$X$6,1,"")</f>
        <v/>
      </c>
      <c r="Y102" s="136">
        <f>IF(E102=$Y$6,1,"")</f>
        <v/>
      </c>
      <c r="Z102" s="136">
        <f>IF(E102=$Z$6,1,"")</f>
        <v/>
      </c>
      <c r="AA102" s="136">
        <f>IF(E102=$AA$6,1,"")</f>
        <v/>
      </c>
      <c r="AB102" s="136">
        <f>IF(E102=$AB$6,1,"")</f>
        <v/>
      </c>
      <c r="AC102" s="136">
        <f>IF(E102=$AC$6,1,"")</f>
        <v/>
      </c>
      <c r="AD102" s="136">
        <f>IF(E102=$AD$6,1,"")</f>
        <v/>
      </c>
      <c r="AE102" s="136">
        <f>IF(E102=$AE$6,1,"")</f>
        <v/>
      </c>
      <c r="AF102" s="136">
        <f>IF(E102=$AF$6,1,"")</f>
        <v/>
      </c>
      <c r="AG102" s="136">
        <f>IF(E102=$AG$6,1,"")</f>
        <v/>
      </c>
      <c r="AH102" s="136">
        <f>IF(E102=$AH$6,1,"")</f>
        <v/>
      </c>
      <c r="AI102" s="136">
        <f>IF(E102=$AI$6,1,"")</f>
        <v/>
      </c>
      <c r="AJ102" s="136">
        <f>IF(E102=$AJ$6,1,"")</f>
        <v/>
      </c>
      <c r="AK102" s="81">
        <f>IF(E102=$AK$6,1,"")</f>
        <v/>
      </c>
      <c r="AL102" s="81">
        <f>IF(E102=$AL$6,1,"")</f>
        <v/>
      </c>
      <c r="AM102" s="81">
        <f>IF(E102=$AM$6,1,"")</f>
        <v/>
      </c>
      <c r="AN102" s="81">
        <f>IF(E102=$AN$6,1,"")</f>
        <v/>
      </c>
      <c r="AO102" s="81">
        <f>IF(E102=$AO$6,1,"")</f>
        <v/>
      </c>
      <c r="AP102" s="81">
        <f>IF(E102=$AP$6,1,"")</f>
        <v/>
      </c>
      <c r="AQ102" s="81">
        <f>IF(E102=$AQ$6,1,"")</f>
        <v/>
      </c>
      <c r="AR102" s="81">
        <f>IF(E102=$AR$6,1,"")</f>
        <v/>
      </c>
      <c r="AS102" s="81" t="n"/>
    </row>
    <row r="103" ht="15.75" customHeight="1" s="80">
      <c r="A103" s="157" t="n"/>
      <c r="B103" s="124" t="n"/>
      <c r="C103" s="125" t="n"/>
      <c r="D103" s="126" t="n"/>
      <c r="E103" s="127" t="n"/>
      <c r="F103" s="128" t="n"/>
      <c r="G103" s="129" t="n"/>
      <c r="H103" s="130" t="n"/>
      <c r="I103" s="131" t="n"/>
      <c r="J103" s="130">
        <f>IF(COUNTIF(B103:E103,"*")=0,"",IF(T103=1,"Invalid Service",IF(AND(V103=1,F103=""),"Add Session Mins",IF(AND(E103&gt;0,H103="",T103=""),"Enter Contract Rate",IF(AND(E103="IEP mtg, prep, rept",F103&gt;0),(G103*H103),IF(AND(E103&gt;0,F103&gt;0,H103&gt;0,I103=""),"Enter Travel",IF(AND(F103&gt;0,I103="Y"),(G103*H103)+$M$10,IF(AND(F103&gt;0,I103="N"),(G103*H103),H103))))))))</f>
        <v/>
      </c>
      <c r="K103" s="132">
        <f>J103</f>
        <v/>
      </c>
      <c r="L103" s="148" t="n"/>
      <c r="M103" s="148" t="n"/>
      <c r="N103" s="148" t="n"/>
      <c r="O103" s="87" t="n"/>
      <c r="P103" s="81" t="n"/>
      <c r="Q103" s="81" t="n"/>
      <c r="R103" s="81" t="n"/>
      <c r="S103" s="81" t="n"/>
      <c r="T103" s="136">
        <f>IF(AND(E103&gt;0,U103=0),1,"")</f>
        <v/>
      </c>
      <c r="U103" s="136">
        <f>SUM(X103:AR103)</f>
        <v/>
      </c>
      <c r="V103" s="136">
        <f>IF(E103=$Q$16,0,SUM(X103:AI103))</f>
        <v/>
      </c>
      <c r="W103" s="136">
        <f>SUM(AK103:AR103)</f>
        <v/>
      </c>
      <c r="X103" s="136">
        <f>IF(E103=$X$6,1,"")</f>
        <v/>
      </c>
      <c r="Y103" s="136">
        <f>IF(E103=$Y$6,1,"")</f>
        <v/>
      </c>
      <c r="Z103" s="136">
        <f>IF(E103=$Z$6,1,"")</f>
        <v/>
      </c>
      <c r="AA103" s="136">
        <f>IF(E103=$AA$6,1,"")</f>
        <v/>
      </c>
      <c r="AB103" s="136">
        <f>IF(E103=$AB$6,1,"")</f>
        <v/>
      </c>
      <c r="AC103" s="136">
        <f>IF(E103=$AC$6,1,"")</f>
        <v/>
      </c>
      <c r="AD103" s="136">
        <f>IF(E103=$AD$6,1,"")</f>
        <v/>
      </c>
      <c r="AE103" s="136">
        <f>IF(E103=$AE$6,1,"")</f>
        <v/>
      </c>
      <c r="AF103" s="136">
        <f>IF(E103=$AF$6,1,"")</f>
        <v/>
      </c>
      <c r="AG103" s="136">
        <f>IF(E103=$AG$6,1,"")</f>
        <v/>
      </c>
      <c r="AH103" s="136">
        <f>IF(E103=$AH$6,1,"")</f>
        <v/>
      </c>
      <c r="AI103" s="136">
        <f>IF(E103=$AI$6,1,"")</f>
        <v/>
      </c>
      <c r="AJ103" s="136">
        <f>IF(E103=$AJ$6,1,"")</f>
        <v/>
      </c>
      <c r="AK103" s="81">
        <f>IF(E103=$AK$6,1,"")</f>
        <v/>
      </c>
      <c r="AL103" s="81">
        <f>IF(E103=$AL$6,1,"")</f>
        <v/>
      </c>
      <c r="AM103" s="81">
        <f>IF(E103=$AM$6,1,"")</f>
        <v/>
      </c>
      <c r="AN103" s="81">
        <f>IF(E103=$AN$6,1,"")</f>
        <v/>
      </c>
      <c r="AO103" s="81">
        <f>IF(E103=$AO$6,1,"")</f>
        <v/>
      </c>
      <c r="AP103" s="81">
        <f>IF(E103=$AP$6,1,"")</f>
        <v/>
      </c>
      <c r="AQ103" s="81">
        <f>IF(E103=$AQ$6,1,"")</f>
        <v/>
      </c>
      <c r="AR103" s="81">
        <f>IF(E103=$AR$6,1,"")</f>
        <v/>
      </c>
      <c r="AS103" s="81" t="n"/>
    </row>
    <row r="104" ht="15.75" customHeight="1" s="80">
      <c r="A104" s="157" t="n"/>
      <c r="B104" s="124" t="n"/>
      <c r="C104" s="125" t="n"/>
      <c r="D104" s="126" t="n"/>
      <c r="E104" s="127" t="n"/>
      <c r="F104" s="128" t="n"/>
      <c r="G104" s="129" t="n"/>
      <c r="H104" s="130" t="n"/>
      <c r="I104" s="131" t="n"/>
      <c r="J104" s="131">
        <f>IF(COUNTIF(B104:E104,"*")=0,"",IF(T104=1,"Invalid Service",IF(AND(V104=1,F104=""),"Add Session Mins",IF(AND(E104&gt;0,H104="",T104=""),"Enter Contract Rate",IF(AND(E104="IEP mtg, prep, rept",F104&gt;0),(G104*H104),IF(AND(E104&gt;0,F104&gt;0,H104&gt;0,I104=""),"Enter Travel",IF(AND(F104&gt;0,I104="Y"),(G104*H104)+$M$10,IF(AND(F104&gt;0,I104="N"),(G104*H104),H104))))))))</f>
        <v/>
      </c>
      <c r="K104" s="132">
        <f>J104</f>
        <v/>
      </c>
      <c r="L104" s="148" t="n"/>
      <c r="M104" s="148" t="n"/>
      <c r="N104" s="148" t="n"/>
      <c r="O104" s="87" t="n"/>
      <c r="P104" s="81" t="n"/>
      <c r="Q104" s="81" t="n"/>
      <c r="R104" s="81" t="n"/>
      <c r="S104" s="81" t="n"/>
      <c r="T104" s="136">
        <f>IF(AND(E104&gt;0,U104=0),1,"")</f>
        <v/>
      </c>
      <c r="U104" s="136">
        <f>SUM(X104:AR104)</f>
        <v/>
      </c>
      <c r="V104" s="136">
        <f>IF(E104=$Q$16,0,SUM(X104:AI104))</f>
        <v/>
      </c>
      <c r="W104" s="136">
        <f>SUM(AK104:AR104)</f>
        <v/>
      </c>
      <c r="X104" s="136">
        <f>IF(E104=$X$6,1,"")</f>
        <v/>
      </c>
      <c r="Y104" s="136">
        <f>IF(E104=$Y$6,1,"")</f>
        <v/>
      </c>
      <c r="Z104" s="136">
        <f>IF(E104=$Z$6,1,"")</f>
        <v/>
      </c>
      <c r="AA104" s="136">
        <f>IF(E104=$AA$6,1,"")</f>
        <v/>
      </c>
      <c r="AB104" s="136">
        <f>IF(E104=$AB$6,1,"")</f>
        <v/>
      </c>
      <c r="AC104" s="136">
        <f>IF(E104=$AC$6,1,"")</f>
        <v/>
      </c>
      <c r="AD104" s="136">
        <f>IF(E104=$AD$6,1,"")</f>
        <v/>
      </c>
      <c r="AE104" s="136">
        <f>IF(E104=$AE$6,1,"")</f>
        <v/>
      </c>
      <c r="AF104" s="136">
        <f>IF(E104=$AF$6,1,"")</f>
        <v/>
      </c>
      <c r="AG104" s="136">
        <f>IF(E104=$AG$6,1,"")</f>
        <v/>
      </c>
      <c r="AH104" s="136">
        <f>IF(E104=$AH$6,1,"")</f>
        <v/>
      </c>
      <c r="AI104" s="136">
        <f>IF(E104=$AI$6,1,"")</f>
        <v/>
      </c>
      <c r="AJ104" s="136">
        <f>IF(E104=$AJ$6,1,"")</f>
        <v/>
      </c>
      <c r="AK104" s="81">
        <f>IF(E104=$AK$6,1,"")</f>
        <v/>
      </c>
      <c r="AL104" s="81">
        <f>IF(E104=$AL$6,1,"")</f>
        <v/>
      </c>
      <c r="AM104" s="81">
        <f>IF(E104=$AM$6,1,"")</f>
        <v/>
      </c>
      <c r="AN104" s="81">
        <f>IF(E104=$AN$6,1,"")</f>
        <v/>
      </c>
      <c r="AO104" s="81">
        <f>IF(E104=$AO$6,1,"")</f>
        <v/>
      </c>
      <c r="AP104" s="81">
        <f>IF(E104=$AP$6,1,"")</f>
        <v/>
      </c>
      <c r="AQ104" s="81">
        <f>IF(E104=$AQ$6,1,"")</f>
        <v/>
      </c>
      <c r="AR104" s="81">
        <f>IF(E104=$AR$6,1,"")</f>
        <v/>
      </c>
      <c r="AS104" s="81" t="n"/>
    </row>
    <row r="105" ht="15.75" customHeight="1" s="80">
      <c r="A105" s="157" t="n"/>
      <c r="B105" s="124" t="n"/>
      <c r="C105" s="125" t="n"/>
      <c r="D105" s="126" t="n"/>
      <c r="E105" s="127" t="n"/>
      <c r="F105" s="128" t="n"/>
      <c r="G105" s="129" t="n"/>
      <c r="H105" s="130" t="n"/>
      <c r="I105" s="131" t="n"/>
      <c r="J105" s="131">
        <f>IF(COUNTIF(B105:E105,"*")=0,"",IF(T105=1,"Invalid Service",IF(AND(V105=1,F105=""),"Add Session Mins",IF(AND(E105&gt;0,H105="",T105=""),"Enter Contract Rate",IF(AND(E105="IEP mtg, prep, rept",F105&gt;0),(G105*H105),IF(AND(E105&gt;0,F105&gt;0,H105&gt;0,I105=""),"Enter Travel",IF(AND(F105&gt;0,I105="Y"),(G105*H105)+$M$10,IF(AND(F105&gt;0,I105="N"),(G105*H105),H105))))))))</f>
        <v/>
      </c>
      <c r="K105" s="132">
        <f>J105</f>
        <v/>
      </c>
      <c r="L105" s="148" t="n"/>
      <c r="M105" s="148" t="n"/>
      <c r="N105" s="148" t="n"/>
      <c r="O105" s="87" t="n"/>
      <c r="P105" s="81" t="n"/>
      <c r="Q105" s="81" t="n"/>
      <c r="R105" s="81" t="n"/>
      <c r="S105" s="81" t="n"/>
      <c r="T105" s="136">
        <f>IF(AND(E105&gt;0,U105=0),1,"")</f>
        <v/>
      </c>
      <c r="U105" s="136">
        <f>SUM(X105:AR105)</f>
        <v/>
      </c>
      <c r="V105" s="136">
        <f>IF(E105=$Q$16,0,SUM(X105:AI105))</f>
        <v/>
      </c>
      <c r="W105" s="136">
        <f>SUM(AK105:AR105)</f>
        <v/>
      </c>
      <c r="X105" s="136">
        <f>IF(E105=$X$6,1,"")</f>
        <v/>
      </c>
      <c r="Y105" s="136">
        <f>IF(E105=$Y$6,1,"")</f>
        <v/>
      </c>
      <c r="Z105" s="136">
        <f>IF(E105=$Z$6,1,"")</f>
        <v/>
      </c>
      <c r="AA105" s="136">
        <f>IF(E105=$AA$6,1,"")</f>
        <v/>
      </c>
      <c r="AB105" s="136">
        <f>IF(E105=$AB$6,1,"")</f>
        <v/>
      </c>
      <c r="AC105" s="136">
        <f>IF(E105=$AC$6,1,"")</f>
        <v/>
      </c>
      <c r="AD105" s="136">
        <f>IF(E105=$AD$6,1,"")</f>
        <v/>
      </c>
      <c r="AE105" s="136">
        <f>IF(E105=$AE$6,1,"")</f>
        <v/>
      </c>
      <c r="AF105" s="136">
        <f>IF(E105=$AF$6,1,"")</f>
        <v/>
      </c>
      <c r="AG105" s="136">
        <f>IF(E105=$AG$6,1,"")</f>
        <v/>
      </c>
      <c r="AH105" s="136">
        <f>IF(E105=$AH$6,1,"")</f>
        <v/>
      </c>
      <c r="AI105" s="136">
        <f>IF(E105=$AI$6,1,"")</f>
        <v/>
      </c>
      <c r="AJ105" s="136">
        <f>IF(E105=$AJ$6,1,"")</f>
        <v/>
      </c>
      <c r="AK105" s="81">
        <f>IF(E105=$AK$6,1,"")</f>
        <v/>
      </c>
      <c r="AL105" s="81">
        <f>IF(E105=$AL$6,1,"")</f>
        <v/>
      </c>
      <c r="AM105" s="81">
        <f>IF(E105=$AM$6,1,"")</f>
        <v/>
      </c>
      <c r="AN105" s="81">
        <f>IF(E105=$AN$6,1,"")</f>
        <v/>
      </c>
      <c r="AO105" s="81">
        <f>IF(E105=$AO$6,1,"")</f>
        <v/>
      </c>
      <c r="AP105" s="81">
        <f>IF(E105=$AP$6,1,"")</f>
        <v/>
      </c>
      <c r="AQ105" s="81">
        <f>IF(E105=$AQ$6,1,"")</f>
        <v/>
      </c>
      <c r="AR105" s="81">
        <f>IF(E105=$AR$6,1,"")</f>
        <v/>
      </c>
      <c r="AS105" s="81" t="n"/>
    </row>
    <row r="106" ht="15.75" customHeight="1" s="80">
      <c r="A106" s="157" t="n"/>
      <c r="B106" s="124" t="n"/>
      <c r="C106" s="125" t="n"/>
      <c r="D106" s="126" t="n"/>
      <c r="E106" s="127" t="n"/>
      <c r="F106" s="128" t="n"/>
      <c r="G106" s="129" t="n"/>
      <c r="H106" s="130" t="n"/>
      <c r="I106" s="131" t="n"/>
      <c r="J106" s="131">
        <f>IF(COUNTIF(B106:E106,"*")=0,"",IF(T106=1,"Invalid Service",IF(AND(V106=1,F106=""),"Add Session Mins",IF(AND(E106&gt;0,H106="",T106=""),"Enter Contract Rate",IF(AND(E106="IEP mtg, prep, rept",F106&gt;0),(G106*H106),IF(AND(E106&gt;0,F106&gt;0,H106&gt;0,I106=""),"Enter Travel",IF(AND(F106&gt;0,I106="Y"),(G106*H106)+$M$10,IF(AND(F106&gt;0,I106="N"),(G106*H106),H106))))))))</f>
        <v/>
      </c>
      <c r="K106" s="132">
        <f>J106</f>
        <v/>
      </c>
      <c r="L106" s="148" t="n"/>
      <c r="M106" s="148" t="n"/>
      <c r="N106" s="148" t="n"/>
      <c r="O106" s="87" t="n"/>
      <c r="P106" s="81" t="n"/>
      <c r="Q106" s="81" t="n"/>
      <c r="R106" s="81" t="n"/>
      <c r="S106" s="81" t="n"/>
      <c r="T106" s="136">
        <f>IF(AND(E106&gt;0,U106=0),1,"")</f>
        <v/>
      </c>
      <c r="U106" s="136">
        <f>SUM(X106:AR106)</f>
        <v/>
      </c>
      <c r="V106" s="136">
        <f>IF(E106=$Q$16,0,SUM(X106:AI106))</f>
        <v/>
      </c>
      <c r="W106" s="136">
        <f>SUM(AK106:AR106)</f>
        <v/>
      </c>
      <c r="X106" s="136">
        <f>IF(E106=$X$6,1,"")</f>
        <v/>
      </c>
      <c r="Y106" s="136">
        <f>IF(E106=$Y$6,1,"")</f>
        <v/>
      </c>
      <c r="Z106" s="136">
        <f>IF(E106=$Z$6,1,"")</f>
        <v/>
      </c>
      <c r="AA106" s="136">
        <f>IF(E106=$AA$6,1,"")</f>
        <v/>
      </c>
      <c r="AB106" s="136">
        <f>IF(E106=$AB$6,1,"")</f>
        <v/>
      </c>
      <c r="AC106" s="136">
        <f>IF(E106=$AC$6,1,"")</f>
        <v/>
      </c>
      <c r="AD106" s="136">
        <f>IF(E106=$AD$6,1,"")</f>
        <v/>
      </c>
      <c r="AE106" s="136">
        <f>IF(E106=$AE$6,1,"")</f>
        <v/>
      </c>
      <c r="AF106" s="136">
        <f>IF(E106=$AF$6,1,"")</f>
        <v/>
      </c>
      <c r="AG106" s="136">
        <f>IF(E106=$AG$6,1,"")</f>
        <v/>
      </c>
      <c r="AH106" s="136">
        <f>IF(E106=$AH$6,1,"")</f>
        <v/>
      </c>
      <c r="AI106" s="136">
        <f>IF(E106=$AI$6,1,"")</f>
        <v/>
      </c>
      <c r="AJ106" s="136">
        <f>IF(E106=$AJ$6,1,"")</f>
        <v/>
      </c>
      <c r="AK106" s="81">
        <f>IF(E106=$AK$6,1,"")</f>
        <v/>
      </c>
      <c r="AL106" s="81">
        <f>IF(E106=$AL$6,1,"")</f>
        <v/>
      </c>
      <c r="AM106" s="81">
        <f>IF(E106=$AM$6,1,"")</f>
        <v/>
      </c>
      <c r="AN106" s="81">
        <f>IF(E106=$AN$6,1,"")</f>
        <v/>
      </c>
      <c r="AO106" s="81">
        <f>IF(E106=$AO$6,1,"")</f>
        <v/>
      </c>
      <c r="AP106" s="81">
        <f>IF(E106=$AP$6,1,"")</f>
        <v/>
      </c>
      <c r="AQ106" s="81">
        <f>IF(E106=$AQ$6,1,"")</f>
        <v/>
      </c>
      <c r="AR106" s="81">
        <f>IF(E106=$AR$6,1,"")</f>
        <v/>
      </c>
      <c r="AS106" s="81" t="n"/>
    </row>
    <row r="107" ht="15.75" customHeight="1" s="80">
      <c r="A107" s="157" t="n"/>
      <c r="B107" s="124" t="n"/>
      <c r="C107" s="125" t="n"/>
      <c r="D107" s="126" t="n"/>
      <c r="E107" s="127" t="n"/>
      <c r="F107" s="128" t="n"/>
      <c r="G107" s="129" t="n"/>
      <c r="H107" s="130" t="n"/>
      <c r="I107" s="131" t="n"/>
      <c r="J107" s="130">
        <f>IF(COUNTIF(B107:E107,"*")=0,"",IF(T107=1,"Invalid Service",IF(AND(V107=1,F107=""),"Add Session Mins",IF(AND(E107&gt;0,H107="",T107=""),"Enter Contract Rate",IF(AND(E107="IEP mtg, prep, rept",F107&gt;0),(G107*H107),IF(AND(E107&gt;0,F107&gt;0,H107&gt;0,I107=""),"Enter Travel",IF(AND(F107&gt;0,I107="Y"),(G107*H107)+$M$10,IF(AND(F107&gt;0,I107="N"),(G107*H107),H107))))))))</f>
        <v/>
      </c>
      <c r="K107" s="132">
        <f>J107</f>
        <v/>
      </c>
      <c r="L107" s="148" t="n"/>
      <c r="M107" s="148" t="n"/>
      <c r="N107" s="148" t="n"/>
      <c r="O107" s="87" t="n"/>
      <c r="P107" s="81" t="n"/>
      <c r="Q107" s="81" t="n"/>
      <c r="R107" s="81" t="n"/>
      <c r="S107" s="81" t="n"/>
      <c r="T107" s="136">
        <f>IF(AND(E107&gt;0,U107=0),1,"")</f>
        <v/>
      </c>
      <c r="U107" s="136">
        <f>SUM(X107:AR107)</f>
        <v/>
      </c>
      <c r="V107" s="136">
        <f>IF(E107=$Q$16,0,SUM(X107:AI107))</f>
        <v/>
      </c>
      <c r="W107" s="136">
        <f>SUM(AK107:AR107)</f>
        <v/>
      </c>
      <c r="X107" s="136">
        <f>IF(E107=$X$6,1,"")</f>
        <v/>
      </c>
      <c r="Y107" s="136">
        <f>IF(E107=$Y$6,1,"")</f>
        <v/>
      </c>
      <c r="Z107" s="136">
        <f>IF(E107=$Z$6,1,"")</f>
        <v/>
      </c>
      <c r="AA107" s="136">
        <f>IF(E107=$AA$6,1,"")</f>
        <v/>
      </c>
      <c r="AB107" s="136">
        <f>IF(E107=$AB$6,1,"")</f>
        <v/>
      </c>
      <c r="AC107" s="136">
        <f>IF(E107=$AC$6,1,"")</f>
        <v/>
      </c>
      <c r="AD107" s="136">
        <f>IF(E107=$AD$6,1,"")</f>
        <v/>
      </c>
      <c r="AE107" s="136">
        <f>IF(E107=$AE$6,1,"")</f>
        <v/>
      </c>
      <c r="AF107" s="136">
        <f>IF(E107=$AF$6,1,"")</f>
        <v/>
      </c>
      <c r="AG107" s="136">
        <f>IF(E107=$AG$6,1,"")</f>
        <v/>
      </c>
      <c r="AH107" s="136">
        <f>IF(E107=$AH$6,1,"")</f>
        <v/>
      </c>
      <c r="AI107" s="136">
        <f>IF(E107=$AI$6,1,"")</f>
        <v/>
      </c>
      <c r="AJ107" s="136">
        <f>IF(E107=$AJ$6,1,"")</f>
        <v/>
      </c>
      <c r="AK107" s="81">
        <f>IF(E107=$AK$6,1,"")</f>
        <v/>
      </c>
      <c r="AL107" s="81">
        <f>IF(E107=$AL$6,1,"")</f>
        <v/>
      </c>
      <c r="AM107" s="81">
        <f>IF(E107=$AM$6,1,"")</f>
        <v/>
      </c>
      <c r="AN107" s="81">
        <f>IF(E107=$AN$6,1,"")</f>
        <v/>
      </c>
      <c r="AO107" s="81">
        <f>IF(E107=$AO$6,1,"")</f>
        <v/>
      </c>
      <c r="AP107" s="81">
        <f>IF(E107=$AP$6,1,"")</f>
        <v/>
      </c>
      <c r="AQ107" s="81">
        <f>IF(E107=$AQ$6,1,"")</f>
        <v/>
      </c>
      <c r="AR107" s="81">
        <f>IF(E107=$AR$6,1,"")</f>
        <v/>
      </c>
      <c r="AS107" s="81" t="n"/>
    </row>
    <row r="108" ht="15.75" customHeight="1" s="80">
      <c r="A108" s="157" t="n"/>
      <c r="B108" s="124" t="n"/>
      <c r="C108" s="125" t="n"/>
      <c r="D108" s="126" t="n"/>
      <c r="E108" s="127" t="n"/>
      <c r="F108" s="128" t="n"/>
      <c r="G108" s="129" t="n"/>
      <c r="H108" s="130" t="n"/>
      <c r="I108" s="131" t="n"/>
      <c r="J108" s="131">
        <f>IF(COUNTIF(B108:E108,"*")=0,"",IF(T108=1,"Invalid Service",IF(AND(V108=1,F108=""),"Add Session Mins",IF(AND(E108&gt;0,H108="",T108=""),"Enter Contract Rate",IF(AND(E108="IEP mtg, prep, rept",F108&gt;0),(G108*H108),IF(AND(E108&gt;0,F108&gt;0,H108&gt;0,I108=""),"Enter Travel",IF(AND(F108&gt;0,I108="Y"),(G108*H108)+$M$10,IF(AND(F108&gt;0,I108="N"),(G108*H108),H108))))))))</f>
        <v/>
      </c>
      <c r="K108" s="132">
        <f>J108</f>
        <v/>
      </c>
      <c r="L108" s="148" t="n"/>
      <c r="M108" s="148" t="n"/>
      <c r="N108" s="148" t="n"/>
      <c r="O108" s="87" t="n"/>
      <c r="P108" s="81" t="n"/>
      <c r="Q108" s="81" t="n"/>
      <c r="R108" s="81" t="n"/>
      <c r="S108" s="81" t="n"/>
      <c r="T108" s="136">
        <f>IF(AND(E108&gt;0,U108=0),1,"")</f>
        <v/>
      </c>
      <c r="U108" s="136">
        <f>SUM(X108:AR108)</f>
        <v/>
      </c>
      <c r="V108" s="136">
        <f>IF(E108=$Q$16,0,SUM(X108:AI108))</f>
        <v/>
      </c>
      <c r="W108" s="136">
        <f>SUM(AK108:AR108)</f>
        <v/>
      </c>
      <c r="X108" s="136">
        <f>IF(E108=$X$6,1,"")</f>
        <v/>
      </c>
      <c r="Y108" s="136">
        <f>IF(E108=$Y$6,1,"")</f>
        <v/>
      </c>
      <c r="Z108" s="136">
        <f>IF(E108=$Z$6,1,"")</f>
        <v/>
      </c>
      <c r="AA108" s="136">
        <f>IF(E108=$AA$6,1,"")</f>
        <v/>
      </c>
      <c r="AB108" s="136">
        <f>IF(E108=$AB$6,1,"")</f>
        <v/>
      </c>
      <c r="AC108" s="136">
        <f>IF(E108=$AC$6,1,"")</f>
        <v/>
      </c>
      <c r="AD108" s="136">
        <f>IF(E108=$AD$6,1,"")</f>
        <v/>
      </c>
      <c r="AE108" s="136">
        <f>IF(E108=$AE$6,1,"")</f>
        <v/>
      </c>
      <c r="AF108" s="136">
        <f>IF(E108=$AF$6,1,"")</f>
        <v/>
      </c>
      <c r="AG108" s="136">
        <f>IF(E108=$AG$6,1,"")</f>
        <v/>
      </c>
      <c r="AH108" s="136">
        <f>IF(E108=$AH$6,1,"")</f>
        <v/>
      </c>
      <c r="AI108" s="136">
        <f>IF(E108=$AI$6,1,"")</f>
        <v/>
      </c>
      <c r="AJ108" s="136">
        <f>IF(E108=$AJ$6,1,"")</f>
        <v/>
      </c>
      <c r="AK108" s="81">
        <f>IF(E108=$AK$6,1,"")</f>
        <v/>
      </c>
      <c r="AL108" s="81">
        <f>IF(E108=$AL$6,1,"")</f>
        <v/>
      </c>
      <c r="AM108" s="81">
        <f>IF(E108=$AM$6,1,"")</f>
        <v/>
      </c>
      <c r="AN108" s="81">
        <f>IF(E108=$AN$6,1,"")</f>
        <v/>
      </c>
      <c r="AO108" s="81">
        <f>IF(E108=$AO$6,1,"")</f>
        <v/>
      </c>
      <c r="AP108" s="81">
        <f>IF(E108=$AP$6,1,"")</f>
        <v/>
      </c>
      <c r="AQ108" s="81">
        <f>IF(E108=$AQ$6,1,"")</f>
        <v/>
      </c>
      <c r="AR108" s="81">
        <f>IF(E108=$AR$6,1,"")</f>
        <v/>
      </c>
      <c r="AS108" s="81" t="n"/>
    </row>
    <row r="109" ht="15.75" customHeight="1" s="80">
      <c r="A109" s="157" t="n"/>
      <c r="B109" s="124" t="n"/>
      <c r="C109" s="125" t="n"/>
      <c r="D109" s="126" t="n"/>
      <c r="E109" s="127" t="n"/>
      <c r="F109" s="128" t="n"/>
      <c r="G109" s="129" t="n"/>
      <c r="H109" s="130" t="n"/>
      <c r="I109" s="131" t="n"/>
      <c r="J109" s="131">
        <f>IF(COUNTIF(B109:E109,"*")=0,"",IF(T109=1,"Invalid Service",IF(AND(V109=1,F109=""),"Add Session Mins",IF(AND(E109&gt;0,H109="",T109=""),"Enter Contract Rate",IF(AND(E109="IEP mtg, prep, rept",F109&gt;0),(G109*H109),IF(AND(E109&gt;0,F109&gt;0,H109&gt;0,I109=""),"Enter Travel",IF(AND(F109&gt;0,I109="Y"),(G109*H109)+$M$10,IF(AND(F109&gt;0,I109="N"),(G109*H109),H109))))))))</f>
        <v/>
      </c>
      <c r="K109" s="132">
        <f>J109</f>
        <v/>
      </c>
      <c r="L109" s="148" t="n"/>
      <c r="M109" s="148" t="n"/>
      <c r="N109" s="148" t="n"/>
      <c r="O109" s="87" t="n"/>
      <c r="P109" s="81" t="n"/>
      <c r="Q109" s="81" t="n"/>
      <c r="R109" s="81" t="n"/>
      <c r="S109" s="81" t="n"/>
      <c r="T109" s="136">
        <f>IF(AND(E109&gt;0,U109=0),1,"")</f>
        <v/>
      </c>
      <c r="U109" s="136">
        <f>SUM(X109:AR109)</f>
        <v/>
      </c>
      <c r="V109" s="136">
        <f>IF(E109=$Q$16,0,SUM(X109:AI109))</f>
        <v/>
      </c>
      <c r="W109" s="136">
        <f>SUM(AK109:AR109)</f>
        <v/>
      </c>
      <c r="X109" s="136">
        <f>IF(E109=$X$6,1,"")</f>
        <v/>
      </c>
      <c r="Y109" s="136">
        <f>IF(E109=$Y$6,1,"")</f>
        <v/>
      </c>
      <c r="Z109" s="136">
        <f>IF(E109=$Z$6,1,"")</f>
        <v/>
      </c>
      <c r="AA109" s="136">
        <f>IF(E109=$AA$6,1,"")</f>
        <v/>
      </c>
      <c r="AB109" s="136">
        <f>IF(E109=$AB$6,1,"")</f>
        <v/>
      </c>
      <c r="AC109" s="136">
        <f>IF(E109=$AC$6,1,"")</f>
        <v/>
      </c>
      <c r="AD109" s="136">
        <f>IF(E109=$AD$6,1,"")</f>
        <v/>
      </c>
      <c r="AE109" s="136">
        <f>IF(E109=$AE$6,1,"")</f>
        <v/>
      </c>
      <c r="AF109" s="136">
        <f>IF(E109=$AF$6,1,"")</f>
        <v/>
      </c>
      <c r="AG109" s="136">
        <f>IF(E109=$AG$6,1,"")</f>
        <v/>
      </c>
      <c r="AH109" s="136">
        <f>IF(E109=$AH$6,1,"")</f>
        <v/>
      </c>
      <c r="AI109" s="136">
        <f>IF(E109=$AI$6,1,"")</f>
        <v/>
      </c>
      <c r="AJ109" s="136">
        <f>IF(E109=$AJ$6,1,"")</f>
        <v/>
      </c>
      <c r="AK109" s="81">
        <f>IF(E109=$AK$6,1,"")</f>
        <v/>
      </c>
      <c r="AL109" s="81">
        <f>IF(E109=$AL$6,1,"")</f>
        <v/>
      </c>
      <c r="AM109" s="81">
        <f>IF(E109=$AM$6,1,"")</f>
        <v/>
      </c>
      <c r="AN109" s="81">
        <f>IF(E109=$AN$6,1,"")</f>
        <v/>
      </c>
      <c r="AO109" s="81">
        <f>IF(E109=$AO$6,1,"")</f>
        <v/>
      </c>
      <c r="AP109" s="81">
        <f>IF(E109=$AP$6,1,"")</f>
        <v/>
      </c>
      <c r="AQ109" s="81">
        <f>IF(E109=$AQ$6,1,"")</f>
        <v/>
      </c>
      <c r="AR109" s="81">
        <f>IF(E109=$AR$6,1,"")</f>
        <v/>
      </c>
      <c r="AS109" s="81" t="n"/>
    </row>
    <row r="110" ht="15.75" customHeight="1" s="80">
      <c r="A110" s="157" t="n"/>
      <c r="B110" s="124" t="n"/>
      <c r="C110" s="125" t="n"/>
      <c r="D110" s="126" t="n"/>
      <c r="E110" s="127" t="n"/>
      <c r="F110" s="128" t="n"/>
      <c r="G110" s="129" t="n"/>
      <c r="H110" s="130" t="n"/>
      <c r="I110" s="131" t="n"/>
      <c r="J110" s="131">
        <f>IF(COUNTIF(B110:E110,"*")=0,"",IF(T110=1,"Invalid Service",IF(AND(V110=1,F110=""),"Add Session Mins",IF(AND(E110&gt;0,H110="",T110=""),"Enter Contract Rate",IF(AND(E110="IEP mtg, prep, rept",F110&gt;0),(G110*H110),IF(AND(E110&gt;0,F110&gt;0,H110&gt;0,I110=""),"Enter Travel",IF(AND(F110&gt;0,I110="Y"),(G110*H110)+$M$10,IF(AND(F110&gt;0,I110="N"),(G110*H110),H110))))))))</f>
        <v/>
      </c>
      <c r="K110" s="132">
        <f>J110</f>
        <v/>
      </c>
      <c r="L110" s="148" t="n"/>
      <c r="M110" s="148" t="n"/>
      <c r="N110" s="148" t="n"/>
      <c r="O110" s="87" t="n"/>
      <c r="P110" s="81" t="n"/>
      <c r="Q110" s="81" t="n"/>
      <c r="R110" s="81" t="n"/>
      <c r="S110" s="81" t="n"/>
      <c r="T110" s="136">
        <f>IF(AND(E110&gt;0,U110=0),1,"")</f>
        <v/>
      </c>
      <c r="U110" s="136">
        <f>SUM(X110:AR110)</f>
        <v/>
      </c>
      <c r="V110" s="136">
        <f>IF(E110=$Q$16,0,SUM(X110:AI110))</f>
        <v/>
      </c>
      <c r="W110" s="136">
        <f>SUM(AK110:AR110)</f>
        <v/>
      </c>
      <c r="X110" s="136">
        <f>IF(E110=$X$6,1,"")</f>
        <v/>
      </c>
      <c r="Y110" s="136">
        <f>IF(E110=$Y$6,1,"")</f>
        <v/>
      </c>
      <c r="Z110" s="136">
        <f>IF(E110=$Z$6,1,"")</f>
        <v/>
      </c>
      <c r="AA110" s="136">
        <f>IF(E110=$AA$6,1,"")</f>
        <v/>
      </c>
      <c r="AB110" s="136">
        <f>IF(E110=$AB$6,1,"")</f>
        <v/>
      </c>
      <c r="AC110" s="136">
        <f>IF(E110=$AC$6,1,"")</f>
        <v/>
      </c>
      <c r="AD110" s="136">
        <f>IF(E110=$AD$6,1,"")</f>
        <v/>
      </c>
      <c r="AE110" s="136">
        <f>IF(E110=$AE$6,1,"")</f>
        <v/>
      </c>
      <c r="AF110" s="136">
        <f>IF(E110=$AF$6,1,"")</f>
        <v/>
      </c>
      <c r="AG110" s="136">
        <f>IF(E110=$AG$6,1,"")</f>
        <v/>
      </c>
      <c r="AH110" s="136">
        <f>IF(E110=$AH$6,1,"")</f>
        <v/>
      </c>
      <c r="AI110" s="136">
        <f>IF(E110=$AI$6,1,"")</f>
        <v/>
      </c>
      <c r="AJ110" s="136">
        <f>IF(E110=$AJ$6,1,"")</f>
        <v/>
      </c>
      <c r="AK110" s="81">
        <f>IF(E110=$AK$6,1,"")</f>
        <v/>
      </c>
      <c r="AL110" s="81">
        <f>IF(E110=$AL$6,1,"")</f>
        <v/>
      </c>
      <c r="AM110" s="81">
        <f>IF(E110=$AM$6,1,"")</f>
        <v/>
      </c>
      <c r="AN110" s="81">
        <f>IF(E110=$AN$6,1,"")</f>
        <v/>
      </c>
      <c r="AO110" s="81">
        <f>IF(E110=$AO$6,1,"")</f>
        <v/>
      </c>
      <c r="AP110" s="81">
        <f>IF(E110=$AP$6,1,"")</f>
        <v/>
      </c>
      <c r="AQ110" s="81">
        <f>IF(E110=$AQ$6,1,"")</f>
        <v/>
      </c>
      <c r="AR110" s="81">
        <f>IF(E110=$AR$6,1,"")</f>
        <v/>
      </c>
      <c r="AS110" s="81" t="n"/>
    </row>
    <row r="111" ht="15.75" customHeight="1" s="80">
      <c r="A111" s="157" t="n"/>
      <c r="B111" s="124" t="n"/>
      <c r="C111" s="125" t="n"/>
      <c r="D111" s="126" t="n"/>
      <c r="E111" s="127" t="n"/>
      <c r="F111" s="128" t="n"/>
      <c r="G111" s="129" t="n"/>
      <c r="H111" s="130" t="n"/>
      <c r="I111" s="131" t="n"/>
      <c r="J111" s="130">
        <f>IF(COUNTIF(B111:E111,"*")=0,"",IF(T111=1,"Invalid Service",IF(AND(V111=1,F111=""),"Add Session Mins",IF(AND(E111&gt;0,H111="",T111=""),"Enter Contract Rate",IF(AND(E111="IEP mtg, prep, rept",F111&gt;0),(G111*H111),IF(AND(E111&gt;0,F111&gt;0,H111&gt;0,I111=""),"Enter Travel",IF(AND(F111&gt;0,I111="Y"),(G111*H111)+$M$10,IF(AND(F111&gt;0,I111="N"),(G111*H111),H111))))))))</f>
        <v/>
      </c>
      <c r="K111" s="132">
        <f>J111</f>
        <v/>
      </c>
      <c r="L111" s="148" t="n"/>
      <c r="M111" s="148" t="n"/>
      <c r="N111" s="148" t="n"/>
      <c r="O111" s="87" t="n"/>
      <c r="P111" s="81" t="n"/>
      <c r="Q111" s="81" t="n"/>
      <c r="R111" s="81" t="n"/>
      <c r="S111" s="81" t="n"/>
      <c r="T111" s="136">
        <f>IF(AND(E111&gt;0,U111=0),1,"")</f>
        <v/>
      </c>
      <c r="U111" s="136">
        <f>SUM(X111:AR111)</f>
        <v/>
      </c>
      <c r="V111" s="136">
        <f>IF(E111=$Q$16,0,SUM(X111:AI111))</f>
        <v/>
      </c>
      <c r="W111" s="136">
        <f>SUM(AK111:AR111)</f>
        <v/>
      </c>
      <c r="X111" s="136">
        <f>IF(E111=$X$6,1,"")</f>
        <v/>
      </c>
      <c r="Y111" s="136">
        <f>IF(E111=$Y$6,1,"")</f>
        <v/>
      </c>
      <c r="Z111" s="136">
        <f>IF(E111=$Z$6,1,"")</f>
        <v/>
      </c>
      <c r="AA111" s="136">
        <f>IF(E111=$AA$6,1,"")</f>
        <v/>
      </c>
      <c r="AB111" s="136">
        <f>IF(E111=$AB$6,1,"")</f>
        <v/>
      </c>
      <c r="AC111" s="136">
        <f>IF(E111=$AC$6,1,"")</f>
        <v/>
      </c>
      <c r="AD111" s="136">
        <f>IF(E111=$AD$6,1,"")</f>
        <v/>
      </c>
      <c r="AE111" s="136">
        <f>IF(E111=$AE$6,1,"")</f>
        <v/>
      </c>
      <c r="AF111" s="136">
        <f>IF(E111=$AF$6,1,"")</f>
        <v/>
      </c>
      <c r="AG111" s="136">
        <f>IF(E111=$AG$6,1,"")</f>
        <v/>
      </c>
      <c r="AH111" s="136">
        <f>IF(E111=$AH$6,1,"")</f>
        <v/>
      </c>
      <c r="AI111" s="136">
        <f>IF(E111=$AI$6,1,"")</f>
        <v/>
      </c>
      <c r="AJ111" s="136">
        <f>IF(E111=$AJ$6,1,"")</f>
        <v/>
      </c>
      <c r="AK111" s="81">
        <f>IF(E111=$AK$6,1,"")</f>
        <v/>
      </c>
      <c r="AL111" s="81">
        <f>IF(E111=$AL$6,1,"")</f>
        <v/>
      </c>
      <c r="AM111" s="81">
        <f>IF(E111=$AM$6,1,"")</f>
        <v/>
      </c>
      <c r="AN111" s="81">
        <f>IF(E111=$AN$6,1,"")</f>
        <v/>
      </c>
      <c r="AO111" s="81">
        <f>IF(E111=$AO$6,1,"")</f>
        <v/>
      </c>
      <c r="AP111" s="81">
        <f>IF(E111=$AP$6,1,"")</f>
        <v/>
      </c>
      <c r="AQ111" s="81">
        <f>IF(E111=$AQ$6,1,"")</f>
        <v/>
      </c>
      <c r="AR111" s="81">
        <f>IF(E111=$AR$6,1,"")</f>
        <v/>
      </c>
      <c r="AS111" s="81" t="n"/>
    </row>
    <row r="112" ht="15.75" customHeight="1" s="80">
      <c r="A112" s="157" t="n"/>
      <c r="B112" s="124" t="n"/>
      <c r="C112" s="125" t="n"/>
      <c r="D112" s="156" t="n"/>
      <c r="E112" s="127" t="n"/>
      <c r="F112" s="128" t="n"/>
      <c r="G112" s="129" t="n"/>
      <c r="H112" s="130" t="n"/>
      <c r="I112" s="131" t="n"/>
      <c r="J112" s="131">
        <f>IF(COUNTIF(B112:E112,"*")=0,"",IF(T112=1,"Invalid Service",IF(AND(V112=1,F112=""),"Add Session Mins",IF(AND(E112&gt;0,H112="",T112=""),"Enter Contract Rate",IF(AND(E112="IEP mtg, prep, rept",F112&gt;0),(G112*H112),IF(AND(E112&gt;0,F112&gt;0,H112&gt;0,I112=""),"Enter Travel",IF(AND(F112&gt;0,I112="Y"),(G112*H112)+$M$10,IF(AND(F112&gt;0,I112="N"),(G112*H112),H112))))))))</f>
        <v/>
      </c>
      <c r="K112" s="132">
        <f>J112</f>
        <v/>
      </c>
      <c r="L112" s="148" t="n"/>
      <c r="M112" s="148" t="n"/>
      <c r="N112" s="148" t="n"/>
      <c r="O112" s="87" t="n"/>
      <c r="P112" s="81" t="n"/>
      <c r="Q112" s="81" t="n"/>
      <c r="R112" s="81" t="n"/>
      <c r="S112" s="81" t="n"/>
      <c r="T112" s="136">
        <f>IF(AND(E112&gt;0,U112=0),1,"")</f>
        <v/>
      </c>
      <c r="U112" s="136">
        <f>SUM(X112:AR112)</f>
        <v/>
      </c>
      <c r="V112" s="136">
        <f>IF(E112=$Q$16,0,SUM(X112:AI112))</f>
        <v/>
      </c>
      <c r="W112" s="136">
        <f>SUM(AK112:AR112)</f>
        <v/>
      </c>
      <c r="X112" s="136">
        <f>IF(E112=$X$6,1,"")</f>
        <v/>
      </c>
      <c r="Y112" s="136">
        <f>IF(E112=$Y$6,1,"")</f>
        <v/>
      </c>
      <c r="Z112" s="136">
        <f>IF(E112=$Z$6,1,"")</f>
        <v/>
      </c>
      <c r="AA112" s="136">
        <f>IF(E112=$AA$6,1,"")</f>
        <v/>
      </c>
      <c r="AB112" s="136">
        <f>IF(E112=$AB$6,1,"")</f>
        <v/>
      </c>
      <c r="AC112" s="136">
        <f>IF(E112=$AC$6,1,"")</f>
        <v/>
      </c>
      <c r="AD112" s="136">
        <f>IF(E112=$AD$6,1,"")</f>
        <v/>
      </c>
      <c r="AE112" s="136">
        <f>IF(E112=$AE$6,1,"")</f>
        <v/>
      </c>
      <c r="AF112" s="136">
        <f>IF(E112=$AF$6,1,"")</f>
        <v/>
      </c>
      <c r="AG112" s="136">
        <f>IF(E112=$AG$6,1,"")</f>
        <v/>
      </c>
      <c r="AH112" s="136">
        <f>IF(E112=$AH$6,1,"")</f>
        <v/>
      </c>
      <c r="AI112" s="136">
        <f>IF(E112=$AI$6,1,"")</f>
        <v/>
      </c>
      <c r="AJ112" s="136">
        <f>IF(E112=$AJ$6,1,"")</f>
        <v/>
      </c>
      <c r="AK112" s="81">
        <f>IF(E112=$AK$6,1,"")</f>
        <v/>
      </c>
      <c r="AL112" s="81">
        <f>IF(E112=$AL$6,1,"")</f>
        <v/>
      </c>
      <c r="AM112" s="81">
        <f>IF(E112=$AM$6,1,"")</f>
        <v/>
      </c>
      <c r="AN112" s="81">
        <f>IF(E112=$AN$6,1,"")</f>
        <v/>
      </c>
      <c r="AO112" s="81">
        <f>IF(E112=$AO$6,1,"")</f>
        <v/>
      </c>
      <c r="AP112" s="81">
        <f>IF(E112=$AP$6,1,"")</f>
        <v/>
      </c>
      <c r="AQ112" s="81">
        <f>IF(E112=$AQ$6,1,"")</f>
        <v/>
      </c>
      <c r="AR112" s="81">
        <f>IF(E112=$AR$6,1,"")</f>
        <v/>
      </c>
      <c r="AS112" s="81" t="n"/>
    </row>
    <row r="113" ht="15.75" customHeight="1" s="80">
      <c r="A113" s="157" t="n"/>
      <c r="B113" s="124" t="n"/>
      <c r="C113" s="125" t="n"/>
      <c r="D113" s="126" t="n"/>
      <c r="E113" s="127" t="n"/>
      <c r="F113" s="128" t="n"/>
      <c r="G113" s="129" t="n"/>
      <c r="H113" s="130" t="n"/>
      <c r="I113" s="131" t="n"/>
      <c r="J113" s="131">
        <f>IF(COUNTIF(B113:E113,"*")=0,"",IF(T113=1,"Invalid Service",IF(AND(V113=1,F113=""),"Add Session Mins",IF(AND(E113&gt;0,H113="",T113=""),"Enter Contract Rate",IF(AND(E113="IEP mtg, prep, rept",F113&gt;0),(G113*H113),IF(AND(E113&gt;0,F113&gt;0,H113&gt;0,I113=""),"Enter Travel",IF(AND(F113&gt;0,I113="Y"),(G113*H113)+$M$10,IF(AND(F113&gt;0,I113="N"),(G113*H113),H113))))))))</f>
        <v/>
      </c>
      <c r="K113" s="132">
        <f>J113</f>
        <v/>
      </c>
      <c r="L113" s="148" t="n"/>
      <c r="M113" s="148" t="n"/>
      <c r="N113" s="148" t="n"/>
      <c r="O113" s="87" t="n"/>
      <c r="P113" s="81" t="n"/>
      <c r="Q113" s="81" t="n"/>
      <c r="R113" s="81" t="n"/>
      <c r="S113" s="81" t="n"/>
      <c r="T113" s="136">
        <f>IF(AND(E113&gt;0,U113=0),1,"")</f>
        <v/>
      </c>
      <c r="U113" s="136">
        <f>SUM(X113:AR113)</f>
        <v/>
      </c>
      <c r="V113" s="136">
        <f>IF(E113=$Q$16,0,SUM(X113:AI113))</f>
        <v/>
      </c>
      <c r="W113" s="136">
        <f>SUM(AK113:AR113)</f>
        <v/>
      </c>
      <c r="X113" s="136">
        <f>IF(E113=$X$6,1,"")</f>
        <v/>
      </c>
      <c r="Y113" s="136">
        <f>IF(E113=$Y$6,1,"")</f>
        <v/>
      </c>
      <c r="Z113" s="136">
        <f>IF(E113=$Z$6,1,"")</f>
        <v/>
      </c>
      <c r="AA113" s="136">
        <f>IF(E113=$AA$6,1,"")</f>
        <v/>
      </c>
      <c r="AB113" s="136">
        <f>IF(E113=$AB$6,1,"")</f>
        <v/>
      </c>
      <c r="AC113" s="136">
        <f>IF(E113=$AC$6,1,"")</f>
        <v/>
      </c>
      <c r="AD113" s="136">
        <f>IF(E113=$AD$6,1,"")</f>
        <v/>
      </c>
      <c r="AE113" s="136">
        <f>IF(E113=$AE$6,1,"")</f>
        <v/>
      </c>
      <c r="AF113" s="136">
        <f>IF(E113=$AF$6,1,"")</f>
        <v/>
      </c>
      <c r="AG113" s="136">
        <f>IF(E113=$AG$6,1,"")</f>
        <v/>
      </c>
      <c r="AH113" s="136">
        <f>IF(E113=$AH$6,1,"")</f>
        <v/>
      </c>
      <c r="AI113" s="136">
        <f>IF(E113=$AI$6,1,"")</f>
        <v/>
      </c>
      <c r="AJ113" s="136">
        <f>IF(E113=$AJ$6,1,"")</f>
        <v/>
      </c>
      <c r="AK113" s="81">
        <f>IF(E113=$AK$6,1,"")</f>
        <v/>
      </c>
      <c r="AL113" s="81">
        <f>IF(E113=$AL$6,1,"")</f>
        <v/>
      </c>
      <c r="AM113" s="81">
        <f>IF(E113=$AM$6,1,"")</f>
        <v/>
      </c>
      <c r="AN113" s="81">
        <f>IF(E113=$AN$6,1,"")</f>
        <v/>
      </c>
      <c r="AO113" s="81">
        <f>IF(E113=$AO$6,1,"")</f>
        <v/>
      </c>
      <c r="AP113" s="81">
        <f>IF(E113=$AP$6,1,"")</f>
        <v/>
      </c>
      <c r="AQ113" s="81">
        <f>IF(E113=$AQ$6,1,"")</f>
        <v/>
      </c>
      <c r="AR113" s="81">
        <f>IF(E113=$AR$6,1,"")</f>
        <v/>
      </c>
      <c r="AS113" s="81" t="n"/>
    </row>
    <row r="114" ht="15.75" customHeight="1" s="80">
      <c r="A114" s="157" t="n"/>
      <c r="B114" s="124" t="n"/>
      <c r="C114" s="125" t="n"/>
      <c r="D114" s="126" t="n"/>
      <c r="E114" s="127" t="n"/>
      <c r="F114" s="128" t="n"/>
      <c r="G114" s="129" t="n"/>
      <c r="H114" s="130" t="n"/>
      <c r="I114" s="131" t="n"/>
      <c r="J114" s="131">
        <f>IF(COUNTIF(B114:E114,"*")=0,"",IF(T114=1,"Invalid Service",IF(AND(V114=1,F114=""),"Add Session Mins",IF(AND(E114&gt;0,H114="",T114=""),"Enter Contract Rate",IF(AND(E114="IEP mtg, prep, rept",F114&gt;0),(G114*H114),IF(AND(E114&gt;0,F114&gt;0,H114&gt;0,I114=""),"Enter Travel",IF(AND(F114&gt;0,I114="Y"),(G114*H114)+$M$10,IF(AND(F114&gt;0,I114="N"),(G114*H114),H114))))))))</f>
        <v/>
      </c>
      <c r="K114" s="132">
        <f>J114</f>
        <v/>
      </c>
      <c r="L114" s="148" t="n"/>
      <c r="M114" s="148" t="n"/>
      <c r="N114" s="148" t="n"/>
      <c r="O114" s="87" t="n"/>
      <c r="P114" s="81" t="n"/>
      <c r="Q114" s="81" t="n"/>
      <c r="R114" s="81" t="n"/>
      <c r="S114" s="81" t="n"/>
      <c r="T114" s="136">
        <f>IF(AND(E114&gt;0,U114=0),1,"")</f>
        <v/>
      </c>
      <c r="U114" s="136">
        <f>SUM(X114:AR114)</f>
        <v/>
      </c>
      <c r="V114" s="136">
        <f>IF(E114=$Q$16,0,SUM(X114:AI114))</f>
        <v/>
      </c>
      <c r="W114" s="136">
        <f>SUM(AK114:AR114)</f>
        <v/>
      </c>
      <c r="X114" s="136">
        <f>IF(E114=$X$6,1,"")</f>
        <v/>
      </c>
      <c r="Y114" s="136">
        <f>IF(E114=$Y$6,1,"")</f>
        <v/>
      </c>
      <c r="Z114" s="136">
        <f>IF(E114=$Z$6,1,"")</f>
        <v/>
      </c>
      <c r="AA114" s="136">
        <f>IF(E114=$AA$6,1,"")</f>
        <v/>
      </c>
      <c r="AB114" s="136">
        <f>IF(E114=$AB$6,1,"")</f>
        <v/>
      </c>
      <c r="AC114" s="136">
        <f>IF(E114=$AC$6,1,"")</f>
        <v/>
      </c>
      <c r="AD114" s="136">
        <f>IF(E114=$AD$6,1,"")</f>
        <v/>
      </c>
      <c r="AE114" s="136">
        <f>IF(E114=$AE$6,1,"")</f>
        <v/>
      </c>
      <c r="AF114" s="136">
        <f>IF(E114=$AF$6,1,"")</f>
        <v/>
      </c>
      <c r="AG114" s="136">
        <f>IF(E114=$AG$6,1,"")</f>
        <v/>
      </c>
      <c r="AH114" s="136">
        <f>IF(E114=$AH$6,1,"")</f>
        <v/>
      </c>
      <c r="AI114" s="136">
        <f>IF(E114=$AI$6,1,"")</f>
        <v/>
      </c>
      <c r="AJ114" s="136">
        <f>IF(E114=$AJ$6,1,"")</f>
        <v/>
      </c>
      <c r="AK114" s="81">
        <f>IF(E114=$AK$6,1,"")</f>
        <v/>
      </c>
      <c r="AL114" s="81">
        <f>IF(E114=$AL$6,1,"")</f>
        <v/>
      </c>
      <c r="AM114" s="81">
        <f>IF(E114=$AM$6,1,"")</f>
        <v/>
      </c>
      <c r="AN114" s="81">
        <f>IF(E114=$AN$6,1,"")</f>
        <v/>
      </c>
      <c r="AO114" s="81">
        <f>IF(E114=$AO$6,1,"")</f>
        <v/>
      </c>
      <c r="AP114" s="81">
        <f>IF(E114=$AP$6,1,"")</f>
        <v/>
      </c>
      <c r="AQ114" s="81">
        <f>IF(E114=$AQ$6,1,"")</f>
        <v/>
      </c>
      <c r="AR114" s="81">
        <f>IF(E114=$AR$6,1,"")</f>
        <v/>
      </c>
      <c r="AS114" s="81" t="n"/>
    </row>
    <row r="115" ht="15.75" customHeight="1" s="80">
      <c r="A115" s="157" t="n"/>
      <c r="B115" s="124" t="n"/>
      <c r="C115" s="125" t="n"/>
      <c r="D115" s="126" t="n"/>
      <c r="E115" s="127" t="n"/>
      <c r="F115" s="128" t="n"/>
      <c r="G115" s="129" t="n"/>
      <c r="H115" s="130" t="n"/>
      <c r="I115" s="131" t="n"/>
      <c r="J115" s="130">
        <f>IF(COUNTIF(B115:E115,"*")=0,"",IF(T115=1,"Invalid Service",IF(AND(V115=1,F115=""),"Add Session Mins",IF(AND(E115&gt;0,H115="",T115=""),"Enter Contract Rate",IF(AND(E115="IEP mtg, prep, rept",F115&gt;0),(G115*H115),IF(AND(E115&gt;0,F115&gt;0,H115&gt;0,I115=""),"Enter Travel",IF(AND(F115&gt;0,I115="Y"),(G115*H115)+$M$10,IF(AND(F115&gt;0,I115="N"),(G115*H115),H115))))))))</f>
        <v/>
      </c>
      <c r="K115" s="132">
        <f>J115</f>
        <v/>
      </c>
      <c r="L115" s="148" t="n"/>
      <c r="M115" s="148" t="n"/>
      <c r="N115" s="148" t="n"/>
      <c r="O115" s="87" t="n"/>
      <c r="P115" s="81" t="n"/>
      <c r="Q115" s="81" t="n"/>
      <c r="R115" s="81" t="n"/>
      <c r="S115" s="81" t="n"/>
      <c r="T115" s="136">
        <f>IF(AND(E115&gt;0,U115=0),1,"")</f>
        <v/>
      </c>
      <c r="U115" s="136">
        <f>SUM(X115:AR115)</f>
        <v/>
      </c>
      <c r="V115" s="136">
        <f>IF(E115=$Q$16,0,SUM(X115:AI115))</f>
        <v/>
      </c>
      <c r="W115" s="136">
        <f>SUM(AK115:AR115)</f>
        <v/>
      </c>
      <c r="X115" s="136">
        <f>IF(E115=$X$6,1,"")</f>
        <v/>
      </c>
      <c r="Y115" s="136">
        <f>IF(E115=$Y$6,1,"")</f>
        <v/>
      </c>
      <c r="Z115" s="136">
        <f>IF(E115=$Z$6,1,"")</f>
        <v/>
      </c>
      <c r="AA115" s="136">
        <f>IF(E115=$AA$6,1,"")</f>
        <v/>
      </c>
      <c r="AB115" s="136">
        <f>IF(E115=$AB$6,1,"")</f>
        <v/>
      </c>
      <c r="AC115" s="136">
        <f>IF(E115=$AC$6,1,"")</f>
        <v/>
      </c>
      <c r="AD115" s="136">
        <f>IF(E115=$AD$6,1,"")</f>
        <v/>
      </c>
      <c r="AE115" s="136">
        <f>IF(E115=$AE$6,1,"")</f>
        <v/>
      </c>
      <c r="AF115" s="136">
        <f>IF(E115=$AF$6,1,"")</f>
        <v/>
      </c>
      <c r="AG115" s="136">
        <f>IF(E115=$AG$6,1,"")</f>
        <v/>
      </c>
      <c r="AH115" s="136">
        <f>IF(E115=$AH$6,1,"")</f>
        <v/>
      </c>
      <c r="AI115" s="136">
        <f>IF(E115=$AI$6,1,"")</f>
        <v/>
      </c>
      <c r="AJ115" s="136">
        <f>IF(E115=$AJ$6,1,"")</f>
        <v/>
      </c>
      <c r="AK115" s="81">
        <f>IF(E115=$AK$6,1,"")</f>
        <v/>
      </c>
      <c r="AL115" s="81">
        <f>IF(E115=$AL$6,1,"")</f>
        <v/>
      </c>
      <c r="AM115" s="81">
        <f>IF(E115=$AM$6,1,"")</f>
        <v/>
      </c>
      <c r="AN115" s="81">
        <f>IF(E115=$AN$6,1,"")</f>
        <v/>
      </c>
      <c r="AO115" s="81">
        <f>IF(E115=$AO$6,1,"")</f>
        <v/>
      </c>
      <c r="AP115" s="81">
        <f>IF(E115=$AP$6,1,"")</f>
        <v/>
      </c>
      <c r="AQ115" s="81">
        <f>IF(E115=$AQ$6,1,"")</f>
        <v/>
      </c>
      <c r="AR115" s="81">
        <f>IF(E115=$AR$6,1,"")</f>
        <v/>
      </c>
      <c r="AS115" s="81" t="n"/>
    </row>
    <row r="116" ht="15.75" customHeight="1" s="80">
      <c r="A116" s="157" t="n"/>
      <c r="B116" s="124" t="n"/>
      <c r="C116" s="125" t="n"/>
      <c r="D116" s="126" t="n"/>
      <c r="E116" s="127" t="n"/>
      <c r="F116" s="128" t="n"/>
      <c r="G116" s="129" t="n"/>
      <c r="H116" s="130" t="n"/>
      <c r="I116" s="131" t="n"/>
      <c r="J116" s="131">
        <f>IF(COUNTIF(B116:E116,"*")=0,"",IF(T116=1,"Invalid Service",IF(AND(V116=1,F116=""),"Add Session Mins",IF(AND(E116&gt;0,H116="",T116=""),"Enter Contract Rate",IF(AND(E116="IEP mtg, prep, rept",F116&gt;0),(G116*H116),IF(AND(E116&gt;0,F116&gt;0,H116&gt;0,I116=""),"Enter Travel",IF(AND(F116&gt;0,I116="Y"),(G116*H116)+$M$10,IF(AND(F116&gt;0,I116="N"),(G116*H116),H116))))))))</f>
        <v/>
      </c>
      <c r="K116" s="132">
        <f>J116</f>
        <v/>
      </c>
      <c r="L116" s="148" t="n"/>
      <c r="M116" s="148" t="n"/>
      <c r="N116" s="148" t="n"/>
      <c r="O116" s="87" t="n"/>
      <c r="P116" s="81" t="n"/>
      <c r="Q116" s="81" t="n"/>
      <c r="R116" s="81" t="n"/>
      <c r="S116" s="81" t="n"/>
      <c r="T116" s="136">
        <f>IF(AND(E116&gt;0,U116=0),1,"")</f>
        <v/>
      </c>
      <c r="U116" s="136">
        <f>SUM(X116:AR116)</f>
        <v/>
      </c>
      <c r="V116" s="136">
        <f>IF(E116=$Q$16,0,SUM(X116:AI116))</f>
        <v/>
      </c>
      <c r="W116" s="136">
        <f>SUM(AK116:AR116)</f>
        <v/>
      </c>
      <c r="X116" s="136">
        <f>IF(E116=$X$6,1,"")</f>
        <v/>
      </c>
      <c r="Y116" s="136">
        <f>IF(E116=$Y$6,1,"")</f>
        <v/>
      </c>
      <c r="Z116" s="136">
        <f>IF(E116=$Z$6,1,"")</f>
        <v/>
      </c>
      <c r="AA116" s="136">
        <f>IF(E116=$AA$6,1,"")</f>
        <v/>
      </c>
      <c r="AB116" s="136">
        <f>IF(E116=$AB$6,1,"")</f>
        <v/>
      </c>
      <c r="AC116" s="136">
        <f>IF(E116=$AC$6,1,"")</f>
        <v/>
      </c>
      <c r="AD116" s="136">
        <f>IF(E116=$AD$6,1,"")</f>
        <v/>
      </c>
      <c r="AE116" s="136">
        <f>IF(E116=$AE$6,1,"")</f>
        <v/>
      </c>
      <c r="AF116" s="136">
        <f>IF(E116=$AF$6,1,"")</f>
        <v/>
      </c>
      <c r="AG116" s="136">
        <f>IF(E116=$AG$6,1,"")</f>
        <v/>
      </c>
      <c r="AH116" s="136">
        <f>IF(E116=$AH$6,1,"")</f>
        <v/>
      </c>
      <c r="AI116" s="136">
        <f>IF(E116=$AI$6,1,"")</f>
        <v/>
      </c>
      <c r="AJ116" s="136">
        <f>IF(E116=$AJ$6,1,"")</f>
        <v/>
      </c>
      <c r="AK116" s="81">
        <f>IF(E116=$AK$6,1,"")</f>
        <v/>
      </c>
      <c r="AL116" s="81">
        <f>IF(E116=$AL$6,1,"")</f>
        <v/>
      </c>
      <c r="AM116" s="81">
        <f>IF(E116=$AM$6,1,"")</f>
        <v/>
      </c>
      <c r="AN116" s="81">
        <f>IF(E116=$AN$6,1,"")</f>
        <v/>
      </c>
      <c r="AO116" s="81">
        <f>IF(E116=$AO$6,1,"")</f>
        <v/>
      </c>
      <c r="AP116" s="81">
        <f>IF(E116=$AP$6,1,"")</f>
        <v/>
      </c>
      <c r="AQ116" s="81">
        <f>IF(E116=$AQ$6,1,"")</f>
        <v/>
      </c>
      <c r="AR116" s="81">
        <f>IF(E116=$AR$6,1,"")</f>
        <v/>
      </c>
      <c r="AS116" s="81" t="n"/>
    </row>
    <row r="117" ht="15.75" customHeight="1" s="80">
      <c r="A117" s="157" t="n"/>
      <c r="B117" s="124" t="n"/>
      <c r="C117" s="125" t="n"/>
      <c r="D117" s="126" t="n"/>
      <c r="E117" s="127" t="n"/>
      <c r="F117" s="128" t="n"/>
      <c r="G117" s="129" t="n"/>
      <c r="H117" s="130" t="n"/>
      <c r="I117" s="131" t="n"/>
      <c r="J117" s="131">
        <f>IF(COUNTIF(B117:E117,"*")=0,"",IF(T117=1,"Invalid Service",IF(AND(V117=1,F117=""),"Add Session Mins",IF(AND(E117&gt;0,H117="",T117=""),"Enter Contract Rate",IF(AND(E117="IEP mtg, prep, rept",F117&gt;0),(G117*H117),IF(AND(E117&gt;0,F117&gt;0,H117&gt;0,I117=""),"Enter Travel",IF(AND(F117&gt;0,I117="Y"),(G117*H117)+$M$10,IF(AND(F117&gt;0,I117="N"),(G117*H117),H117))))))))</f>
        <v/>
      </c>
      <c r="K117" s="132">
        <f>J117</f>
        <v/>
      </c>
      <c r="L117" s="148" t="n"/>
      <c r="M117" s="148" t="n"/>
      <c r="N117" s="148" t="n"/>
      <c r="O117" s="87" t="n"/>
      <c r="P117" s="81" t="n"/>
      <c r="Q117" s="81" t="n"/>
      <c r="R117" s="81" t="n"/>
      <c r="S117" s="81" t="n"/>
      <c r="T117" s="136">
        <f>IF(AND(E117&gt;0,U117=0),1,"")</f>
        <v/>
      </c>
      <c r="U117" s="136">
        <f>SUM(X117:AR117)</f>
        <v/>
      </c>
      <c r="V117" s="136">
        <f>IF(E117=$Q$16,0,SUM(X117:AI117))</f>
        <v/>
      </c>
      <c r="W117" s="136">
        <f>SUM(AK117:AR117)</f>
        <v/>
      </c>
      <c r="X117" s="136">
        <f>IF(E117=$X$6,1,"")</f>
        <v/>
      </c>
      <c r="Y117" s="136">
        <f>IF(E117=$Y$6,1,"")</f>
        <v/>
      </c>
      <c r="Z117" s="136">
        <f>IF(E117=$Z$6,1,"")</f>
        <v/>
      </c>
      <c r="AA117" s="136">
        <f>IF(E117=$AA$6,1,"")</f>
        <v/>
      </c>
      <c r="AB117" s="136">
        <f>IF(E117=$AB$6,1,"")</f>
        <v/>
      </c>
      <c r="AC117" s="136">
        <f>IF(E117=$AC$6,1,"")</f>
        <v/>
      </c>
      <c r="AD117" s="136">
        <f>IF(E117=$AD$6,1,"")</f>
        <v/>
      </c>
      <c r="AE117" s="136">
        <f>IF(E117=$AE$6,1,"")</f>
        <v/>
      </c>
      <c r="AF117" s="136">
        <f>IF(E117=$AF$6,1,"")</f>
        <v/>
      </c>
      <c r="AG117" s="136">
        <f>IF(E117=$AG$6,1,"")</f>
        <v/>
      </c>
      <c r="AH117" s="136">
        <f>IF(E117=$AH$6,1,"")</f>
        <v/>
      </c>
      <c r="AI117" s="136">
        <f>IF(E117=$AI$6,1,"")</f>
        <v/>
      </c>
      <c r="AJ117" s="136">
        <f>IF(E117=$AJ$6,1,"")</f>
        <v/>
      </c>
      <c r="AK117" s="81">
        <f>IF(E117=$AK$6,1,"")</f>
        <v/>
      </c>
      <c r="AL117" s="81">
        <f>IF(E117=$AL$6,1,"")</f>
        <v/>
      </c>
      <c r="AM117" s="81">
        <f>IF(E117=$AM$6,1,"")</f>
        <v/>
      </c>
      <c r="AN117" s="81">
        <f>IF(E117=$AN$6,1,"")</f>
        <v/>
      </c>
      <c r="AO117" s="81">
        <f>IF(E117=$AO$6,1,"")</f>
        <v/>
      </c>
      <c r="AP117" s="81">
        <f>IF(E117=$AP$6,1,"")</f>
        <v/>
      </c>
      <c r="AQ117" s="81">
        <f>IF(E117=$AQ$6,1,"")</f>
        <v/>
      </c>
      <c r="AR117" s="81">
        <f>IF(E117=$AR$6,1,"")</f>
        <v/>
      </c>
      <c r="AS117" s="81" t="n"/>
    </row>
    <row r="118" ht="15.75" customHeight="1" s="80">
      <c r="A118" s="157" t="n"/>
      <c r="B118" s="124" t="n"/>
      <c r="C118" s="125" t="n"/>
      <c r="D118" s="126" t="n"/>
      <c r="E118" s="127" t="n"/>
      <c r="F118" s="128" t="n"/>
      <c r="G118" s="129" t="n"/>
      <c r="H118" s="130" t="n"/>
      <c r="I118" s="131" t="n"/>
      <c r="J118" s="131">
        <f>IF(COUNTIF(B118:E118,"*")=0,"",IF(T118=1,"Invalid Service",IF(AND(V118=1,F118=""),"Add Session Mins",IF(AND(E118&gt;0,H118="",T118=""),"Enter Contract Rate",IF(AND(E118="IEP mtg, prep, rept",F118&gt;0),(G118*H118),IF(AND(E118&gt;0,F118&gt;0,H118&gt;0,I118=""),"Enter Travel",IF(AND(F118&gt;0,I118="Y"),(G118*H118)+$M$10,IF(AND(F118&gt;0,I118="N"),(G118*H118),H118))))))))</f>
        <v/>
      </c>
      <c r="K118" s="132">
        <f>J118</f>
        <v/>
      </c>
      <c r="L118" s="148" t="n"/>
      <c r="M118" s="148" t="n"/>
      <c r="N118" s="148" t="n"/>
      <c r="O118" s="87" t="n"/>
      <c r="P118" s="81" t="n"/>
      <c r="Q118" s="81" t="n"/>
      <c r="R118" s="81" t="n"/>
      <c r="S118" s="81" t="n"/>
      <c r="T118" s="136">
        <f>IF(AND(E118&gt;0,U118=0),1,"")</f>
        <v/>
      </c>
      <c r="U118" s="136">
        <f>SUM(X118:AR118)</f>
        <v/>
      </c>
      <c r="V118" s="136">
        <f>IF(E118=$Q$16,0,SUM(X118:AI118))</f>
        <v/>
      </c>
      <c r="W118" s="136">
        <f>SUM(AK118:AR118)</f>
        <v/>
      </c>
      <c r="X118" s="136">
        <f>IF(E118=$X$6,1,"")</f>
        <v/>
      </c>
      <c r="Y118" s="136">
        <f>IF(E118=$Y$6,1,"")</f>
        <v/>
      </c>
      <c r="Z118" s="136">
        <f>IF(E118=$Z$6,1,"")</f>
        <v/>
      </c>
      <c r="AA118" s="136">
        <f>IF(E118=$AA$6,1,"")</f>
        <v/>
      </c>
      <c r="AB118" s="136">
        <f>IF(E118=$AB$6,1,"")</f>
        <v/>
      </c>
      <c r="AC118" s="136">
        <f>IF(E118=$AC$6,1,"")</f>
        <v/>
      </c>
      <c r="AD118" s="136">
        <f>IF(E118=$AD$6,1,"")</f>
        <v/>
      </c>
      <c r="AE118" s="136">
        <f>IF(E118=$AE$6,1,"")</f>
        <v/>
      </c>
      <c r="AF118" s="136">
        <f>IF(E118=$AF$6,1,"")</f>
        <v/>
      </c>
      <c r="AG118" s="136">
        <f>IF(E118=$AG$6,1,"")</f>
        <v/>
      </c>
      <c r="AH118" s="136">
        <f>IF(E118=$AH$6,1,"")</f>
        <v/>
      </c>
      <c r="AI118" s="136">
        <f>IF(E118=$AI$6,1,"")</f>
        <v/>
      </c>
      <c r="AJ118" s="136">
        <f>IF(E118=$AJ$6,1,"")</f>
        <v/>
      </c>
      <c r="AK118" s="81">
        <f>IF(E118=$AK$6,1,"")</f>
        <v/>
      </c>
      <c r="AL118" s="81">
        <f>IF(E118=$AL$6,1,"")</f>
        <v/>
      </c>
      <c r="AM118" s="81">
        <f>IF(E118=$AM$6,1,"")</f>
        <v/>
      </c>
      <c r="AN118" s="81">
        <f>IF(E118=$AN$6,1,"")</f>
        <v/>
      </c>
      <c r="AO118" s="81">
        <f>IF(E118=$AO$6,1,"")</f>
        <v/>
      </c>
      <c r="AP118" s="81">
        <f>IF(E118=$AP$6,1,"")</f>
        <v/>
      </c>
      <c r="AQ118" s="81">
        <f>IF(E118=$AQ$6,1,"")</f>
        <v/>
      </c>
      <c r="AR118" s="81">
        <f>IF(E118=$AR$6,1,"")</f>
        <v/>
      </c>
      <c r="AS118" s="81" t="n"/>
    </row>
    <row r="119" ht="15.75" customHeight="1" s="80">
      <c r="A119" s="157" t="n"/>
      <c r="B119" s="124" t="n"/>
      <c r="C119" s="125" t="n"/>
      <c r="D119" s="126" t="n"/>
      <c r="E119" s="127" t="n"/>
      <c r="F119" s="128" t="n"/>
      <c r="G119" s="129" t="n"/>
      <c r="H119" s="130" t="n"/>
      <c r="I119" s="131" t="n"/>
      <c r="J119" s="131">
        <f>IF(COUNTIF(B119:E119,"*")=0,"",IF(T119=1,"Invalid Service",IF(AND(V119=1,F119=""),"Add Session Mins",IF(AND(E119&gt;0,H119="",T119=""),"Enter Contract Rate",IF(AND(E119="IEP mtg, prep, rept",F119&gt;0),(G119*H119),IF(AND(E119&gt;0,F119&gt;0,H119&gt;0,I119=""),"Enter Travel",IF(AND(F119&gt;0,I119="Y"),(G119*H119)+$M$10,IF(AND(F119&gt;0,I119="N"),(G119*H119),H119))))))))</f>
        <v/>
      </c>
      <c r="K119" s="132">
        <f>J119</f>
        <v/>
      </c>
      <c r="L119" s="148" t="n"/>
      <c r="M119" s="148" t="n"/>
      <c r="N119" s="148" t="n"/>
      <c r="O119" s="87" t="n"/>
      <c r="P119" s="81" t="n"/>
      <c r="Q119" s="81" t="n"/>
      <c r="R119" s="81" t="n"/>
      <c r="S119" s="81" t="n"/>
      <c r="T119" s="136">
        <f>IF(AND(E119&gt;0,U119=0),1,"")</f>
        <v/>
      </c>
      <c r="U119" s="136">
        <f>SUM(X119:AR119)</f>
        <v/>
      </c>
      <c r="V119" s="136">
        <f>IF(E119=$Q$16,0,SUM(X119:AI119))</f>
        <v/>
      </c>
      <c r="W119" s="136">
        <f>SUM(AK119:AR119)</f>
        <v/>
      </c>
      <c r="X119" s="136">
        <f>IF(E119=$X$6,1,"")</f>
        <v/>
      </c>
      <c r="Y119" s="136">
        <f>IF(E119=$Y$6,1,"")</f>
        <v/>
      </c>
      <c r="Z119" s="136">
        <f>IF(E119=$Z$6,1,"")</f>
        <v/>
      </c>
      <c r="AA119" s="136">
        <f>IF(E119=$AA$6,1,"")</f>
        <v/>
      </c>
      <c r="AB119" s="136">
        <f>IF(E119=$AB$6,1,"")</f>
        <v/>
      </c>
      <c r="AC119" s="136">
        <f>IF(E119=$AC$6,1,"")</f>
        <v/>
      </c>
      <c r="AD119" s="136">
        <f>IF(E119=$AD$6,1,"")</f>
        <v/>
      </c>
      <c r="AE119" s="136">
        <f>IF(E119=$AE$6,1,"")</f>
        <v/>
      </c>
      <c r="AF119" s="136">
        <f>IF(E119=$AF$6,1,"")</f>
        <v/>
      </c>
      <c r="AG119" s="136">
        <f>IF(E119=$AG$6,1,"")</f>
        <v/>
      </c>
      <c r="AH119" s="136">
        <f>IF(E119=$AH$6,1,"")</f>
        <v/>
      </c>
      <c r="AI119" s="136">
        <f>IF(E119=$AI$6,1,"")</f>
        <v/>
      </c>
      <c r="AJ119" s="136">
        <f>IF(E119=$AJ$6,1,"")</f>
        <v/>
      </c>
      <c r="AK119" s="81">
        <f>IF(E119=$AK$6,1,"")</f>
        <v/>
      </c>
      <c r="AL119" s="81">
        <f>IF(E119=$AL$6,1,"")</f>
        <v/>
      </c>
      <c r="AM119" s="81">
        <f>IF(E119=$AM$6,1,"")</f>
        <v/>
      </c>
      <c r="AN119" s="81">
        <f>IF(E119=$AN$6,1,"")</f>
        <v/>
      </c>
      <c r="AO119" s="81">
        <f>IF(E119=$AO$6,1,"")</f>
        <v/>
      </c>
      <c r="AP119" s="81">
        <f>IF(E119=$AP$6,1,"")</f>
        <v/>
      </c>
      <c r="AQ119" s="81">
        <f>IF(E119=$AQ$6,1,"")</f>
        <v/>
      </c>
      <c r="AR119" s="81">
        <f>IF(E119=$AR$6,1,"")</f>
        <v/>
      </c>
      <c r="AS119" s="81" t="n"/>
    </row>
    <row r="120" ht="15.75" customHeight="1" s="80">
      <c r="A120" s="157" t="n"/>
      <c r="B120" s="124" t="n"/>
      <c r="C120" s="125" t="n"/>
      <c r="D120" s="126" t="n"/>
      <c r="E120" s="158" t="n"/>
      <c r="F120" s="128" t="n"/>
      <c r="G120" s="129" t="n"/>
      <c r="H120" s="130" t="n"/>
      <c r="I120" s="131" t="n"/>
      <c r="J120" s="131">
        <f>IF(COUNTIF(B120:E120,"*")=0,"",IF(T120=1,"Invalid Service",IF(AND(V120=1,F120=""),"Add Session Mins",IF(AND(E120&gt;0,H120="",T120=""),"Enter Contract Rate",IF(AND(E120="IEP mtg, prep, rept",F120&gt;0),(G120*H120),IF(AND(E120&gt;0,F120&gt;0,H120&gt;0,I120=""),"Enter Travel",IF(AND(F120&gt;0,I120="Y"),(G120*H120)+$M$10,IF(AND(F120&gt;0,I120="N"),(G120*H120),H120))))))))</f>
        <v/>
      </c>
      <c r="K120" s="132">
        <f>J120</f>
        <v/>
      </c>
      <c r="L120" s="148" t="n"/>
      <c r="M120" s="148" t="n"/>
      <c r="N120" s="148" t="n"/>
      <c r="O120" s="87" t="n"/>
      <c r="P120" s="81" t="n"/>
      <c r="Q120" s="81" t="n"/>
      <c r="R120" s="81" t="n"/>
      <c r="S120" s="81" t="n"/>
      <c r="T120" s="136">
        <f>IF(AND(E120&gt;0,U120=0),1,"")</f>
        <v/>
      </c>
      <c r="U120" s="136">
        <f>SUM(X120:AR120)</f>
        <v/>
      </c>
      <c r="V120" s="136">
        <f>IF(E120=$Q$16,0,SUM(X120:AI120))</f>
        <v/>
      </c>
      <c r="W120" s="136">
        <f>SUM(AK120:AR120)</f>
        <v/>
      </c>
      <c r="X120" s="136">
        <f>IF(E120=$X$6,1,"")</f>
        <v/>
      </c>
      <c r="Y120" s="136">
        <f>IF(E120=$Y$6,1,"")</f>
        <v/>
      </c>
      <c r="Z120" s="136">
        <f>IF(E120=$Z$6,1,"")</f>
        <v/>
      </c>
      <c r="AA120" s="136">
        <f>IF(E120=$AA$6,1,"")</f>
        <v/>
      </c>
      <c r="AB120" s="136">
        <f>IF(E120=$AB$6,1,"")</f>
        <v/>
      </c>
      <c r="AC120" s="136">
        <f>IF(E120=$AC$6,1,"")</f>
        <v/>
      </c>
      <c r="AD120" s="136">
        <f>IF(E120=$AD$6,1,"")</f>
        <v/>
      </c>
      <c r="AE120" s="136">
        <f>IF(E120=$AE$6,1,"")</f>
        <v/>
      </c>
      <c r="AF120" s="136">
        <f>IF(E120=$AF$6,1,"")</f>
        <v/>
      </c>
      <c r="AG120" s="136">
        <f>IF(E120=$AG$6,1,"")</f>
        <v/>
      </c>
      <c r="AH120" s="136">
        <f>IF(E120=$AH$6,1,"")</f>
        <v/>
      </c>
      <c r="AI120" s="136">
        <f>IF(E120=$AI$6,1,"")</f>
        <v/>
      </c>
      <c r="AJ120" s="136">
        <f>IF(E120=$AJ$6,1,"")</f>
        <v/>
      </c>
      <c r="AK120" s="81">
        <f>IF(E120=$AK$6,1,"")</f>
        <v/>
      </c>
      <c r="AL120" s="81">
        <f>IF(E120=$AL$6,1,"")</f>
        <v/>
      </c>
      <c r="AM120" s="81">
        <f>IF(E120=$AM$6,1,"")</f>
        <v/>
      </c>
      <c r="AN120" s="81">
        <f>IF(E120=$AN$6,1,"")</f>
        <v/>
      </c>
      <c r="AO120" s="81">
        <f>IF(E120=$AO$6,1,"")</f>
        <v/>
      </c>
      <c r="AP120" s="81">
        <f>IF(E120=$AP$6,1,"")</f>
        <v/>
      </c>
      <c r="AQ120" s="81">
        <f>IF(E120=$AQ$6,1,"")</f>
        <v/>
      </c>
      <c r="AR120" s="81">
        <f>IF(E120=$AR$6,1,"")</f>
        <v/>
      </c>
      <c r="AS120" s="81" t="n"/>
    </row>
    <row r="121" ht="15.75" customHeight="1" s="80">
      <c r="A121" s="157" t="n"/>
      <c r="B121" s="124" t="n"/>
      <c r="C121" s="125" t="n"/>
      <c r="D121" s="126" t="n"/>
      <c r="E121" s="127" t="n"/>
      <c r="F121" s="128" t="n"/>
      <c r="G121" s="129" t="n"/>
      <c r="H121" s="130" t="n"/>
      <c r="I121" s="131" t="n"/>
      <c r="J121" s="131">
        <f>IF(COUNTIF(B121:E121,"*")=0,"",IF(T121=1,"Invalid Service",IF(AND(V121=1,F121=""),"Add Session Mins",IF(AND(E121&gt;0,H121="",T121=""),"Enter Contract Rate",IF(AND(E121="IEP mtg, prep, rept",F121&gt;0),(G121*H121),IF(AND(E121&gt;0,F121&gt;0,H121&gt;0,I121=""),"Enter Travel",IF(AND(F121&gt;0,I121="Y"),(G121*H121)+$M$10,IF(AND(F121&gt;0,I121="N"),(G121*H121),H121))))))))</f>
        <v/>
      </c>
      <c r="K121" s="132">
        <f>J121</f>
        <v/>
      </c>
      <c r="L121" s="148" t="n"/>
      <c r="M121" s="148" t="n"/>
      <c r="N121" s="148" t="n"/>
      <c r="O121" s="87" t="n"/>
      <c r="P121" s="81" t="n"/>
      <c r="Q121" s="81" t="n"/>
      <c r="R121" s="81" t="n"/>
      <c r="S121" s="81" t="n"/>
      <c r="T121" s="136">
        <f>IF(AND(E121&gt;0,U121=0),1,"")</f>
        <v/>
      </c>
      <c r="U121" s="136">
        <f>SUM(X121:AR121)</f>
        <v/>
      </c>
      <c r="V121" s="136">
        <f>IF(E121=$Q$16,0,SUM(X121:AI121))</f>
        <v/>
      </c>
      <c r="W121" s="136">
        <f>SUM(AK121:AR121)</f>
        <v/>
      </c>
      <c r="X121" s="136">
        <f>IF(E121=$X$6,1,"")</f>
        <v/>
      </c>
      <c r="Y121" s="136">
        <f>IF(E121=$Y$6,1,"")</f>
        <v/>
      </c>
      <c r="Z121" s="136">
        <f>IF(E121=$Z$6,1,"")</f>
        <v/>
      </c>
      <c r="AA121" s="136">
        <f>IF(E121=$AA$6,1,"")</f>
        <v/>
      </c>
      <c r="AB121" s="136">
        <f>IF(E121=$AB$6,1,"")</f>
        <v/>
      </c>
      <c r="AC121" s="136">
        <f>IF(E121=$AC$6,1,"")</f>
        <v/>
      </c>
      <c r="AD121" s="136">
        <f>IF(E121=$AD$6,1,"")</f>
        <v/>
      </c>
      <c r="AE121" s="136">
        <f>IF(E121=$AE$6,1,"")</f>
        <v/>
      </c>
      <c r="AF121" s="136">
        <f>IF(E121=$AF$6,1,"")</f>
        <v/>
      </c>
      <c r="AG121" s="136">
        <f>IF(E121=$AG$6,1,"")</f>
        <v/>
      </c>
      <c r="AH121" s="136">
        <f>IF(E121=$AH$6,1,"")</f>
        <v/>
      </c>
      <c r="AI121" s="136">
        <f>IF(E121=$AI$6,1,"")</f>
        <v/>
      </c>
      <c r="AJ121" s="136">
        <f>IF(E121=$AJ$6,1,"")</f>
        <v/>
      </c>
      <c r="AK121" s="81">
        <f>IF(E121=$AK$6,1,"")</f>
        <v/>
      </c>
      <c r="AL121" s="81">
        <f>IF(E121=$AL$6,1,"")</f>
        <v/>
      </c>
      <c r="AM121" s="81">
        <f>IF(E121=$AM$6,1,"")</f>
        <v/>
      </c>
      <c r="AN121" s="81">
        <f>IF(E121=$AN$6,1,"")</f>
        <v/>
      </c>
      <c r="AO121" s="81">
        <f>IF(E121=$AO$6,1,"")</f>
        <v/>
      </c>
      <c r="AP121" s="81">
        <f>IF(E121=$AP$6,1,"")</f>
        <v/>
      </c>
      <c r="AQ121" s="81">
        <f>IF(E121=$AQ$6,1,"")</f>
        <v/>
      </c>
      <c r="AR121" s="81">
        <f>IF(E121=$AR$6,1,"")</f>
        <v/>
      </c>
      <c r="AS121" s="81" t="n"/>
    </row>
    <row r="122" ht="15.75" customHeight="1" s="80">
      <c r="A122" s="157" t="n"/>
      <c r="B122" s="124" t="n"/>
      <c r="C122" s="125" t="n"/>
      <c r="D122" s="126" t="n"/>
      <c r="E122" s="127" t="n"/>
      <c r="F122" s="128" t="n"/>
      <c r="G122" s="129" t="n"/>
      <c r="H122" s="130" t="n"/>
      <c r="I122" s="131" t="n"/>
      <c r="J122" s="131">
        <f>IF(COUNTIF(B122:E122,"*")=0,"",IF(T122=1,"Invalid Service",IF(AND(V122=1,F122=""),"Add Session Mins",IF(AND(E122&gt;0,H122="",T122=""),"Enter Contract Rate",IF(AND(E122="IEP mtg, prep, rept",F122&gt;0),(G122*H122),IF(AND(E122&gt;0,F122&gt;0,H122&gt;0,I122=""),"Enter Travel",IF(AND(F122&gt;0,I122="Y"),(G122*H122)+$M$10,IF(AND(F122&gt;0,I122="N"),(G122*H122),H122))))))))</f>
        <v/>
      </c>
      <c r="K122" s="132">
        <f>J122</f>
        <v/>
      </c>
      <c r="L122" s="148" t="n"/>
      <c r="M122" s="148" t="n"/>
      <c r="N122" s="148" t="n"/>
      <c r="O122" s="87" t="n"/>
      <c r="P122" s="81" t="n"/>
      <c r="Q122" s="81" t="n"/>
      <c r="R122" s="81" t="n"/>
      <c r="S122" s="81" t="n"/>
      <c r="T122" s="136">
        <f>IF(AND(E122&gt;0,U122=0),1,"")</f>
        <v/>
      </c>
      <c r="U122" s="136">
        <f>SUM(X122:AR122)</f>
        <v/>
      </c>
      <c r="V122" s="136">
        <f>IF(E122=$Q$16,0,SUM(X122:AI122))</f>
        <v/>
      </c>
      <c r="W122" s="136">
        <f>SUM(AK122:AR122)</f>
        <v/>
      </c>
      <c r="X122" s="136">
        <f>IF(E122=$X$6,1,"")</f>
        <v/>
      </c>
      <c r="Y122" s="136">
        <f>IF(E122=$Y$6,1,"")</f>
        <v/>
      </c>
      <c r="Z122" s="136">
        <f>IF(E122=$Z$6,1,"")</f>
        <v/>
      </c>
      <c r="AA122" s="136">
        <f>IF(E122=$AA$6,1,"")</f>
        <v/>
      </c>
      <c r="AB122" s="136">
        <f>IF(E122=$AB$6,1,"")</f>
        <v/>
      </c>
      <c r="AC122" s="136">
        <f>IF(E122=$AC$6,1,"")</f>
        <v/>
      </c>
      <c r="AD122" s="136">
        <f>IF(E122=$AD$6,1,"")</f>
        <v/>
      </c>
      <c r="AE122" s="136">
        <f>IF(E122=$AE$6,1,"")</f>
        <v/>
      </c>
      <c r="AF122" s="136">
        <f>IF(E122=$AF$6,1,"")</f>
        <v/>
      </c>
      <c r="AG122" s="136">
        <f>IF(E122=$AG$6,1,"")</f>
        <v/>
      </c>
      <c r="AH122" s="136">
        <f>IF(E122=$AH$6,1,"")</f>
        <v/>
      </c>
      <c r="AI122" s="136">
        <f>IF(E122=$AI$6,1,"")</f>
        <v/>
      </c>
      <c r="AJ122" s="136">
        <f>IF(E122=$AJ$6,1,"")</f>
        <v/>
      </c>
      <c r="AK122" s="81">
        <f>IF(E122=$AK$6,1,"")</f>
        <v/>
      </c>
      <c r="AL122" s="81">
        <f>IF(E122=$AL$6,1,"")</f>
        <v/>
      </c>
      <c r="AM122" s="81">
        <f>IF(E122=$AM$6,1,"")</f>
        <v/>
      </c>
      <c r="AN122" s="81">
        <f>IF(E122=$AN$6,1,"")</f>
        <v/>
      </c>
      <c r="AO122" s="81">
        <f>IF(E122=$AO$6,1,"")</f>
        <v/>
      </c>
      <c r="AP122" s="81">
        <f>IF(E122=$AP$6,1,"")</f>
        <v/>
      </c>
      <c r="AQ122" s="81">
        <f>IF(E122=$AQ$6,1,"")</f>
        <v/>
      </c>
      <c r="AR122" s="81">
        <f>IF(E122=$AR$6,1,"")</f>
        <v/>
      </c>
      <c r="AS122" s="81" t="n"/>
    </row>
    <row r="123" ht="15.75" customHeight="1" s="80">
      <c r="A123" s="157" t="n"/>
      <c r="B123" s="124" t="n"/>
      <c r="C123" s="125" t="n"/>
      <c r="D123" s="126" t="n"/>
      <c r="E123" s="127" t="n"/>
      <c r="F123" s="128" t="n"/>
      <c r="G123" s="129" t="n"/>
      <c r="H123" s="130" t="n"/>
      <c r="I123" s="131" t="n"/>
      <c r="J123" s="130">
        <f>IF(COUNTIF(B123:E123,"*")=0,"",IF(T123=1,"Invalid Service",IF(AND(V123=1,F123=""),"Add Session Mins",IF(AND(E123&gt;0,H123="",T123=""),"Enter Contract Rate",IF(AND(E123="IEP mtg, prep, rept",F123&gt;0),(G123*H123),IF(AND(E123&gt;0,F123&gt;0,H123&gt;0,I123=""),"Enter Travel",IF(AND(F123&gt;0,I123="Y"),(G123*H123)+$M$10,IF(AND(F123&gt;0,I123="N"),(G123*H123),H123))))))))</f>
        <v/>
      </c>
      <c r="K123" s="132">
        <f>J123</f>
        <v/>
      </c>
      <c r="L123" s="148" t="n"/>
      <c r="M123" s="148" t="n"/>
      <c r="N123" s="148" t="n"/>
      <c r="O123" s="87" t="n"/>
      <c r="P123" s="81" t="n"/>
      <c r="Q123" s="81" t="n"/>
      <c r="R123" s="81" t="n"/>
      <c r="S123" s="81" t="n"/>
      <c r="T123" s="136">
        <f>IF(AND(E123&gt;0,U123=0),1,"")</f>
        <v/>
      </c>
      <c r="U123" s="136">
        <f>SUM(X123:AR123)</f>
        <v/>
      </c>
      <c r="V123" s="136">
        <f>IF(E123=$Q$16,0,SUM(X123:AI123))</f>
        <v/>
      </c>
      <c r="W123" s="136">
        <f>SUM(AK123:AR123)</f>
        <v/>
      </c>
      <c r="X123" s="136">
        <f>IF(E123=$X$6,1,"")</f>
        <v/>
      </c>
      <c r="Y123" s="136">
        <f>IF(E123=$Y$6,1,"")</f>
        <v/>
      </c>
      <c r="Z123" s="136">
        <f>IF(E123=$Z$6,1,"")</f>
        <v/>
      </c>
      <c r="AA123" s="136">
        <f>IF(E123=$AA$6,1,"")</f>
        <v/>
      </c>
      <c r="AB123" s="136">
        <f>IF(E123=$AB$6,1,"")</f>
        <v/>
      </c>
      <c r="AC123" s="136">
        <f>IF(E123=$AC$6,1,"")</f>
        <v/>
      </c>
      <c r="AD123" s="136">
        <f>IF(E123=$AD$6,1,"")</f>
        <v/>
      </c>
      <c r="AE123" s="136">
        <f>IF(E123=$AE$6,1,"")</f>
        <v/>
      </c>
      <c r="AF123" s="136">
        <f>IF(E123=$AF$6,1,"")</f>
        <v/>
      </c>
      <c r="AG123" s="136">
        <f>IF(E123=$AG$6,1,"")</f>
        <v/>
      </c>
      <c r="AH123" s="136">
        <f>IF(E123=$AH$6,1,"")</f>
        <v/>
      </c>
      <c r="AI123" s="136">
        <f>IF(E123=$AI$6,1,"")</f>
        <v/>
      </c>
      <c r="AJ123" s="136">
        <f>IF(E123=$AJ$6,1,"")</f>
        <v/>
      </c>
      <c r="AK123" s="81">
        <f>IF(E123=$AK$6,1,"")</f>
        <v/>
      </c>
      <c r="AL123" s="81">
        <f>IF(E123=$AL$6,1,"")</f>
        <v/>
      </c>
      <c r="AM123" s="81">
        <f>IF(E123=$AM$6,1,"")</f>
        <v/>
      </c>
      <c r="AN123" s="81">
        <f>IF(E123=$AN$6,1,"")</f>
        <v/>
      </c>
      <c r="AO123" s="81">
        <f>IF(E123=$AO$6,1,"")</f>
        <v/>
      </c>
      <c r="AP123" s="81">
        <f>IF(E123=$AP$6,1,"")</f>
        <v/>
      </c>
      <c r="AQ123" s="81">
        <f>IF(E123=$AQ$6,1,"")</f>
        <v/>
      </c>
      <c r="AR123" s="81">
        <f>IF(E123=$AR$6,1,"")</f>
        <v/>
      </c>
      <c r="AS123" s="81" t="n"/>
    </row>
    <row r="124" ht="15.75" customHeight="1" s="80">
      <c r="A124" s="157" t="n"/>
      <c r="B124" s="124" t="n"/>
      <c r="C124" s="125" t="n"/>
      <c r="D124" s="126" t="n"/>
      <c r="E124" s="127" t="n"/>
      <c r="F124" s="128" t="n"/>
      <c r="G124" s="129" t="n"/>
      <c r="H124" s="130" t="n"/>
      <c r="I124" s="131" t="n"/>
      <c r="J124" s="130">
        <f>IF(COUNTIF(B124:E124,"*")=0,"",IF(T124=1,"Invalid Service",IF(AND(V124=1,F124=""),"Add Session Mins",IF(AND(E124&gt;0,H124="",T124=""),"Enter Contract Rate",IF(AND(E124="IEP mtg, prep, rept",F124&gt;0),(G124*H124),IF(AND(E124&gt;0,F124&gt;0,H124&gt;0,I124=""),"Enter Travel",IF(AND(F124&gt;0,I124="Y"),(G124*H124)+$M$10,IF(AND(F124&gt;0,I124="N"),(G124*H124),H124))))))))</f>
        <v/>
      </c>
      <c r="K124" s="132">
        <f>J124</f>
        <v/>
      </c>
      <c r="L124" s="148" t="n"/>
      <c r="M124" s="148" t="n"/>
      <c r="N124" s="148" t="n"/>
      <c r="O124" s="87" t="n"/>
      <c r="P124" s="81" t="n"/>
      <c r="Q124" s="81" t="n"/>
      <c r="R124" s="81" t="n"/>
      <c r="S124" s="81" t="n"/>
      <c r="T124" s="136">
        <f>IF(AND(E124&gt;0,U124=0),1,"")</f>
        <v/>
      </c>
      <c r="U124" s="136">
        <f>SUM(X124:AR124)</f>
        <v/>
      </c>
      <c r="V124" s="136">
        <f>IF(E124=$Q$16,0,SUM(X124:AI124))</f>
        <v/>
      </c>
      <c r="W124" s="136">
        <f>SUM(AK124:AR124)</f>
        <v/>
      </c>
      <c r="X124" s="136">
        <f>IF(E124=$X$6,1,"")</f>
        <v/>
      </c>
      <c r="Y124" s="136">
        <f>IF(E124=$Y$6,1,"")</f>
        <v/>
      </c>
      <c r="Z124" s="136">
        <f>IF(E124=$Z$6,1,"")</f>
        <v/>
      </c>
      <c r="AA124" s="136">
        <f>IF(E124=$AA$6,1,"")</f>
        <v/>
      </c>
      <c r="AB124" s="136">
        <f>IF(E124=$AB$6,1,"")</f>
        <v/>
      </c>
      <c r="AC124" s="136">
        <f>IF(E124=$AC$6,1,"")</f>
        <v/>
      </c>
      <c r="AD124" s="136">
        <f>IF(E124=$AD$6,1,"")</f>
        <v/>
      </c>
      <c r="AE124" s="136">
        <f>IF(E124=$AE$6,1,"")</f>
        <v/>
      </c>
      <c r="AF124" s="136">
        <f>IF(E124=$AF$6,1,"")</f>
        <v/>
      </c>
      <c r="AG124" s="136">
        <f>IF(E124=$AG$6,1,"")</f>
        <v/>
      </c>
      <c r="AH124" s="136">
        <f>IF(E124=$AH$6,1,"")</f>
        <v/>
      </c>
      <c r="AI124" s="136">
        <f>IF(E124=$AI$6,1,"")</f>
        <v/>
      </c>
      <c r="AJ124" s="136">
        <f>IF(E124=$AJ$6,1,"")</f>
        <v/>
      </c>
      <c r="AK124" s="81">
        <f>IF(E124=$AK$6,1,"")</f>
        <v/>
      </c>
      <c r="AL124" s="81">
        <f>IF(E124=$AL$6,1,"")</f>
        <v/>
      </c>
      <c r="AM124" s="81">
        <f>IF(E124=$AM$6,1,"")</f>
        <v/>
      </c>
      <c r="AN124" s="81">
        <f>IF(E124=$AN$6,1,"")</f>
        <v/>
      </c>
      <c r="AO124" s="81">
        <f>IF(E124=$AO$6,1,"")</f>
        <v/>
      </c>
      <c r="AP124" s="81">
        <f>IF(E124=$AP$6,1,"")</f>
        <v/>
      </c>
      <c r="AQ124" s="81">
        <f>IF(E124=$AQ$6,1,"")</f>
        <v/>
      </c>
      <c r="AR124" s="81">
        <f>IF(E124=$AR$6,1,"")</f>
        <v/>
      </c>
      <c r="AS124" s="81" t="n"/>
    </row>
    <row r="125" ht="15.75" customHeight="1" s="80">
      <c r="A125" s="157" t="n"/>
      <c r="B125" s="124" t="n"/>
      <c r="C125" s="125" t="n"/>
      <c r="D125" s="126" t="n"/>
      <c r="E125" s="127" t="n"/>
      <c r="F125" s="128" t="n"/>
      <c r="G125" s="129" t="n"/>
      <c r="H125" s="130" t="n"/>
      <c r="I125" s="131" t="n"/>
      <c r="J125" s="130">
        <f>IF(COUNTIF(B125:E125,"*")=0,"",IF(T125=1,"Invalid Service",IF(AND(V125=1,F125=""),"Add Session Mins",IF(AND(E125&gt;0,H125="",T125=""),"Enter Contract Rate",IF(AND(E125="IEP mtg, prep, rept",F125&gt;0),(G125*H125),IF(AND(E125&gt;0,F125&gt;0,H125&gt;0,I125=""),"Enter Travel",IF(AND(F125&gt;0,I125="Y"),(G125*H125)+$M$10,IF(AND(F125&gt;0,I125="N"),(G125*H125),H125))))))))</f>
        <v/>
      </c>
      <c r="K125" s="132">
        <f>J125</f>
        <v/>
      </c>
      <c r="L125" s="148" t="n"/>
      <c r="M125" s="148" t="n"/>
      <c r="N125" s="148" t="n"/>
      <c r="O125" s="87" t="n"/>
      <c r="P125" s="81" t="n"/>
      <c r="Q125" s="81" t="n"/>
      <c r="R125" s="81" t="n"/>
      <c r="S125" s="81" t="n"/>
      <c r="T125" s="136">
        <f>IF(AND(E125&gt;0,U125=0),1,"")</f>
        <v/>
      </c>
      <c r="U125" s="136">
        <f>SUM(X125:AR125)</f>
        <v/>
      </c>
      <c r="V125" s="136">
        <f>IF(E125=$Q$16,0,SUM(X125:AI125))</f>
        <v/>
      </c>
      <c r="W125" s="136">
        <f>SUM(AK125:AR125)</f>
        <v/>
      </c>
      <c r="X125" s="136">
        <f>IF(E125=$X$6,1,"")</f>
        <v/>
      </c>
      <c r="Y125" s="136">
        <f>IF(E125=$Y$6,1,"")</f>
        <v/>
      </c>
      <c r="Z125" s="136">
        <f>IF(E125=$Z$6,1,"")</f>
        <v/>
      </c>
      <c r="AA125" s="136">
        <f>IF(E125=$AA$6,1,"")</f>
        <v/>
      </c>
      <c r="AB125" s="136">
        <f>IF(E125=$AB$6,1,"")</f>
        <v/>
      </c>
      <c r="AC125" s="136">
        <f>IF(E125=$AC$6,1,"")</f>
        <v/>
      </c>
      <c r="AD125" s="136">
        <f>IF(E125=$AD$6,1,"")</f>
        <v/>
      </c>
      <c r="AE125" s="136">
        <f>IF(E125=$AE$6,1,"")</f>
        <v/>
      </c>
      <c r="AF125" s="136">
        <f>IF(E125=$AF$6,1,"")</f>
        <v/>
      </c>
      <c r="AG125" s="136">
        <f>IF(E125=$AG$6,1,"")</f>
        <v/>
      </c>
      <c r="AH125" s="136">
        <f>IF(E125=$AH$6,1,"")</f>
        <v/>
      </c>
      <c r="AI125" s="136">
        <f>IF(E125=$AI$6,1,"")</f>
        <v/>
      </c>
      <c r="AJ125" s="136">
        <f>IF(E125=$AJ$6,1,"")</f>
        <v/>
      </c>
      <c r="AK125" s="81">
        <f>IF(E125=$AK$6,1,"")</f>
        <v/>
      </c>
      <c r="AL125" s="81">
        <f>IF(E125=$AL$6,1,"")</f>
        <v/>
      </c>
      <c r="AM125" s="81">
        <f>IF(E125=$AM$6,1,"")</f>
        <v/>
      </c>
      <c r="AN125" s="81">
        <f>IF(E125=$AN$6,1,"")</f>
        <v/>
      </c>
      <c r="AO125" s="81">
        <f>IF(E125=$AO$6,1,"")</f>
        <v/>
      </c>
      <c r="AP125" s="81">
        <f>IF(E125=$AP$6,1,"")</f>
        <v/>
      </c>
      <c r="AQ125" s="81">
        <f>IF(E125=$AQ$6,1,"")</f>
        <v/>
      </c>
      <c r="AR125" s="81">
        <f>IF(E125=$AR$6,1,"")</f>
        <v/>
      </c>
      <c r="AS125" s="81" t="n"/>
    </row>
    <row r="126" ht="15.75" customHeight="1" s="80">
      <c r="A126" s="157" t="n"/>
      <c r="B126" s="124" t="n"/>
      <c r="C126" s="125" t="n"/>
      <c r="D126" s="156" t="n"/>
      <c r="E126" s="127" t="n"/>
      <c r="F126" s="128" t="n"/>
      <c r="G126" s="129" t="n"/>
      <c r="H126" s="130" t="n"/>
      <c r="I126" s="131" t="n"/>
      <c r="J126" s="130">
        <f>IF(COUNTIF(B126:E126,"*")=0,"",IF(T126=1,"Invalid Service",IF(AND(V126=1,F126=""),"Add Session Mins",IF(AND(E126&gt;0,H126="",T126=""),"Enter Contract Rate",IF(AND(E126="IEP mtg, prep, rept",F126&gt;0),(G126*H126),IF(AND(E126&gt;0,F126&gt;0,H126&gt;0,I126=""),"Enter Travel",IF(AND(F126&gt;0,I126="Y"),(G126*H126)+$M$10,IF(AND(F126&gt;0,I126="N"),(G126*H126),H126))))))))</f>
        <v/>
      </c>
      <c r="K126" s="132">
        <f>J126</f>
        <v/>
      </c>
      <c r="L126" s="148" t="n"/>
      <c r="M126" s="148" t="n"/>
      <c r="N126" s="148" t="n"/>
      <c r="O126" s="87" t="n"/>
      <c r="P126" s="81" t="n"/>
      <c r="Q126" s="81" t="n"/>
      <c r="R126" s="81" t="n"/>
      <c r="S126" s="81" t="n"/>
      <c r="T126" s="136">
        <f>IF(AND(E126&gt;0,U126=0),1,"")</f>
        <v/>
      </c>
      <c r="U126" s="136">
        <f>SUM(X126:AR126)</f>
        <v/>
      </c>
      <c r="V126" s="136">
        <f>IF(E126=$Q$16,0,SUM(X126:AI126))</f>
        <v/>
      </c>
      <c r="W126" s="136">
        <f>SUM(AK126:AR126)</f>
        <v/>
      </c>
      <c r="X126" s="136">
        <f>IF(E126=$X$6,1,"")</f>
        <v/>
      </c>
      <c r="Y126" s="136">
        <f>IF(E126=$Y$6,1,"")</f>
        <v/>
      </c>
      <c r="Z126" s="136">
        <f>IF(E126=$Z$6,1,"")</f>
        <v/>
      </c>
      <c r="AA126" s="136">
        <f>IF(E126=$AA$6,1,"")</f>
        <v/>
      </c>
      <c r="AB126" s="136">
        <f>IF(E126=$AB$6,1,"")</f>
        <v/>
      </c>
      <c r="AC126" s="136">
        <f>IF(E126=$AC$6,1,"")</f>
        <v/>
      </c>
      <c r="AD126" s="136">
        <f>IF(E126=$AD$6,1,"")</f>
        <v/>
      </c>
      <c r="AE126" s="136">
        <f>IF(E126=$AE$6,1,"")</f>
        <v/>
      </c>
      <c r="AF126" s="136">
        <f>IF(E126=$AF$6,1,"")</f>
        <v/>
      </c>
      <c r="AG126" s="136">
        <f>IF(E126=$AG$6,1,"")</f>
        <v/>
      </c>
      <c r="AH126" s="136">
        <f>IF(E126=$AH$6,1,"")</f>
        <v/>
      </c>
      <c r="AI126" s="136">
        <f>IF(E126=$AI$6,1,"")</f>
        <v/>
      </c>
      <c r="AJ126" s="136">
        <f>IF(E126=$AJ$6,1,"")</f>
        <v/>
      </c>
      <c r="AK126" s="81">
        <f>IF(E126=$AK$6,1,"")</f>
        <v/>
      </c>
      <c r="AL126" s="81">
        <f>IF(E126=$AL$6,1,"")</f>
        <v/>
      </c>
      <c r="AM126" s="81">
        <f>IF(E126=$AM$6,1,"")</f>
        <v/>
      </c>
      <c r="AN126" s="81">
        <f>IF(E126=$AN$6,1,"")</f>
        <v/>
      </c>
      <c r="AO126" s="81">
        <f>IF(E126=$AO$6,1,"")</f>
        <v/>
      </c>
      <c r="AP126" s="81">
        <f>IF(E126=$AP$6,1,"")</f>
        <v/>
      </c>
      <c r="AQ126" s="81">
        <f>IF(E126=$AQ$6,1,"")</f>
        <v/>
      </c>
      <c r="AR126" s="81">
        <f>IF(E126=$AR$6,1,"")</f>
        <v/>
      </c>
      <c r="AS126" s="81" t="n"/>
    </row>
    <row r="127" ht="15.75" customHeight="1" s="80">
      <c r="A127" s="157" t="n"/>
      <c r="B127" s="124" t="n"/>
      <c r="C127" s="125" t="n"/>
      <c r="D127" s="126" t="n"/>
      <c r="E127" s="127" t="n"/>
      <c r="F127" s="128" t="n"/>
      <c r="G127" s="129" t="n"/>
      <c r="H127" s="130" t="n"/>
      <c r="I127" s="131" t="n"/>
      <c r="J127" s="130">
        <f>IF(COUNTIF(B127:E127,"*")=0,"",IF(T127=1,"Invalid Service",IF(AND(V127=1,F127=""),"Add Session Mins",IF(AND(E127&gt;0,H127="",T127=""),"Enter Contract Rate",IF(AND(E127="IEP mtg, prep, rept",F127&gt;0),(G127*H127),IF(AND(E127&gt;0,F127&gt;0,H127&gt;0,I127=""),"Enter Travel",IF(AND(F127&gt;0,I127="Y"),(G127*H127)+$M$10,IF(AND(F127&gt;0,I127="N"),(G127*H127),H127))))))))</f>
        <v/>
      </c>
      <c r="K127" s="132">
        <f>J127</f>
        <v/>
      </c>
      <c r="L127" s="148" t="n"/>
      <c r="M127" s="148" t="n"/>
      <c r="N127" s="148" t="n"/>
      <c r="O127" s="87" t="n"/>
      <c r="P127" s="81" t="n"/>
      <c r="Q127" s="81" t="n"/>
      <c r="R127" s="81" t="n"/>
      <c r="S127" s="81" t="n"/>
      <c r="T127" s="136">
        <f>IF(AND(E127&gt;0,U127=0),1,"")</f>
        <v/>
      </c>
      <c r="U127" s="136">
        <f>SUM(X127:AR127)</f>
        <v/>
      </c>
      <c r="V127" s="136">
        <f>IF(E127=$Q$16,0,SUM(X127:AI127))</f>
        <v/>
      </c>
      <c r="W127" s="136">
        <f>SUM(AK127:AR127)</f>
        <v/>
      </c>
      <c r="X127" s="136">
        <f>IF(E127=$X$6,1,"")</f>
        <v/>
      </c>
      <c r="Y127" s="136">
        <f>IF(E127=$Y$6,1,"")</f>
        <v/>
      </c>
      <c r="Z127" s="136">
        <f>IF(E127=$Z$6,1,"")</f>
        <v/>
      </c>
      <c r="AA127" s="136">
        <f>IF(E127=$AA$6,1,"")</f>
        <v/>
      </c>
      <c r="AB127" s="136">
        <f>IF(E127=$AB$6,1,"")</f>
        <v/>
      </c>
      <c r="AC127" s="136">
        <f>IF(E127=$AC$6,1,"")</f>
        <v/>
      </c>
      <c r="AD127" s="136">
        <f>IF(E127=$AD$6,1,"")</f>
        <v/>
      </c>
      <c r="AE127" s="136">
        <f>IF(E127=$AE$6,1,"")</f>
        <v/>
      </c>
      <c r="AF127" s="136">
        <f>IF(E127=$AF$6,1,"")</f>
        <v/>
      </c>
      <c r="AG127" s="136">
        <f>IF(E127=$AG$6,1,"")</f>
        <v/>
      </c>
      <c r="AH127" s="136">
        <f>IF(E127=$AH$6,1,"")</f>
        <v/>
      </c>
      <c r="AI127" s="136">
        <f>IF(E127=$AI$6,1,"")</f>
        <v/>
      </c>
      <c r="AJ127" s="136">
        <f>IF(E127=$AJ$6,1,"")</f>
        <v/>
      </c>
      <c r="AK127" s="81">
        <f>IF(E127=$AK$6,1,"")</f>
        <v/>
      </c>
      <c r="AL127" s="81">
        <f>IF(E127=$AL$6,1,"")</f>
        <v/>
      </c>
      <c r="AM127" s="81">
        <f>IF(E127=$AM$6,1,"")</f>
        <v/>
      </c>
      <c r="AN127" s="81">
        <f>IF(E127=$AN$6,1,"")</f>
        <v/>
      </c>
      <c r="AO127" s="81">
        <f>IF(E127=$AO$6,1,"")</f>
        <v/>
      </c>
      <c r="AP127" s="81">
        <f>IF(E127=$AP$6,1,"")</f>
        <v/>
      </c>
      <c r="AQ127" s="81">
        <f>IF(E127=$AQ$6,1,"")</f>
        <v/>
      </c>
      <c r="AR127" s="81">
        <f>IF(E127=$AR$6,1,"")</f>
        <v/>
      </c>
      <c r="AS127" s="81" t="n"/>
    </row>
    <row r="128" ht="15.75" customHeight="1" s="80">
      <c r="A128" s="157" t="n"/>
      <c r="B128" s="124" t="n"/>
      <c r="C128" s="125" t="n"/>
      <c r="D128" s="126" t="n"/>
      <c r="E128" s="127" t="n"/>
      <c r="F128" s="128" t="n"/>
      <c r="G128" s="129" t="n"/>
      <c r="H128" s="130" t="n"/>
      <c r="I128" s="131" t="n"/>
      <c r="J128" s="131">
        <f>IF(COUNTIF(B128:E128,"*")=0,"",IF(T128=1,"Invalid Service",IF(AND(V128=1,F128=""),"Add Session Mins",IF(AND(E128&gt;0,H128="",T128=""),"Enter Contract Rate",IF(AND(E128="IEP mtg, prep, rept",F128&gt;0),(G128*H128),IF(AND(E128&gt;0,F128&gt;0,H128&gt;0,I128=""),"Enter Travel",IF(AND(F128&gt;0,I128="Y"),(G128*H128)+$M$10,IF(AND(F128&gt;0,I128="N"),(G128*H128),H128))))))))</f>
        <v/>
      </c>
      <c r="K128" s="132">
        <f>J128</f>
        <v/>
      </c>
      <c r="L128" s="148" t="n"/>
      <c r="M128" s="148" t="n"/>
      <c r="N128" s="148" t="n"/>
      <c r="O128" s="87" t="n"/>
      <c r="P128" s="81" t="n"/>
      <c r="Q128" s="81" t="n"/>
      <c r="R128" s="81" t="n"/>
      <c r="S128" s="81" t="n"/>
      <c r="T128" s="136">
        <f>IF(AND(E128&gt;0,U128=0),1,"")</f>
        <v/>
      </c>
      <c r="U128" s="136">
        <f>SUM(X128:AR128)</f>
        <v/>
      </c>
      <c r="V128" s="136">
        <f>IF(E128=$Q$16,0,SUM(X128:AI128))</f>
        <v/>
      </c>
      <c r="W128" s="136">
        <f>SUM(AK128:AR128)</f>
        <v/>
      </c>
      <c r="X128" s="136">
        <f>IF(E128=$X$6,1,"")</f>
        <v/>
      </c>
      <c r="Y128" s="136">
        <f>IF(E128=$Y$6,1,"")</f>
        <v/>
      </c>
      <c r="Z128" s="136">
        <f>IF(E128=$Z$6,1,"")</f>
        <v/>
      </c>
      <c r="AA128" s="136">
        <f>IF(E128=$AA$6,1,"")</f>
        <v/>
      </c>
      <c r="AB128" s="136">
        <f>IF(E128=$AB$6,1,"")</f>
        <v/>
      </c>
      <c r="AC128" s="136">
        <f>IF(E128=$AC$6,1,"")</f>
        <v/>
      </c>
      <c r="AD128" s="136">
        <f>IF(E128=$AD$6,1,"")</f>
        <v/>
      </c>
      <c r="AE128" s="136">
        <f>IF(E128=$AE$6,1,"")</f>
        <v/>
      </c>
      <c r="AF128" s="136">
        <f>IF(E128=$AF$6,1,"")</f>
        <v/>
      </c>
      <c r="AG128" s="136">
        <f>IF(E128=$AG$6,1,"")</f>
        <v/>
      </c>
      <c r="AH128" s="136">
        <f>IF(E128=$AH$6,1,"")</f>
        <v/>
      </c>
      <c r="AI128" s="136">
        <f>IF(E128=$AI$6,1,"")</f>
        <v/>
      </c>
      <c r="AJ128" s="136">
        <f>IF(E128=$AJ$6,1,"")</f>
        <v/>
      </c>
      <c r="AK128" s="81">
        <f>IF(E128=$AK$6,1,"")</f>
        <v/>
      </c>
      <c r="AL128" s="81">
        <f>IF(E128=$AL$6,1,"")</f>
        <v/>
      </c>
      <c r="AM128" s="81">
        <f>IF(E128=$AM$6,1,"")</f>
        <v/>
      </c>
      <c r="AN128" s="81">
        <f>IF(E128=$AN$6,1,"")</f>
        <v/>
      </c>
      <c r="AO128" s="81">
        <f>IF(E128=$AO$6,1,"")</f>
        <v/>
      </c>
      <c r="AP128" s="81">
        <f>IF(E128=$AP$6,1,"")</f>
        <v/>
      </c>
      <c r="AQ128" s="81">
        <f>IF(E128=$AQ$6,1,"")</f>
        <v/>
      </c>
      <c r="AR128" s="81">
        <f>IF(E128=$AR$6,1,"")</f>
        <v/>
      </c>
      <c r="AS128" s="81" t="n"/>
    </row>
    <row r="129" ht="15.75" customHeight="1" s="80">
      <c r="A129" s="157" t="n"/>
      <c r="B129" s="124" t="n"/>
      <c r="C129" s="125" t="n"/>
      <c r="D129" s="126" t="n"/>
      <c r="E129" s="127" t="n"/>
      <c r="F129" s="128" t="n"/>
      <c r="G129" s="129" t="n"/>
      <c r="H129" s="130" t="n"/>
      <c r="I129" s="131" t="n"/>
      <c r="J129" s="130">
        <f>IF(COUNTIF(B129:E129,"*")=0,"",IF(T129=1,"Invalid Service",IF(AND(V129=1,F129=""),"Add Session Mins",IF(AND(E129&gt;0,H129="",T129=""),"Enter Contract Rate",IF(AND(E129="IEP mtg, prep, rept",F129&gt;0),(G129*H129),IF(AND(E129&gt;0,F129&gt;0,H129&gt;0,I129=""),"Enter Travel",IF(AND(F129&gt;0,I129="Y"),(G129*H129)+$M$10,IF(AND(F129&gt;0,I129="N"),(G129*H129),H129))))))))</f>
        <v/>
      </c>
      <c r="K129" s="132">
        <f>J129</f>
        <v/>
      </c>
      <c r="L129" s="148" t="n"/>
      <c r="M129" s="148" t="n"/>
      <c r="N129" s="148" t="n"/>
      <c r="O129" s="87" t="n"/>
      <c r="P129" s="81" t="n"/>
      <c r="Q129" s="81" t="n"/>
      <c r="R129" s="81" t="n"/>
      <c r="S129" s="81" t="n"/>
      <c r="T129" s="136">
        <f>IF(AND(E129&gt;0,U129=0),1,"")</f>
        <v/>
      </c>
      <c r="U129" s="136">
        <f>SUM(X129:AR129)</f>
        <v/>
      </c>
      <c r="V129" s="136">
        <f>IF(E129=$Q$16,0,SUM(X129:AI129))</f>
        <v/>
      </c>
      <c r="W129" s="136">
        <f>SUM(AK129:AR129)</f>
        <v/>
      </c>
      <c r="X129" s="136">
        <f>IF(E129=$X$6,1,"")</f>
        <v/>
      </c>
      <c r="Y129" s="136">
        <f>IF(E129=$Y$6,1,"")</f>
        <v/>
      </c>
      <c r="Z129" s="136">
        <f>IF(E129=$Z$6,1,"")</f>
        <v/>
      </c>
      <c r="AA129" s="136">
        <f>IF(E129=$AA$6,1,"")</f>
        <v/>
      </c>
      <c r="AB129" s="136">
        <f>IF(E129=$AB$6,1,"")</f>
        <v/>
      </c>
      <c r="AC129" s="136">
        <f>IF(E129=$AC$6,1,"")</f>
        <v/>
      </c>
      <c r="AD129" s="136">
        <f>IF(E129=$AD$6,1,"")</f>
        <v/>
      </c>
      <c r="AE129" s="136">
        <f>IF(E129=$AE$6,1,"")</f>
        <v/>
      </c>
      <c r="AF129" s="136">
        <f>IF(E129=$AF$6,1,"")</f>
        <v/>
      </c>
      <c r="AG129" s="136">
        <f>IF(E129=$AG$6,1,"")</f>
        <v/>
      </c>
      <c r="AH129" s="136">
        <f>IF(E129=$AH$6,1,"")</f>
        <v/>
      </c>
      <c r="AI129" s="136">
        <f>IF(E129=$AI$6,1,"")</f>
        <v/>
      </c>
      <c r="AJ129" s="136">
        <f>IF(E129=$AJ$6,1,"")</f>
        <v/>
      </c>
      <c r="AK129" s="81">
        <f>IF(E129=$AK$6,1,"")</f>
        <v/>
      </c>
      <c r="AL129" s="81">
        <f>IF(E129=$AL$6,1,"")</f>
        <v/>
      </c>
      <c r="AM129" s="81">
        <f>IF(E129=$AM$6,1,"")</f>
        <v/>
      </c>
      <c r="AN129" s="81">
        <f>IF(E129=$AN$6,1,"")</f>
        <v/>
      </c>
      <c r="AO129" s="81">
        <f>IF(E129=$AO$6,1,"")</f>
        <v/>
      </c>
      <c r="AP129" s="81">
        <f>IF(E129=$AP$6,1,"")</f>
        <v/>
      </c>
      <c r="AQ129" s="81">
        <f>IF(E129=$AQ$6,1,"")</f>
        <v/>
      </c>
      <c r="AR129" s="81">
        <f>IF(E129=$AR$6,1,"")</f>
        <v/>
      </c>
      <c r="AS129" s="81" t="n"/>
    </row>
    <row r="130" ht="15.75" customHeight="1" s="80">
      <c r="A130" s="157" t="n"/>
      <c r="B130" s="124" t="n"/>
      <c r="C130" s="125" t="n"/>
      <c r="D130" s="126" t="n"/>
      <c r="E130" s="127" t="n"/>
      <c r="F130" s="128" t="n"/>
      <c r="G130" s="129" t="n"/>
      <c r="H130" s="130" t="n"/>
      <c r="I130" s="131" t="n"/>
      <c r="J130" s="130">
        <f>IF(COUNTIF(B130:E130,"*")=0,"",IF(T130=1,"Invalid Service",IF(AND(V130=1,F130=""),"Add Session Mins",IF(AND(E130&gt;0,H130="",T130=""),"Enter Contract Rate",IF(AND(E130="IEP mtg, prep, rept",F130&gt;0),(G130*H130),IF(AND(E130&gt;0,F130&gt;0,H130&gt;0,I130=""),"Enter Travel",IF(AND(F130&gt;0,I130="Y"),(G130*H130)+$M$10,IF(AND(F130&gt;0,I130="N"),(G130*H130),H130))))))))</f>
        <v/>
      </c>
      <c r="K130" s="132">
        <f>J130</f>
        <v/>
      </c>
      <c r="L130" s="148" t="n"/>
      <c r="M130" s="148" t="n"/>
      <c r="N130" s="148" t="n"/>
      <c r="O130" s="87" t="n"/>
      <c r="P130" s="81" t="n"/>
      <c r="Q130" s="81" t="n"/>
      <c r="R130" s="81" t="n"/>
      <c r="S130" s="81" t="n"/>
      <c r="T130" s="136">
        <f>IF(AND(E130&gt;0,U130=0),1,"")</f>
        <v/>
      </c>
      <c r="U130" s="136">
        <f>SUM(X130:AR130)</f>
        <v/>
      </c>
      <c r="V130" s="136">
        <f>IF(E130=$Q$16,0,SUM(X130:AI130))</f>
        <v/>
      </c>
      <c r="W130" s="136">
        <f>SUM(AK130:AR130)</f>
        <v/>
      </c>
      <c r="X130" s="136">
        <f>IF(E130=$X$6,1,"")</f>
        <v/>
      </c>
      <c r="Y130" s="136">
        <f>IF(E130=$Y$6,1,"")</f>
        <v/>
      </c>
      <c r="Z130" s="136">
        <f>IF(E130=$Z$6,1,"")</f>
        <v/>
      </c>
      <c r="AA130" s="136">
        <f>IF(E130=$AA$6,1,"")</f>
        <v/>
      </c>
      <c r="AB130" s="136">
        <f>IF(E130=$AB$6,1,"")</f>
        <v/>
      </c>
      <c r="AC130" s="136">
        <f>IF(E130=$AC$6,1,"")</f>
        <v/>
      </c>
      <c r="AD130" s="136">
        <f>IF(E130=$AD$6,1,"")</f>
        <v/>
      </c>
      <c r="AE130" s="136">
        <f>IF(E130=$AE$6,1,"")</f>
        <v/>
      </c>
      <c r="AF130" s="136">
        <f>IF(E130=$AF$6,1,"")</f>
        <v/>
      </c>
      <c r="AG130" s="136">
        <f>IF(E130=$AG$6,1,"")</f>
        <v/>
      </c>
      <c r="AH130" s="136">
        <f>IF(E130=$AH$6,1,"")</f>
        <v/>
      </c>
      <c r="AI130" s="136">
        <f>IF(E130=$AI$6,1,"")</f>
        <v/>
      </c>
      <c r="AJ130" s="136">
        <f>IF(E130=$AJ$6,1,"")</f>
        <v/>
      </c>
      <c r="AK130" s="81">
        <f>IF(E130=$AK$6,1,"")</f>
        <v/>
      </c>
      <c r="AL130" s="81">
        <f>IF(E130=$AL$6,1,"")</f>
        <v/>
      </c>
      <c r="AM130" s="81">
        <f>IF(E130=$AM$6,1,"")</f>
        <v/>
      </c>
      <c r="AN130" s="81">
        <f>IF(E130=$AN$6,1,"")</f>
        <v/>
      </c>
      <c r="AO130" s="81">
        <f>IF(E130=$AO$6,1,"")</f>
        <v/>
      </c>
      <c r="AP130" s="81">
        <f>IF(E130=$AP$6,1,"")</f>
        <v/>
      </c>
      <c r="AQ130" s="81">
        <f>IF(E130=$AQ$6,1,"")</f>
        <v/>
      </c>
      <c r="AR130" s="81">
        <f>IF(E130=$AR$6,1,"")</f>
        <v/>
      </c>
      <c r="AS130" s="81" t="n"/>
    </row>
    <row r="131" ht="15.75" customHeight="1" s="80">
      <c r="A131" s="157" t="n"/>
      <c r="B131" s="124" t="n"/>
      <c r="C131" s="125" t="n"/>
      <c r="D131" s="126" t="n"/>
      <c r="E131" s="127" t="n"/>
      <c r="F131" s="128" t="n"/>
      <c r="G131" s="129" t="n"/>
      <c r="H131" s="130" t="n"/>
      <c r="I131" s="131" t="n"/>
      <c r="J131" s="131">
        <f>IF(COUNTIF(B131:E131,"*")=0,"",IF(T131=1,"Invalid Service",IF(AND(V131=1,F131=""),"Add Session Mins",IF(AND(E131&gt;0,H131="",T131=""),"Enter Contract Rate",IF(AND(E131="IEP mtg, prep, rept",F131&gt;0),(G131*H131),IF(AND(E131&gt;0,F131&gt;0,H131&gt;0,I131=""),"Enter Travel",IF(AND(F131&gt;0,I131="Y"),(G131*H131)+$M$10,IF(AND(F131&gt;0,I131="N"),(G131*H131),H131))))))))</f>
        <v/>
      </c>
      <c r="K131" s="132">
        <f>J131</f>
        <v/>
      </c>
      <c r="L131" s="148" t="n"/>
      <c r="M131" s="148" t="n"/>
      <c r="N131" s="148" t="n"/>
      <c r="O131" s="87" t="n"/>
      <c r="P131" s="81" t="n"/>
      <c r="Q131" s="81" t="n"/>
      <c r="R131" s="81" t="n"/>
      <c r="S131" s="81" t="n"/>
      <c r="T131" s="136">
        <f>IF(AND(E131&gt;0,U131=0),1,"")</f>
        <v/>
      </c>
      <c r="U131" s="136">
        <f>SUM(X131:AR131)</f>
        <v/>
      </c>
      <c r="V131" s="136">
        <f>IF(E131=$Q$16,0,SUM(X131:AI131))</f>
        <v/>
      </c>
      <c r="W131" s="136">
        <f>SUM(AK131:AR131)</f>
        <v/>
      </c>
      <c r="X131" s="136">
        <f>IF(E131=$X$6,1,"")</f>
        <v/>
      </c>
      <c r="Y131" s="136">
        <f>IF(E131=$Y$6,1,"")</f>
        <v/>
      </c>
      <c r="Z131" s="136">
        <f>IF(E131=$Z$6,1,"")</f>
        <v/>
      </c>
      <c r="AA131" s="136">
        <f>IF(E131=$AA$6,1,"")</f>
        <v/>
      </c>
      <c r="AB131" s="136">
        <f>IF(E131=$AB$6,1,"")</f>
        <v/>
      </c>
      <c r="AC131" s="136">
        <f>IF(E131=$AC$6,1,"")</f>
        <v/>
      </c>
      <c r="AD131" s="136">
        <f>IF(E131=$AD$6,1,"")</f>
        <v/>
      </c>
      <c r="AE131" s="136">
        <f>IF(E131=$AE$6,1,"")</f>
        <v/>
      </c>
      <c r="AF131" s="136">
        <f>IF(E131=$AF$6,1,"")</f>
        <v/>
      </c>
      <c r="AG131" s="136">
        <f>IF(E131=$AG$6,1,"")</f>
        <v/>
      </c>
      <c r="AH131" s="136">
        <f>IF(E131=$AH$6,1,"")</f>
        <v/>
      </c>
      <c r="AI131" s="136">
        <f>IF(E131=$AI$6,1,"")</f>
        <v/>
      </c>
      <c r="AJ131" s="136">
        <f>IF(E131=$AJ$6,1,"")</f>
        <v/>
      </c>
      <c r="AK131" s="81">
        <f>IF(E131=$AK$6,1,"")</f>
        <v/>
      </c>
      <c r="AL131" s="81">
        <f>IF(E131=$AL$6,1,"")</f>
        <v/>
      </c>
      <c r="AM131" s="81">
        <f>IF(E131=$AM$6,1,"")</f>
        <v/>
      </c>
      <c r="AN131" s="81">
        <f>IF(E131=$AN$6,1,"")</f>
        <v/>
      </c>
      <c r="AO131" s="81">
        <f>IF(E131=$AO$6,1,"")</f>
        <v/>
      </c>
      <c r="AP131" s="81">
        <f>IF(E131=$AP$6,1,"")</f>
        <v/>
      </c>
      <c r="AQ131" s="81">
        <f>IF(E131=$AQ$6,1,"")</f>
        <v/>
      </c>
      <c r="AR131" s="81">
        <f>IF(E131=$AR$6,1,"")</f>
        <v/>
      </c>
      <c r="AS131" s="81" t="n"/>
    </row>
    <row r="132" ht="15.75" customHeight="1" s="80">
      <c r="A132" s="157" t="n"/>
      <c r="B132" s="124" t="n"/>
      <c r="C132" s="125" t="n"/>
      <c r="D132" s="126" t="n"/>
      <c r="E132" s="127" t="n"/>
      <c r="F132" s="128" t="n"/>
      <c r="G132" s="129" t="n"/>
      <c r="H132" s="130" t="n"/>
      <c r="I132" s="131" t="n"/>
      <c r="J132" s="131">
        <f>IF(COUNTIF(B132:E132,"*")=0,"",IF(T132=1,"Invalid Service",IF(AND(V132=1,F132=""),"Add Session Mins",IF(AND(E132&gt;0,H132="",T132=""),"Enter Contract Rate",IF(AND(E132="IEP mtg, prep, rept",F132&gt;0),(G132*H132),IF(AND(E132&gt;0,F132&gt;0,H132&gt;0,I132=""),"Enter Travel",IF(AND(F132&gt;0,I132="Y"),(G132*H132)+$M$10,IF(AND(F132&gt;0,I132="N"),(G132*H132),H132))))))))</f>
        <v/>
      </c>
      <c r="K132" s="132">
        <f>J132</f>
        <v/>
      </c>
      <c r="L132" s="148" t="n"/>
      <c r="M132" s="148" t="n"/>
      <c r="N132" s="148" t="n"/>
      <c r="O132" s="87" t="n"/>
      <c r="P132" s="81" t="n"/>
      <c r="Q132" s="81" t="n"/>
      <c r="R132" s="81" t="n"/>
      <c r="S132" s="81" t="n"/>
      <c r="T132" s="136">
        <f>IF(AND(E132&gt;0,U132=0),1,"")</f>
        <v/>
      </c>
      <c r="U132" s="136">
        <f>SUM(X132:AR132)</f>
        <v/>
      </c>
      <c r="V132" s="136">
        <f>IF(E132=$Q$16,0,SUM(X132:AI132))</f>
        <v/>
      </c>
      <c r="W132" s="136">
        <f>SUM(AK132:AR132)</f>
        <v/>
      </c>
      <c r="X132" s="136">
        <f>IF(E132=$X$6,1,"")</f>
        <v/>
      </c>
      <c r="Y132" s="136">
        <f>IF(E132=$Y$6,1,"")</f>
        <v/>
      </c>
      <c r="Z132" s="136">
        <f>IF(E132=$Z$6,1,"")</f>
        <v/>
      </c>
      <c r="AA132" s="136">
        <f>IF(E132=$AA$6,1,"")</f>
        <v/>
      </c>
      <c r="AB132" s="136">
        <f>IF(E132=$AB$6,1,"")</f>
        <v/>
      </c>
      <c r="AC132" s="136">
        <f>IF(E132=$AC$6,1,"")</f>
        <v/>
      </c>
      <c r="AD132" s="136">
        <f>IF(E132=$AD$6,1,"")</f>
        <v/>
      </c>
      <c r="AE132" s="136">
        <f>IF(E132=$AE$6,1,"")</f>
        <v/>
      </c>
      <c r="AF132" s="136">
        <f>IF(E132=$AF$6,1,"")</f>
        <v/>
      </c>
      <c r="AG132" s="136">
        <f>IF(E132=$AG$6,1,"")</f>
        <v/>
      </c>
      <c r="AH132" s="136">
        <f>IF(E132=$AH$6,1,"")</f>
        <v/>
      </c>
      <c r="AI132" s="136">
        <f>IF(E132=$AI$6,1,"")</f>
        <v/>
      </c>
      <c r="AJ132" s="136">
        <f>IF(E132=$AJ$6,1,"")</f>
        <v/>
      </c>
      <c r="AK132" s="81">
        <f>IF(E132=$AK$6,1,"")</f>
        <v/>
      </c>
      <c r="AL132" s="81">
        <f>IF(E132=$AL$6,1,"")</f>
        <v/>
      </c>
      <c r="AM132" s="81">
        <f>IF(E132=$AM$6,1,"")</f>
        <v/>
      </c>
      <c r="AN132" s="81">
        <f>IF(E132=$AN$6,1,"")</f>
        <v/>
      </c>
      <c r="AO132" s="81">
        <f>IF(E132=$AO$6,1,"")</f>
        <v/>
      </c>
      <c r="AP132" s="81">
        <f>IF(E132=$AP$6,1,"")</f>
        <v/>
      </c>
      <c r="AQ132" s="81">
        <f>IF(E132=$AQ$6,1,"")</f>
        <v/>
      </c>
      <c r="AR132" s="81">
        <f>IF(E132=$AR$6,1,"")</f>
        <v/>
      </c>
      <c r="AS132" s="81" t="n"/>
    </row>
    <row r="133" ht="15.75" customHeight="1" s="80">
      <c r="A133" s="157" t="n"/>
      <c r="B133" s="124" t="n"/>
      <c r="C133" s="125" t="n"/>
      <c r="D133" s="126" t="n"/>
      <c r="E133" s="127" t="n"/>
      <c r="F133" s="128" t="n"/>
      <c r="G133" s="129" t="n"/>
      <c r="H133" s="130" t="n"/>
      <c r="I133" s="131" t="n"/>
      <c r="J133" s="131">
        <f>IF(COUNTIF(B133:E133,"*")=0,"",IF(T133=1,"Invalid Service",IF(AND(V133=1,F133=""),"Add Session Mins",IF(AND(E133&gt;0,H133="",T133=""),"Enter Contract Rate",IF(AND(E133="IEP mtg, prep, rept",F133&gt;0),(G133*H133),IF(AND(E133&gt;0,F133&gt;0,H133&gt;0,I133=""),"Enter Travel",IF(AND(F133&gt;0,I133="Y"),(G133*H133)+$M$10,IF(AND(F133&gt;0,I133="N"),(G133*H133),H133))))))))</f>
        <v/>
      </c>
      <c r="K133" s="132">
        <f>J133</f>
        <v/>
      </c>
      <c r="L133" s="148" t="n"/>
      <c r="M133" s="148" t="n"/>
      <c r="N133" s="148" t="n"/>
      <c r="O133" s="87" t="n"/>
      <c r="P133" s="81" t="n"/>
      <c r="Q133" s="81" t="n"/>
      <c r="R133" s="81" t="n"/>
      <c r="S133" s="81" t="n"/>
      <c r="T133" s="136">
        <f>IF(AND(E133&gt;0,U133=0),1,"")</f>
        <v/>
      </c>
      <c r="U133" s="136">
        <f>SUM(X133:AR133)</f>
        <v/>
      </c>
      <c r="V133" s="136">
        <f>IF(E133=$Q$16,0,SUM(X133:AI133))</f>
        <v/>
      </c>
      <c r="W133" s="136">
        <f>SUM(AK133:AR133)</f>
        <v/>
      </c>
      <c r="X133" s="136">
        <f>IF(E133=$X$6,1,"")</f>
        <v/>
      </c>
      <c r="Y133" s="136">
        <f>IF(E133=$Y$6,1,"")</f>
        <v/>
      </c>
      <c r="Z133" s="136">
        <f>IF(E133=$Z$6,1,"")</f>
        <v/>
      </c>
      <c r="AA133" s="136">
        <f>IF(E133=$AA$6,1,"")</f>
        <v/>
      </c>
      <c r="AB133" s="136">
        <f>IF(E133=$AB$6,1,"")</f>
        <v/>
      </c>
      <c r="AC133" s="136">
        <f>IF(E133=$AC$6,1,"")</f>
        <v/>
      </c>
      <c r="AD133" s="136">
        <f>IF(E133=$AD$6,1,"")</f>
        <v/>
      </c>
      <c r="AE133" s="136">
        <f>IF(E133=$AE$6,1,"")</f>
        <v/>
      </c>
      <c r="AF133" s="136">
        <f>IF(E133=$AF$6,1,"")</f>
        <v/>
      </c>
      <c r="AG133" s="136">
        <f>IF(E133=$AG$6,1,"")</f>
        <v/>
      </c>
      <c r="AH133" s="136">
        <f>IF(E133=$AH$6,1,"")</f>
        <v/>
      </c>
      <c r="AI133" s="136">
        <f>IF(E133=$AI$6,1,"")</f>
        <v/>
      </c>
      <c r="AJ133" s="136">
        <f>IF(E133=$AJ$6,1,"")</f>
        <v/>
      </c>
      <c r="AK133" s="81">
        <f>IF(E133=$AK$6,1,"")</f>
        <v/>
      </c>
      <c r="AL133" s="81">
        <f>IF(E133=$AL$6,1,"")</f>
        <v/>
      </c>
      <c r="AM133" s="81">
        <f>IF(E133=$AM$6,1,"")</f>
        <v/>
      </c>
      <c r="AN133" s="81">
        <f>IF(E133=$AN$6,1,"")</f>
        <v/>
      </c>
      <c r="AO133" s="81">
        <f>IF(E133=$AO$6,1,"")</f>
        <v/>
      </c>
      <c r="AP133" s="81">
        <f>IF(E133=$AP$6,1,"")</f>
        <v/>
      </c>
      <c r="AQ133" s="81">
        <f>IF(E133=$AQ$6,1,"")</f>
        <v/>
      </c>
      <c r="AR133" s="81">
        <f>IF(E133=$AR$6,1,"")</f>
        <v/>
      </c>
      <c r="AS133" s="81" t="n"/>
    </row>
    <row r="134" ht="15.75" customHeight="1" s="80">
      <c r="A134" s="157" t="n"/>
      <c r="B134" s="124" t="n"/>
      <c r="C134" s="125" t="n"/>
      <c r="D134" s="126" t="n"/>
      <c r="E134" s="127" t="n"/>
      <c r="F134" s="128" t="n"/>
      <c r="G134" s="129" t="n"/>
      <c r="H134" s="130" t="n"/>
      <c r="I134" s="131" t="n"/>
      <c r="J134" s="131">
        <f>IF(COUNTIF(B134:E134,"*")=0,"",IF(T134=1,"Invalid Service",IF(AND(V134=1,F134=""),"Add Session Mins",IF(AND(E134&gt;0,H134="",T134=""),"Enter Contract Rate",IF(AND(E134="IEP mtg, prep, rept",F134&gt;0),(G134*H134),IF(AND(E134&gt;0,F134&gt;0,H134&gt;0,I134=""),"Enter Travel",IF(AND(F134&gt;0,I134="Y"),(G134*H134)+$M$10,IF(AND(F134&gt;0,I134="N"),(G134*H134),H134))))))))</f>
        <v/>
      </c>
      <c r="K134" s="132">
        <f>J134</f>
        <v/>
      </c>
      <c r="L134" s="148" t="n"/>
      <c r="M134" s="148" t="n"/>
      <c r="N134" s="148" t="n"/>
      <c r="O134" s="87" t="n"/>
      <c r="P134" s="81" t="n"/>
      <c r="Q134" s="81" t="n"/>
      <c r="R134" s="81" t="n"/>
      <c r="S134" s="81" t="n"/>
      <c r="T134" s="136">
        <f>IF(AND(E134&gt;0,U134=0),1,"")</f>
        <v/>
      </c>
      <c r="U134" s="136">
        <f>SUM(X134:AR134)</f>
        <v/>
      </c>
      <c r="V134" s="136">
        <f>IF(E134=$Q$16,0,SUM(X134:AI134))</f>
        <v/>
      </c>
      <c r="W134" s="136">
        <f>SUM(AK134:AR134)</f>
        <v/>
      </c>
      <c r="X134" s="136">
        <f>IF(E134=$X$6,1,"")</f>
        <v/>
      </c>
      <c r="Y134" s="136">
        <f>IF(E134=$Y$6,1,"")</f>
        <v/>
      </c>
      <c r="Z134" s="136">
        <f>IF(E134=$Z$6,1,"")</f>
        <v/>
      </c>
      <c r="AA134" s="136">
        <f>IF(E134=$AA$6,1,"")</f>
        <v/>
      </c>
      <c r="AB134" s="136">
        <f>IF(E134=$AB$6,1,"")</f>
        <v/>
      </c>
      <c r="AC134" s="136">
        <f>IF(E134=$AC$6,1,"")</f>
        <v/>
      </c>
      <c r="AD134" s="136">
        <f>IF(E134=$AD$6,1,"")</f>
        <v/>
      </c>
      <c r="AE134" s="136">
        <f>IF(E134=$AE$6,1,"")</f>
        <v/>
      </c>
      <c r="AF134" s="136">
        <f>IF(E134=$AF$6,1,"")</f>
        <v/>
      </c>
      <c r="AG134" s="136">
        <f>IF(E134=$AG$6,1,"")</f>
        <v/>
      </c>
      <c r="AH134" s="136">
        <f>IF(E134=$AH$6,1,"")</f>
        <v/>
      </c>
      <c r="AI134" s="136">
        <f>IF(E134=$AI$6,1,"")</f>
        <v/>
      </c>
      <c r="AJ134" s="136">
        <f>IF(E134=$AJ$6,1,"")</f>
        <v/>
      </c>
      <c r="AK134" s="81">
        <f>IF(E134=$AK$6,1,"")</f>
        <v/>
      </c>
      <c r="AL134" s="81">
        <f>IF(E134=$AL$6,1,"")</f>
        <v/>
      </c>
      <c r="AM134" s="81">
        <f>IF(E134=$AM$6,1,"")</f>
        <v/>
      </c>
      <c r="AN134" s="81">
        <f>IF(E134=$AN$6,1,"")</f>
        <v/>
      </c>
      <c r="AO134" s="81">
        <f>IF(E134=$AO$6,1,"")</f>
        <v/>
      </c>
      <c r="AP134" s="81">
        <f>IF(E134=$AP$6,1,"")</f>
        <v/>
      </c>
      <c r="AQ134" s="81">
        <f>IF(E134=$AQ$6,1,"")</f>
        <v/>
      </c>
      <c r="AR134" s="81">
        <f>IF(E134=$AR$6,1,"")</f>
        <v/>
      </c>
      <c r="AS134" s="81" t="n"/>
    </row>
    <row r="135" ht="15.75" customHeight="1" s="80">
      <c r="A135" s="157" t="n"/>
      <c r="B135" s="124" t="n"/>
      <c r="C135" s="125" t="n"/>
      <c r="D135" s="159" t="n"/>
      <c r="E135" s="123" t="n"/>
      <c r="F135" s="128" t="n"/>
      <c r="G135" s="129">
        <f>IF(F135="","",ROUND(F135/60,2))</f>
        <v/>
      </c>
      <c r="H135" s="130" t="n"/>
      <c r="I135" s="131" t="n"/>
      <c r="J135" s="131">
        <f>IF(COUNTIF(B135:E135,"*")=0,"",IF(T135=1,"Invalid Service",IF(AND(V135=1,F135=""),"Add Session Mins",IF(AND(E135&gt;0,H135="",T135=""),"Enter Contract Rate",IF(AND(E135="IEP mtg, prep, rept",F135&gt;0),(G135*H135),IF(AND(E135&gt;0,F135&gt;0,H135&gt;0,I135=""),"Enter Travel",IF(AND(F135&gt;0,I135="Y"),(G135*H135)+$M$10,IF(AND(F135&gt;0,I135="N"),(G135*H135),H135))))))))</f>
        <v/>
      </c>
      <c r="K135" s="132">
        <f>J135</f>
        <v/>
      </c>
      <c r="L135" s="148" t="n"/>
      <c r="M135" s="148" t="n"/>
      <c r="N135" s="148" t="n"/>
      <c r="O135" s="87" t="n"/>
      <c r="P135" s="81" t="n"/>
      <c r="Q135" s="81" t="n"/>
      <c r="R135" s="81" t="n"/>
      <c r="S135" s="81" t="n"/>
      <c r="T135" s="136">
        <f>IF(AND(E135&gt;0,U135=0),1,"")</f>
        <v/>
      </c>
      <c r="U135" s="136">
        <f>SUM(X135:AR135)</f>
        <v/>
      </c>
      <c r="V135" s="136">
        <f>IF(E135=$Q$16,0,SUM(X135:AI135))</f>
        <v/>
      </c>
      <c r="W135" s="136">
        <f>SUM(AK135:AR135)</f>
        <v/>
      </c>
      <c r="X135" s="136">
        <f>IF(E135=$X$6,1,"")</f>
        <v/>
      </c>
      <c r="Y135" s="136">
        <f>IF(E135=$Y$6,1,"")</f>
        <v/>
      </c>
      <c r="Z135" s="136">
        <f>IF(E135=$Z$6,1,"")</f>
        <v/>
      </c>
      <c r="AA135" s="136">
        <f>IF(E135=$AA$6,1,"")</f>
        <v/>
      </c>
      <c r="AB135" s="136">
        <f>IF(E135=$AB$6,1,"")</f>
        <v/>
      </c>
      <c r="AC135" s="136">
        <f>IF(E135=$AC$6,1,"")</f>
        <v/>
      </c>
      <c r="AD135" s="136">
        <f>IF(E135=$AD$6,1,"")</f>
        <v/>
      </c>
      <c r="AE135" s="136">
        <f>IF(E135=$AE$6,1,"")</f>
        <v/>
      </c>
      <c r="AF135" s="136">
        <f>IF(E135=$AF$6,1,"")</f>
        <v/>
      </c>
      <c r="AG135" s="136">
        <f>IF(E135=$AG$6,1,"")</f>
        <v/>
      </c>
      <c r="AH135" s="136">
        <f>IF(E135=$AH$6,1,"")</f>
        <v/>
      </c>
      <c r="AI135" s="136">
        <f>IF(E135=$AI$6,1,"")</f>
        <v/>
      </c>
      <c r="AJ135" s="136">
        <f>IF(E135=$AJ$6,1,"")</f>
        <v/>
      </c>
      <c r="AK135" s="81">
        <f>IF(E135=$AK$6,1,"")</f>
        <v/>
      </c>
      <c r="AL135" s="81">
        <f>IF(E135=$AL$6,1,"")</f>
        <v/>
      </c>
      <c r="AM135" s="81">
        <f>IF(E135=$AM$6,1,"")</f>
        <v/>
      </c>
      <c r="AN135" s="81">
        <f>IF(E135=$AN$6,1,"")</f>
        <v/>
      </c>
      <c r="AO135" s="81">
        <f>IF(E135=$AO$6,1,"")</f>
        <v/>
      </c>
      <c r="AP135" s="81">
        <f>IF(E135=$AP$6,1,"")</f>
        <v/>
      </c>
      <c r="AQ135" s="81">
        <f>IF(E135=$AQ$6,1,"")</f>
        <v/>
      </c>
      <c r="AR135" s="81">
        <f>IF(E135=$AR$6,1,"")</f>
        <v/>
      </c>
      <c r="AS135" s="81" t="n"/>
    </row>
    <row r="136" ht="15.75" customHeight="1" s="80">
      <c r="A136" s="157" t="n"/>
      <c r="B136" s="124" t="n"/>
      <c r="C136" s="125" t="n"/>
      <c r="D136" s="126" t="n"/>
      <c r="E136" s="127" t="n"/>
      <c r="F136" s="128" t="n"/>
      <c r="G136" s="129">
        <f>IF(F136="","",ROUND(F136/60,2))</f>
        <v/>
      </c>
      <c r="H136" s="130" t="n"/>
      <c r="I136" s="131" t="n"/>
      <c r="J136" s="131">
        <f>IF(COUNTIF(B136:E136,"*")=0,"",IF(T136=1,"Invalid Service",IF(AND(V136=1,F136=""),"Add Session Mins",IF(AND(E136&gt;0,H136="",T136=""),"Enter Contract Rate",IF(AND(E136="IEP mtg, prep, rept",F136&gt;0),(G136*H136),IF(AND(E136&gt;0,F136&gt;0,H136&gt;0,I136=""),"Enter Travel",IF(AND(F136&gt;0,I136="Y"),(G136*H136)+$M$10,IF(AND(F136&gt;0,I136="N"),(G136*H136),H136))))))))</f>
        <v/>
      </c>
      <c r="K136" s="132">
        <f>J136</f>
        <v/>
      </c>
      <c r="L136" s="148" t="n"/>
      <c r="M136" s="148" t="n"/>
      <c r="N136" s="148" t="n"/>
      <c r="O136" s="87" t="n"/>
      <c r="P136" s="81" t="n"/>
      <c r="Q136" s="81" t="n"/>
      <c r="R136" s="81" t="n"/>
      <c r="S136" s="81" t="n"/>
      <c r="T136" s="136">
        <f>IF(AND(E136&gt;0,U136=0),1,"")</f>
        <v/>
      </c>
      <c r="U136" s="136">
        <f>SUM(X136:AR136)</f>
        <v/>
      </c>
      <c r="V136" s="136">
        <f>IF(E136=$Q$16,0,SUM(X136:AI136))</f>
        <v/>
      </c>
      <c r="W136" s="136">
        <f>SUM(AK136:AR136)</f>
        <v/>
      </c>
      <c r="X136" s="136">
        <f>IF(E136=$X$6,1,"")</f>
        <v/>
      </c>
      <c r="Y136" s="136">
        <f>IF(E136=$Y$6,1,"")</f>
        <v/>
      </c>
      <c r="Z136" s="136">
        <f>IF(E136=$Z$6,1,"")</f>
        <v/>
      </c>
      <c r="AA136" s="136">
        <f>IF(E136=$AA$6,1,"")</f>
        <v/>
      </c>
      <c r="AB136" s="136">
        <f>IF(E136=$AB$6,1,"")</f>
        <v/>
      </c>
      <c r="AC136" s="136">
        <f>IF(E136=$AC$6,1,"")</f>
        <v/>
      </c>
      <c r="AD136" s="136">
        <f>IF(E136=$AD$6,1,"")</f>
        <v/>
      </c>
      <c r="AE136" s="136">
        <f>IF(E136=$AE$6,1,"")</f>
        <v/>
      </c>
      <c r="AF136" s="136">
        <f>IF(E136=$AF$6,1,"")</f>
        <v/>
      </c>
      <c r="AG136" s="136">
        <f>IF(E136=$AG$6,1,"")</f>
        <v/>
      </c>
      <c r="AH136" s="136">
        <f>IF(E136=$AH$6,1,"")</f>
        <v/>
      </c>
      <c r="AI136" s="136">
        <f>IF(E136=$AI$6,1,"")</f>
        <v/>
      </c>
      <c r="AJ136" s="136">
        <f>IF(E136=$AJ$6,1,"")</f>
        <v/>
      </c>
      <c r="AK136" s="81">
        <f>IF(E136=$AK$6,1,"")</f>
        <v/>
      </c>
      <c r="AL136" s="81">
        <f>IF(E136=$AL$6,1,"")</f>
        <v/>
      </c>
      <c r="AM136" s="81">
        <f>IF(E136=$AM$6,1,"")</f>
        <v/>
      </c>
      <c r="AN136" s="81">
        <f>IF(E136=$AN$6,1,"")</f>
        <v/>
      </c>
      <c r="AO136" s="81">
        <f>IF(E136=$AO$6,1,"")</f>
        <v/>
      </c>
      <c r="AP136" s="81">
        <f>IF(E136=$AP$6,1,"")</f>
        <v/>
      </c>
      <c r="AQ136" s="81">
        <f>IF(E136=$AQ$6,1,"")</f>
        <v/>
      </c>
      <c r="AR136" s="81">
        <f>IF(E136=$AR$6,1,"")</f>
        <v/>
      </c>
      <c r="AS136" s="81" t="n"/>
    </row>
    <row r="137" ht="15.75" customHeight="1" s="80">
      <c r="A137" s="157" t="n"/>
      <c r="B137" s="124" t="n"/>
      <c r="C137" s="125" t="n"/>
      <c r="D137" s="126" t="n"/>
      <c r="E137" s="127" t="n"/>
      <c r="F137" s="128" t="n"/>
      <c r="G137" s="129">
        <f>IF(F137="","",ROUND(F137/60,2))</f>
        <v/>
      </c>
      <c r="H137" s="130" t="n"/>
      <c r="I137" s="131" t="n"/>
      <c r="J137" s="131">
        <f>IF(COUNTIF(B137:E137,"*")=0,"",IF(T137=1,"Invalid Service",IF(AND(V137=1,F137=""),"Add Session Mins",IF(AND(E137&gt;0,H137="",T137=""),"Enter Contract Rate",IF(AND(E137="IEP mtg, prep, rept",F137&gt;0),(G137*H137),IF(AND(E137&gt;0,F137&gt;0,H137&gt;0,I137=""),"Enter Travel",IF(AND(F137&gt;0,I137="Y"),(G137*H137)+$M$10,IF(AND(F137&gt;0,I137="N"),(G137*H137),H137))))))))</f>
        <v/>
      </c>
      <c r="K137" s="132">
        <f>J137</f>
        <v/>
      </c>
      <c r="L137" s="148" t="n"/>
      <c r="M137" s="148" t="n"/>
      <c r="N137" s="148" t="n"/>
      <c r="O137" s="87" t="n"/>
      <c r="P137" s="81" t="n"/>
      <c r="Q137" s="81" t="n"/>
      <c r="R137" s="81" t="n"/>
      <c r="S137" s="81" t="n"/>
      <c r="T137" s="136">
        <f>IF(AND(E137&gt;0,U137=0),1,"")</f>
        <v/>
      </c>
      <c r="U137" s="136">
        <f>SUM(X137:AR137)</f>
        <v/>
      </c>
      <c r="V137" s="136">
        <f>IF(E137=$Q$16,0,SUM(X137:AI137))</f>
        <v/>
      </c>
      <c r="W137" s="136">
        <f>SUM(AK137:AR137)</f>
        <v/>
      </c>
      <c r="X137" s="136">
        <f>IF(E137=$X$6,1,"")</f>
        <v/>
      </c>
      <c r="Y137" s="136">
        <f>IF(E137=$Y$6,1,"")</f>
        <v/>
      </c>
      <c r="Z137" s="136">
        <f>IF(E137=$Z$6,1,"")</f>
        <v/>
      </c>
      <c r="AA137" s="136">
        <f>IF(E137=$AA$6,1,"")</f>
        <v/>
      </c>
      <c r="AB137" s="136">
        <f>IF(E137=$AB$6,1,"")</f>
        <v/>
      </c>
      <c r="AC137" s="136">
        <f>IF(E137=$AC$6,1,"")</f>
        <v/>
      </c>
      <c r="AD137" s="136">
        <f>IF(E137=$AD$6,1,"")</f>
        <v/>
      </c>
      <c r="AE137" s="136">
        <f>IF(E137=$AE$6,1,"")</f>
        <v/>
      </c>
      <c r="AF137" s="136">
        <f>IF(E137=$AF$6,1,"")</f>
        <v/>
      </c>
      <c r="AG137" s="136">
        <f>IF(E137=$AG$6,1,"")</f>
        <v/>
      </c>
      <c r="AH137" s="136">
        <f>IF(E137=$AH$6,1,"")</f>
        <v/>
      </c>
      <c r="AI137" s="136">
        <f>IF(E137=$AI$6,1,"")</f>
        <v/>
      </c>
      <c r="AJ137" s="136">
        <f>IF(E137=$AJ$6,1,"")</f>
        <v/>
      </c>
      <c r="AK137" s="81">
        <f>IF(E137=$AK$6,1,"")</f>
        <v/>
      </c>
      <c r="AL137" s="81">
        <f>IF(E137=$AL$6,1,"")</f>
        <v/>
      </c>
      <c r="AM137" s="81">
        <f>IF(E137=$AM$6,1,"")</f>
        <v/>
      </c>
      <c r="AN137" s="81">
        <f>IF(E137=$AN$6,1,"")</f>
        <v/>
      </c>
      <c r="AO137" s="81">
        <f>IF(E137=$AO$6,1,"")</f>
        <v/>
      </c>
      <c r="AP137" s="81">
        <f>IF(E137=$AP$6,1,"")</f>
        <v/>
      </c>
      <c r="AQ137" s="81">
        <f>IF(E137=$AQ$6,1,"")</f>
        <v/>
      </c>
      <c r="AR137" s="81">
        <f>IF(E137=$AR$6,1,"")</f>
        <v/>
      </c>
      <c r="AS137" s="81" t="n"/>
    </row>
    <row r="138" ht="15.75" customHeight="1" s="80">
      <c r="A138" s="157" t="n"/>
      <c r="B138" s="124" t="n"/>
      <c r="C138" s="125" t="n"/>
      <c r="D138" s="126" t="n"/>
      <c r="E138" s="127" t="n"/>
      <c r="F138" s="128" t="n"/>
      <c r="G138" s="129">
        <f>IF(F138="","",ROUND(F138/60,2))</f>
        <v/>
      </c>
      <c r="H138" s="130" t="n"/>
      <c r="I138" s="131" t="n"/>
      <c r="J138" s="131">
        <f>IF(COUNTIF(B138:E138,"*")=0,"",IF(T138=1,"Invalid Service",IF(AND(V138=1,F138=""),"Add Session Mins",IF(AND(E138&gt;0,H138="",T138=""),"Enter Contract Rate",IF(AND(E138="IEP mtg, prep, rept",F138&gt;0),(G138*H138),IF(AND(E138&gt;0,F138&gt;0,H138&gt;0,I138=""),"Enter Travel",IF(AND(F138&gt;0,I138="Y"),(G138*H138)+$M$10,IF(AND(F138&gt;0,I138="N"),(G138*H138),H138))))))))</f>
        <v/>
      </c>
      <c r="K138" s="132">
        <f>J138</f>
        <v/>
      </c>
      <c r="L138" s="148" t="n"/>
      <c r="M138" s="148" t="n"/>
      <c r="N138" s="148" t="n"/>
      <c r="O138" s="87" t="n"/>
      <c r="P138" s="81" t="n"/>
      <c r="Q138" s="81" t="n"/>
      <c r="R138" s="81" t="n"/>
      <c r="S138" s="81" t="n"/>
      <c r="T138" s="136">
        <f>IF(AND(E138&gt;0,U138=0),1,"")</f>
        <v/>
      </c>
      <c r="U138" s="136">
        <f>SUM(X138:AR138)</f>
        <v/>
      </c>
      <c r="V138" s="136">
        <f>IF(E138=$Q$16,0,SUM(X138:AI138))</f>
        <v/>
      </c>
      <c r="W138" s="136">
        <f>SUM(AK138:AR138)</f>
        <v/>
      </c>
      <c r="X138" s="136">
        <f>IF(E138=$X$6,1,"")</f>
        <v/>
      </c>
      <c r="Y138" s="136">
        <f>IF(E138=$Y$6,1,"")</f>
        <v/>
      </c>
      <c r="Z138" s="136">
        <f>IF(E138=$Z$6,1,"")</f>
        <v/>
      </c>
      <c r="AA138" s="136">
        <f>IF(E138=$AA$6,1,"")</f>
        <v/>
      </c>
      <c r="AB138" s="136">
        <f>IF(E138=$AB$6,1,"")</f>
        <v/>
      </c>
      <c r="AC138" s="136">
        <f>IF(E138=$AC$6,1,"")</f>
        <v/>
      </c>
      <c r="AD138" s="136">
        <f>IF(E138=$AD$6,1,"")</f>
        <v/>
      </c>
      <c r="AE138" s="136">
        <f>IF(E138=$AE$6,1,"")</f>
        <v/>
      </c>
      <c r="AF138" s="136">
        <f>IF(E138=$AF$6,1,"")</f>
        <v/>
      </c>
      <c r="AG138" s="136">
        <f>IF(E138=$AG$6,1,"")</f>
        <v/>
      </c>
      <c r="AH138" s="136">
        <f>IF(E138=$AH$6,1,"")</f>
        <v/>
      </c>
      <c r="AI138" s="136">
        <f>IF(E138=$AI$6,1,"")</f>
        <v/>
      </c>
      <c r="AJ138" s="136">
        <f>IF(E138=$AJ$6,1,"")</f>
        <v/>
      </c>
      <c r="AK138" s="81">
        <f>IF(E138=$AK$6,1,"")</f>
        <v/>
      </c>
      <c r="AL138" s="81">
        <f>IF(E138=$AL$6,1,"")</f>
        <v/>
      </c>
      <c r="AM138" s="81">
        <f>IF(E138=$AM$6,1,"")</f>
        <v/>
      </c>
      <c r="AN138" s="81">
        <f>IF(E138=$AN$6,1,"")</f>
        <v/>
      </c>
      <c r="AO138" s="81">
        <f>IF(E138=$AO$6,1,"")</f>
        <v/>
      </c>
      <c r="AP138" s="81">
        <f>IF(E138=$AP$6,1,"")</f>
        <v/>
      </c>
      <c r="AQ138" s="81">
        <f>IF(E138=$AQ$6,1,"")</f>
        <v/>
      </c>
      <c r="AR138" s="81">
        <f>IF(E138=$AR$6,1,"")</f>
        <v/>
      </c>
      <c r="AS138" s="81" t="n"/>
    </row>
    <row r="139" ht="15.75" customHeight="1" s="80">
      <c r="A139" s="157" t="n"/>
      <c r="B139" s="124" t="n"/>
      <c r="C139" s="125" t="n"/>
      <c r="D139" s="126" t="n"/>
      <c r="E139" s="127" t="n"/>
      <c r="F139" s="128" t="n"/>
      <c r="G139" s="129">
        <f>IF(F139="","",ROUND(F139/60,2))</f>
        <v/>
      </c>
      <c r="H139" s="130" t="n"/>
      <c r="I139" s="131" t="n"/>
      <c r="J139" s="131">
        <f>IF(COUNTIF(B139:E139,"*")=0,"",IF(T139=1,"Invalid Service",IF(AND(V139=1,F139=""),"Add Session Mins",IF(AND(E139&gt;0,H139="",T139=""),"Enter Contract Rate",IF(AND(E139="IEP mtg, prep, rept",F139&gt;0),(G139*H139),IF(AND(E139&gt;0,F139&gt;0,H139&gt;0,I139=""),"Enter Travel",IF(AND(F139&gt;0,I139="Y"),(G139*H139)+$M$10,IF(AND(F139&gt;0,I139="N"),(G139*H139),H139))))))))</f>
        <v/>
      </c>
      <c r="K139" s="132">
        <f>J139</f>
        <v/>
      </c>
      <c r="L139" s="148" t="n"/>
      <c r="M139" s="148" t="n"/>
      <c r="N139" s="148" t="n"/>
      <c r="O139" s="87" t="n"/>
      <c r="P139" s="81" t="n"/>
      <c r="Q139" s="81" t="n"/>
      <c r="R139" s="81" t="n"/>
      <c r="S139" s="81" t="n"/>
      <c r="T139" s="136">
        <f>IF(AND(E139&gt;0,U139=0),1,"")</f>
        <v/>
      </c>
      <c r="U139" s="136">
        <f>SUM(X139:AR139)</f>
        <v/>
      </c>
      <c r="V139" s="136">
        <f>IF(E139=$Q$16,0,SUM(X139:AI139))</f>
        <v/>
      </c>
      <c r="W139" s="136">
        <f>SUM(AK139:AR139)</f>
        <v/>
      </c>
      <c r="X139" s="136">
        <f>IF(E139=$X$6,1,"")</f>
        <v/>
      </c>
      <c r="Y139" s="136">
        <f>IF(E139=$Y$6,1,"")</f>
        <v/>
      </c>
      <c r="Z139" s="136">
        <f>IF(E139=$Z$6,1,"")</f>
        <v/>
      </c>
      <c r="AA139" s="136">
        <f>IF(E139=$AA$6,1,"")</f>
        <v/>
      </c>
      <c r="AB139" s="136">
        <f>IF(E139=$AB$6,1,"")</f>
        <v/>
      </c>
      <c r="AC139" s="136">
        <f>IF(E139=$AC$6,1,"")</f>
        <v/>
      </c>
      <c r="AD139" s="136">
        <f>IF(E139=$AD$6,1,"")</f>
        <v/>
      </c>
      <c r="AE139" s="136">
        <f>IF(E139=$AE$6,1,"")</f>
        <v/>
      </c>
      <c r="AF139" s="136">
        <f>IF(E139=$AF$6,1,"")</f>
        <v/>
      </c>
      <c r="AG139" s="136">
        <f>IF(E139=$AG$6,1,"")</f>
        <v/>
      </c>
      <c r="AH139" s="136">
        <f>IF(E139=$AH$6,1,"")</f>
        <v/>
      </c>
      <c r="AI139" s="136">
        <f>IF(E139=$AI$6,1,"")</f>
        <v/>
      </c>
      <c r="AJ139" s="136">
        <f>IF(E139=$AJ$6,1,"")</f>
        <v/>
      </c>
      <c r="AK139" s="81">
        <f>IF(E139=$AK$6,1,"")</f>
        <v/>
      </c>
      <c r="AL139" s="81">
        <f>IF(E139=$AL$6,1,"")</f>
        <v/>
      </c>
      <c r="AM139" s="81">
        <f>IF(E139=$AM$6,1,"")</f>
        <v/>
      </c>
      <c r="AN139" s="81">
        <f>IF(E139=$AN$6,1,"")</f>
        <v/>
      </c>
      <c r="AO139" s="81">
        <f>IF(E139=$AO$6,1,"")</f>
        <v/>
      </c>
      <c r="AP139" s="81">
        <f>IF(E139=$AP$6,1,"")</f>
        <v/>
      </c>
      <c r="AQ139" s="81">
        <f>IF(E139=$AQ$6,1,"")</f>
        <v/>
      </c>
      <c r="AR139" s="81">
        <f>IF(E139=$AR$6,1,"")</f>
        <v/>
      </c>
      <c r="AS139" s="81" t="n"/>
    </row>
    <row r="140" ht="15.75" customHeight="1" s="80">
      <c r="A140" s="157" t="n"/>
      <c r="B140" s="124" t="n"/>
      <c r="C140" s="125" t="n"/>
      <c r="D140" s="126" t="n"/>
      <c r="E140" s="127" t="n"/>
      <c r="F140" s="128" t="n"/>
      <c r="G140" s="129">
        <f>IF(F140="","",ROUND(F140/60,2))</f>
        <v/>
      </c>
      <c r="H140" s="130" t="n"/>
      <c r="I140" s="131" t="n"/>
      <c r="J140" s="131">
        <f>IF(COUNTIF(B140:E140,"*")=0,"",IF(T140=1,"Invalid Service",IF(AND(V140=1,F140=""),"Add Session Mins",IF(AND(E140&gt;0,H140="",T140=""),"Enter Contract Rate",IF(AND(E140="IEP mtg, prep, rept",F140&gt;0),(G140*H140),IF(AND(E140&gt;0,F140&gt;0,H140&gt;0,I140=""),"Enter Travel",IF(AND(F140&gt;0,I140="Y"),(G140*H140)+$M$10,IF(AND(F140&gt;0,I140="N"),(G140*H140),H140))))))))</f>
        <v/>
      </c>
      <c r="K140" s="132">
        <f>J140</f>
        <v/>
      </c>
      <c r="L140" s="148" t="n"/>
      <c r="M140" s="148" t="n"/>
      <c r="N140" s="148" t="n"/>
      <c r="O140" s="87" t="n"/>
      <c r="P140" s="81" t="n"/>
      <c r="Q140" s="81" t="n"/>
      <c r="R140" s="81" t="n"/>
      <c r="S140" s="81" t="n"/>
      <c r="T140" s="136">
        <f>IF(AND(E140&gt;0,U140=0),1,"")</f>
        <v/>
      </c>
      <c r="U140" s="136">
        <f>SUM(X140:AR140)</f>
        <v/>
      </c>
      <c r="V140" s="136">
        <f>IF(E140=$Q$16,0,SUM(X140:AI140))</f>
        <v/>
      </c>
      <c r="W140" s="136">
        <f>SUM(AK140:AR140)</f>
        <v/>
      </c>
      <c r="X140" s="136">
        <f>IF(E140=$X$6,1,"")</f>
        <v/>
      </c>
      <c r="Y140" s="136">
        <f>IF(E140=$Y$6,1,"")</f>
        <v/>
      </c>
      <c r="Z140" s="136">
        <f>IF(E140=$Z$6,1,"")</f>
        <v/>
      </c>
      <c r="AA140" s="136">
        <f>IF(E140=$AA$6,1,"")</f>
        <v/>
      </c>
      <c r="AB140" s="136">
        <f>IF(E140=$AB$6,1,"")</f>
        <v/>
      </c>
      <c r="AC140" s="136">
        <f>IF(E140=$AC$6,1,"")</f>
        <v/>
      </c>
      <c r="AD140" s="136">
        <f>IF(E140=$AD$6,1,"")</f>
        <v/>
      </c>
      <c r="AE140" s="136">
        <f>IF(E140=$AE$6,1,"")</f>
        <v/>
      </c>
      <c r="AF140" s="136">
        <f>IF(E140=$AF$6,1,"")</f>
        <v/>
      </c>
      <c r="AG140" s="136">
        <f>IF(E140=$AG$6,1,"")</f>
        <v/>
      </c>
      <c r="AH140" s="136">
        <f>IF(E140=$AH$6,1,"")</f>
        <v/>
      </c>
      <c r="AI140" s="136">
        <f>IF(E140=$AI$6,1,"")</f>
        <v/>
      </c>
      <c r="AJ140" s="136">
        <f>IF(E140=$AJ$6,1,"")</f>
        <v/>
      </c>
      <c r="AK140" s="81">
        <f>IF(E140=$AK$6,1,"")</f>
        <v/>
      </c>
      <c r="AL140" s="81">
        <f>IF(E140=$AL$6,1,"")</f>
        <v/>
      </c>
      <c r="AM140" s="81">
        <f>IF(E140=$AM$6,1,"")</f>
        <v/>
      </c>
      <c r="AN140" s="81">
        <f>IF(E140=$AN$6,1,"")</f>
        <v/>
      </c>
      <c r="AO140" s="81">
        <f>IF(E140=$AO$6,1,"")</f>
        <v/>
      </c>
      <c r="AP140" s="81">
        <f>IF(E140=$AP$6,1,"")</f>
        <v/>
      </c>
      <c r="AQ140" s="81">
        <f>IF(E140=$AQ$6,1,"")</f>
        <v/>
      </c>
      <c r="AR140" s="81">
        <f>IF(E140=$AR$6,1,"")</f>
        <v/>
      </c>
      <c r="AS140" s="81" t="n"/>
    </row>
    <row r="141" ht="15.75" customHeight="1" s="80">
      <c r="A141" s="157" t="n"/>
      <c r="B141" s="124" t="n"/>
      <c r="C141" s="125" t="n"/>
      <c r="D141" s="126" t="n"/>
      <c r="E141" s="127" t="n"/>
      <c r="F141" s="128" t="n"/>
      <c r="G141" s="129">
        <f>IF(F141="","",ROUND(F141/60,2))</f>
        <v/>
      </c>
      <c r="H141" s="130" t="n"/>
      <c r="I141" s="131" t="n"/>
      <c r="J141" s="131">
        <f>IF(COUNTIF(B141:E141,"*")=0,"",IF(T141=1,"Invalid Service",IF(AND(V141=1,F141=""),"Add Session Mins",IF(AND(E141&gt;0,H141="",T141=""),"Enter Contract Rate",IF(AND(E141="IEP mtg, prep, rept",F141&gt;0),(G141*H141),IF(AND(E141&gt;0,F141&gt;0,H141&gt;0,I141=""),"Enter Travel",IF(AND(F141&gt;0,I141="Y"),(G141*H141)+$M$10,IF(AND(F141&gt;0,I141="N"),(G141*H141),H141))))))))</f>
        <v/>
      </c>
      <c r="K141" s="132">
        <f>J141</f>
        <v/>
      </c>
      <c r="L141" s="148" t="n"/>
      <c r="M141" s="148" t="n"/>
      <c r="N141" s="148" t="n"/>
      <c r="O141" s="87" t="n"/>
      <c r="P141" s="81" t="n"/>
      <c r="Q141" s="81" t="n"/>
      <c r="R141" s="81" t="n"/>
      <c r="S141" s="81" t="n"/>
      <c r="T141" s="136">
        <f>IF(AND(E141&gt;0,U141=0),1,"")</f>
        <v/>
      </c>
      <c r="U141" s="136">
        <f>SUM(X141:AR141)</f>
        <v/>
      </c>
      <c r="V141" s="136">
        <f>IF(E141=$Q$16,0,SUM(X141:AI141))</f>
        <v/>
      </c>
      <c r="W141" s="136">
        <f>SUM(AK141:AR141)</f>
        <v/>
      </c>
      <c r="X141" s="136">
        <f>IF(E141=$X$6,1,"")</f>
        <v/>
      </c>
      <c r="Y141" s="136">
        <f>IF(E141=$Y$6,1,"")</f>
        <v/>
      </c>
      <c r="Z141" s="136">
        <f>IF(E141=$Z$6,1,"")</f>
        <v/>
      </c>
      <c r="AA141" s="136">
        <f>IF(E141=$AA$6,1,"")</f>
        <v/>
      </c>
      <c r="AB141" s="136">
        <f>IF(E141=$AB$6,1,"")</f>
        <v/>
      </c>
      <c r="AC141" s="136">
        <f>IF(E141=$AC$6,1,"")</f>
        <v/>
      </c>
      <c r="AD141" s="136">
        <f>IF(E141=$AD$6,1,"")</f>
        <v/>
      </c>
      <c r="AE141" s="136">
        <f>IF(E141=$AE$6,1,"")</f>
        <v/>
      </c>
      <c r="AF141" s="136">
        <f>IF(E141=$AF$6,1,"")</f>
        <v/>
      </c>
      <c r="AG141" s="136">
        <f>IF(E141=$AG$6,1,"")</f>
        <v/>
      </c>
      <c r="AH141" s="136">
        <f>IF(E141=$AH$6,1,"")</f>
        <v/>
      </c>
      <c r="AI141" s="136">
        <f>IF(E141=$AI$6,1,"")</f>
        <v/>
      </c>
      <c r="AJ141" s="136">
        <f>IF(E141=$AJ$6,1,"")</f>
        <v/>
      </c>
      <c r="AK141" s="81">
        <f>IF(E141=$AK$6,1,"")</f>
        <v/>
      </c>
      <c r="AL141" s="81">
        <f>IF(E141=$AL$6,1,"")</f>
        <v/>
      </c>
      <c r="AM141" s="81">
        <f>IF(E141=$AM$6,1,"")</f>
        <v/>
      </c>
      <c r="AN141" s="81">
        <f>IF(E141=$AN$6,1,"")</f>
        <v/>
      </c>
      <c r="AO141" s="81">
        <f>IF(E141=$AO$6,1,"")</f>
        <v/>
      </c>
      <c r="AP141" s="81">
        <f>IF(E141=$AP$6,1,"")</f>
        <v/>
      </c>
      <c r="AQ141" s="81">
        <f>IF(E141=$AQ$6,1,"")</f>
        <v/>
      </c>
      <c r="AR141" s="81">
        <f>IF(E141=$AR$6,1,"")</f>
        <v/>
      </c>
      <c r="AS141" s="81" t="n"/>
    </row>
    <row r="142" ht="15.75" customHeight="1" s="80">
      <c r="A142" s="157" t="n"/>
      <c r="B142" s="124" t="n"/>
      <c r="C142" s="125" t="n"/>
      <c r="D142" s="126" t="n"/>
      <c r="E142" s="127" t="n"/>
      <c r="F142" s="128" t="n"/>
      <c r="G142" s="129">
        <f>IF(F142="","",ROUND(F142/60,2))</f>
        <v/>
      </c>
      <c r="H142" s="130" t="n"/>
      <c r="I142" s="131" t="n"/>
      <c r="J142" s="131">
        <f>IF(COUNTIF(B142:E142,"*")=0,"",IF(T142=1,"Invalid Service",IF(AND(V142=1,F142=""),"Add Session Mins",IF(AND(E142&gt;0,H142="",T142=""),"Enter Contract Rate",IF(AND(E142="IEP mtg, prep, rept",F142&gt;0),(G142*H142),IF(AND(E142&gt;0,F142&gt;0,H142&gt;0,I142=""),"Enter Travel",IF(AND(F142&gt;0,I142="Y"),(G142*H142)+$M$10,IF(AND(F142&gt;0,I142="N"),(G142*H142),H142))))))))</f>
        <v/>
      </c>
      <c r="K142" s="132">
        <f>J142</f>
        <v/>
      </c>
      <c r="L142" s="148" t="n"/>
      <c r="M142" s="148" t="n"/>
      <c r="N142" s="148" t="n"/>
      <c r="O142" s="87" t="n"/>
      <c r="P142" s="81" t="n"/>
      <c r="Q142" s="81" t="n"/>
      <c r="R142" s="81" t="n"/>
      <c r="S142" s="81" t="n"/>
      <c r="T142" s="136">
        <f>IF(AND(E142&gt;0,U142=0),1,"")</f>
        <v/>
      </c>
      <c r="U142" s="136">
        <f>SUM(X142:AR142)</f>
        <v/>
      </c>
      <c r="V142" s="136">
        <f>IF(E142=$Q$16,0,SUM(X142:AI142))</f>
        <v/>
      </c>
      <c r="W142" s="136">
        <f>SUM(AK142:AR142)</f>
        <v/>
      </c>
      <c r="X142" s="136">
        <f>IF(E142=$X$6,1,"")</f>
        <v/>
      </c>
      <c r="Y142" s="136">
        <f>IF(E142=$Y$6,1,"")</f>
        <v/>
      </c>
      <c r="Z142" s="136">
        <f>IF(E142=$Z$6,1,"")</f>
        <v/>
      </c>
      <c r="AA142" s="136">
        <f>IF(E142=$AA$6,1,"")</f>
        <v/>
      </c>
      <c r="AB142" s="136">
        <f>IF(E142=$AB$6,1,"")</f>
        <v/>
      </c>
      <c r="AC142" s="136">
        <f>IF(E142=$AC$6,1,"")</f>
        <v/>
      </c>
      <c r="AD142" s="136">
        <f>IF(E142=$AD$6,1,"")</f>
        <v/>
      </c>
      <c r="AE142" s="136">
        <f>IF(E142=$AE$6,1,"")</f>
        <v/>
      </c>
      <c r="AF142" s="136">
        <f>IF(E142=$AF$6,1,"")</f>
        <v/>
      </c>
      <c r="AG142" s="136">
        <f>IF(E142=$AG$6,1,"")</f>
        <v/>
      </c>
      <c r="AH142" s="136">
        <f>IF(E142=$AH$6,1,"")</f>
        <v/>
      </c>
      <c r="AI142" s="136">
        <f>IF(E142=$AI$6,1,"")</f>
        <v/>
      </c>
      <c r="AJ142" s="136">
        <f>IF(E142=$AJ$6,1,"")</f>
        <v/>
      </c>
      <c r="AK142" s="81">
        <f>IF(E142=$AK$6,1,"")</f>
        <v/>
      </c>
      <c r="AL142" s="81">
        <f>IF(E142=$AL$6,1,"")</f>
        <v/>
      </c>
      <c r="AM142" s="81">
        <f>IF(E142=$AM$6,1,"")</f>
        <v/>
      </c>
      <c r="AN142" s="81">
        <f>IF(E142=$AN$6,1,"")</f>
        <v/>
      </c>
      <c r="AO142" s="81">
        <f>IF(E142=$AO$6,1,"")</f>
        <v/>
      </c>
      <c r="AP142" s="81">
        <f>IF(E142=$AP$6,1,"")</f>
        <v/>
      </c>
      <c r="AQ142" s="81">
        <f>IF(E142=$AQ$6,1,"")</f>
        <v/>
      </c>
      <c r="AR142" s="81">
        <f>IF(E142=$AR$6,1,"")</f>
        <v/>
      </c>
      <c r="AS142" s="81" t="n"/>
    </row>
    <row r="143" ht="15.75" customHeight="1" s="80">
      <c r="A143" s="157" t="n"/>
      <c r="B143" s="124" t="n"/>
      <c r="C143" s="125" t="n"/>
      <c r="D143" s="126" t="n"/>
      <c r="E143" s="127" t="n"/>
      <c r="F143" s="128" t="n"/>
      <c r="G143" s="129">
        <f>IF(F143="","",ROUND(F143/60,2))</f>
        <v/>
      </c>
      <c r="H143" s="130" t="n"/>
      <c r="I143" s="131" t="n"/>
      <c r="J143" s="131">
        <f>IF(COUNTIF(B143:E143,"*")=0,"",IF(T143=1,"Invalid Service",IF(AND(V143=1,F143=""),"Add Session Mins",IF(AND(E143&gt;0,H143="",T143=""),"Enter Contract Rate",IF(AND(E143="IEP mtg, prep, rept",F143&gt;0),(G143*H143),IF(AND(E143&gt;0,F143&gt;0,H143&gt;0,I143=""),"Enter Travel",IF(AND(F143&gt;0,I143="Y"),(G143*H143)+$M$10,IF(AND(F143&gt;0,I143="N"),(G143*H143),H143))))))))</f>
        <v/>
      </c>
      <c r="K143" s="132">
        <f>J143</f>
        <v/>
      </c>
      <c r="L143" s="148" t="n"/>
      <c r="M143" s="148" t="n"/>
      <c r="N143" s="148" t="n"/>
      <c r="O143" s="87" t="n"/>
      <c r="P143" s="81" t="n"/>
      <c r="Q143" s="81" t="n"/>
      <c r="R143" s="81" t="n"/>
      <c r="S143" s="81" t="n"/>
      <c r="T143" s="136">
        <f>IF(AND(E143&gt;0,U143=0),1,"")</f>
        <v/>
      </c>
      <c r="U143" s="136">
        <f>SUM(X143:AR143)</f>
        <v/>
      </c>
      <c r="V143" s="136">
        <f>IF(E143=$Q$16,0,SUM(X143:AI143))</f>
        <v/>
      </c>
      <c r="W143" s="136">
        <f>SUM(AK143:AR143)</f>
        <v/>
      </c>
      <c r="X143" s="136">
        <f>IF(E143=$X$6,1,"")</f>
        <v/>
      </c>
      <c r="Y143" s="136">
        <f>IF(E143=$Y$6,1,"")</f>
        <v/>
      </c>
      <c r="Z143" s="136">
        <f>IF(E143=$Z$6,1,"")</f>
        <v/>
      </c>
      <c r="AA143" s="136">
        <f>IF(E143=$AA$6,1,"")</f>
        <v/>
      </c>
      <c r="AB143" s="136">
        <f>IF(E143=$AB$6,1,"")</f>
        <v/>
      </c>
      <c r="AC143" s="136">
        <f>IF(E143=$AC$6,1,"")</f>
        <v/>
      </c>
      <c r="AD143" s="136">
        <f>IF(E143=$AD$6,1,"")</f>
        <v/>
      </c>
      <c r="AE143" s="136">
        <f>IF(E143=$AE$6,1,"")</f>
        <v/>
      </c>
      <c r="AF143" s="136">
        <f>IF(E143=$AF$6,1,"")</f>
        <v/>
      </c>
      <c r="AG143" s="136">
        <f>IF(E143=$AG$6,1,"")</f>
        <v/>
      </c>
      <c r="AH143" s="136">
        <f>IF(E143=$AH$6,1,"")</f>
        <v/>
      </c>
      <c r="AI143" s="136">
        <f>IF(E143=$AI$6,1,"")</f>
        <v/>
      </c>
      <c r="AJ143" s="136">
        <f>IF(E143=$AJ$6,1,"")</f>
        <v/>
      </c>
      <c r="AK143" s="81">
        <f>IF(E143=$AK$6,1,"")</f>
        <v/>
      </c>
      <c r="AL143" s="81">
        <f>IF(E143=$AL$6,1,"")</f>
        <v/>
      </c>
      <c r="AM143" s="81">
        <f>IF(E143=$AM$6,1,"")</f>
        <v/>
      </c>
      <c r="AN143" s="81">
        <f>IF(E143=$AN$6,1,"")</f>
        <v/>
      </c>
      <c r="AO143" s="81">
        <f>IF(E143=$AO$6,1,"")</f>
        <v/>
      </c>
      <c r="AP143" s="81">
        <f>IF(E143=$AP$6,1,"")</f>
        <v/>
      </c>
      <c r="AQ143" s="81">
        <f>IF(E143=$AQ$6,1,"")</f>
        <v/>
      </c>
      <c r="AR143" s="81">
        <f>IF(E143=$AR$6,1,"")</f>
        <v/>
      </c>
      <c r="AS143" s="81" t="n"/>
    </row>
    <row r="144" ht="15.75" customHeight="1" s="80">
      <c r="A144" s="157" t="n"/>
      <c r="B144" s="124" t="n"/>
      <c r="C144" s="125" t="n"/>
      <c r="D144" s="126" t="n"/>
      <c r="E144" s="127" t="n"/>
      <c r="F144" s="128" t="n"/>
      <c r="G144" s="129">
        <f>IF(F144="","",ROUND(F144/60,2))</f>
        <v/>
      </c>
      <c r="H144" s="130" t="n"/>
      <c r="I144" s="131" t="n"/>
      <c r="J144" s="131">
        <f>IF(COUNTIF(B144:E144,"*")=0,"",IF(T144=1,"Invalid Service",IF(AND(V144=1,F144=""),"Add Session Mins",IF(AND(E144&gt;0,H144="",T144=""),"Enter Contract Rate",IF(AND(E144="IEP mtg, prep, rept",F144&gt;0),(G144*H144),IF(AND(E144&gt;0,F144&gt;0,H144&gt;0,I144=""),"Enter Travel",IF(AND(F144&gt;0,I144="Y"),(G144*H144)+$M$10,IF(AND(F144&gt;0,I144="N"),(G144*H144),H144))))))))</f>
        <v/>
      </c>
      <c r="K144" s="132">
        <f>J144</f>
        <v/>
      </c>
      <c r="L144" s="148" t="n"/>
      <c r="M144" s="148" t="n"/>
      <c r="N144" s="148" t="n"/>
      <c r="O144" s="87" t="n"/>
      <c r="P144" s="81" t="n"/>
      <c r="Q144" s="81" t="n"/>
      <c r="R144" s="81" t="n"/>
      <c r="S144" s="81" t="n"/>
      <c r="T144" s="136">
        <f>IF(AND(E144&gt;0,U144=0),1,"")</f>
        <v/>
      </c>
      <c r="U144" s="136">
        <f>SUM(X144:AR144)</f>
        <v/>
      </c>
      <c r="V144" s="136">
        <f>IF(E144=$Q$16,0,SUM(X144:AI144))</f>
        <v/>
      </c>
      <c r="W144" s="136">
        <f>SUM(AK144:AR144)</f>
        <v/>
      </c>
      <c r="X144" s="136">
        <f>IF(E144=$X$6,1,"")</f>
        <v/>
      </c>
      <c r="Y144" s="136">
        <f>IF(E144=$Y$6,1,"")</f>
        <v/>
      </c>
      <c r="Z144" s="136">
        <f>IF(E144=$Z$6,1,"")</f>
        <v/>
      </c>
      <c r="AA144" s="136">
        <f>IF(E144=$AA$6,1,"")</f>
        <v/>
      </c>
      <c r="AB144" s="136">
        <f>IF(E144=$AB$6,1,"")</f>
        <v/>
      </c>
      <c r="AC144" s="136">
        <f>IF(E144=$AC$6,1,"")</f>
        <v/>
      </c>
      <c r="AD144" s="136">
        <f>IF(E144=$AD$6,1,"")</f>
        <v/>
      </c>
      <c r="AE144" s="136">
        <f>IF(E144=$AE$6,1,"")</f>
        <v/>
      </c>
      <c r="AF144" s="136">
        <f>IF(E144=$AF$6,1,"")</f>
        <v/>
      </c>
      <c r="AG144" s="136">
        <f>IF(E144=$AG$6,1,"")</f>
        <v/>
      </c>
      <c r="AH144" s="136">
        <f>IF(E144=$AH$6,1,"")</f>
        <v/>
      </c>
      <c r="AI144" s="136">
        <f>IF(E144=$AI$6,1,"")</f>
        <v/>
      </c>
      <c r="AJ144" s="136">
        <f>IF(E144=$AJ$6,1,"")</f>
        <v/>
      </c>
      <c r="AK144" s="81">
        <f>IF(E144=$AK$6,1,"")</f>
        <v/>
      </c>
      <c r="AL144" s="81">
        <f>IF(E144=$AL$6,1,"")</f>
        <v/>
      </c>
      <c r="AM144" s="81">
        <f>IF(E144=$AM$6,1,"")</f>
        <v/>
      </c>
      <c r="AN144" s="81">
        <f>IF(E144=$AN$6,1,"")</f>
        <v/>
      </c>
      <c r="AO144" s="81">
        <f>IF(E144=$AO$6,1,"")</f>
        <v/>
      </c>
      <c r="AP144" s="81">
        <f>IF(E144=$AP$6,1,"")</f>
        <v/>
      </c>
      <c r="AQ144" s="81">
        <f>IF(E144=$AQ$6,1,"")</f>
        <v/>
      </c>
      <c r="AR144" s="81">
        <f>IF(E144=$AR$6,1,"")</f>
        <v/>
      </c>
      <c r="AS144" s="81" t="n"/>
    </row>
    <row r="145" ht="15.75" customHeight="1" s="80">
      <c r="A145" s="157" t="n"/>
      <c r="B145" s="124" t="n"/>
      <c r="C145" s="125" t="n"/>
      <c r="D145" s="126" t="n"/>
      <c r="E145" s="127" t="n"/>
      <c r="F145" s="128" t="n"/>
      <c r="G145" s="129">
        <f>IF(F145="","",ROUND(F145/60,2))</f>
        <v/>
      </c>
      <c r="H145" s="130" t="n"/>
      <c r="I145" s="131" t="n"/>
      <c r="J145" s="131">
        <f>IF(COUNTIF(B145:E145,"*")=0,"",IF(T145=1,"Invalid Service",IF(AND(V145=1,F145=""),"Add Session Mins",IF(AND(E145&gt;0,H145="",T145=""),"Enter Contract Rate",IF(AND(E145="IEP mtg, prep, rept",F145&gt;0),(G145*H145),IF(AND(E145&gt;0,F145&gt;0,H145&gt;0,I145=""),"Enter Travel",IF(AND(F145&gt;0,I145="Y"),(G145*H145)+$M$10,IF(AND(F145&gt;0,I145="N"),(G145*H145),H145))))))))</f>
        <v/>
      </c>
      <c r="K145" s="132">
        <f>J145</f>
        <v/>
      </c>
      <c r="L145" s="148" t="n"/>
      <c r="M145" s="148" t="n"/>
      <c r="N145" s="148" t="n"/>
      <c r="O145" s="87" t="n"/>
      <c r="P145" s="81" t="n"/>
      <c r="Q145" s="81" t="n"/>
      <c r="R145" s="81" t="n"/>
      <c r="S145" s="81" t="n"/>
      <c r="T145" s="136">
        <f>IF(AND(E145&gt;0,U145=0),1,"")</f>
        <v/>
      </c>
      <c r="U145" s="136">
        <f>SUM(X145:AR145)</f>
        <v/>
      </c>
      <c r="V145" s="136">
        <f>IF(E145=$Q$16,0,SUM(X145:AI145))</f>
        <v/>
      </c>
      <c r="W145" s="136">
        <f>SUM(AK145:AR145)</f>
        <v/>
      </c>
      <c r="X145" s="136">
        <f>IF(E145=$X$6,1,"")</f>
        <v/>
      </c>
      <c r="Y145" s="136">
        <f>IF(E145=$Y$6,1,"")</f>
        <v/>
      </c>
      <c r="Z145" s="136">
        <f>IF(E145=$Z$6,1,"")</f>
        <v/>
      </c>
      <c r="AA145" s="136">
        <f>IF(E145=$AA$6,1,"")</f>
        <v/>
      </c>
      <c r="AB145" s="136">
        <f>IF(E145=$AB$6,1,"")</f>
        <v/>
      </c>
      <c r="AC145" s="136">
        <f>IF(E145=$AC$6,1,"")</f>
        <v/>
      </c>
      <c r="AD145" s="136">
        <f>IF(E145=$AD$6,1,"")</f>
        <v/>
      </c>
      <c r="AE145" s="136">
        <f>IF(E145=$AE$6,1,"")</f>
        <v/>
      </c>
      <c r="AF145" s="136">
        <f>IF(E145=$AF$6,1,"")</f>
        <v/>
      </c>
      <c r="AG145" s="136">
        <f>IF(E145=$AG$6,1,"")</f>
        <v/>
      </c>
      <c r="AH145" s="136">
        <f>IF(E145=$AH$6,1,"")</f>
        <v/>
      </c>
      <c r="AI145" s="136">
        <f>IF(E145=$AI$6,1,"")</f>
        <v/>
      </c>
      <c r="AJ145" s="136">
        <f>IF(E145=$AJ$6,1,"")</f>
        <v/>
      </c>
      <c r="AK145" s="81">
        <f>IF(E145=$AK$6,1,"")</f>
        <v/>
      </c>
      <c r="AL145" s="81">
        <f>IF(E145=$AL$6,1,"")</f>
        <v/>
      </c>
      <c r="AM145" s="81">
        <f>IF(E145=$AM$6,1,"")</f>
        <v/>
      </c>
      <c r="AN145" s="81">
        <f>IF(E145=$AN$6,1,"")</f>
        <v/>
      </c>
      <c r="AO145" s="81">
        <f>IF(E145=$AO$6,1,"")</f>
        <v/>
      </c>
      <c r="AP145" s="81">
        <f>IF(E145=$AP$6,1,"")</f>
        <v/>
      </c>
      <c r="AQ145" s="81">
        <f>IF(E145=$AQ$6,1,"")</f>
        <v/>
      </c>
      <c r="AR145" s="81">
        <f>IF(E145=$AR$6,1,"")</f>
        <v/>
      </c>
      <c r="AS145" s="81" t="n"/>
    </row>
    <row r="146" ht="15.75" customHeight="1" s="80">
      <c r="A146" s="157" t="n"/>
      <c r="B146" s="124" t="n"/>
      <c r="C146" s="125" t="n"/>
      <c r="D146" s="126" t="n"/>
      <c r="E146" s="127" t="n"/>
      <c r="F146" s="128" t="n"/>
      <c r="G146" s="129">
        <f>IF(F146="","",ROUND(F146/60,2))</f>
        <v/>
      </c>
      <c r="H146" s="130" t="n"/>
      <c r="I146" s="131" t="n"/>
      <c r="J146" s="131">
        <f>IF(COUNTIF(B146:E146,"*")=0,"",IF(T146=1,"Invalid Service",IF(AND(V146=1,F146=""),"Add Session Mins",IF(AND(E146&gt;0,H146="",T146=""),"Enter Contract Rate",IF(AND(E146="IEP mtg, prep, rept",F146&gt;0),(G146*H146),IF(AND(E146&gt;0,F146&gt;0,H146&gt;0,I146=""),"Enter Travel",IF(AND(F146&gt;0,I146="Y"),(G146*H146)+$M$10,IF(AND(F146&gt;0,I146="N"),(G146*H146),H146))))))))</f>
        <v/>
      </c>
      <c r="K146" s="132">
        <f>J146</f>
        <v/>
      </c>
      <c r="L146" s="148" t="n"/>
      <c r="M146" s="148" t="n"/>
      <c r="N146" s="148" t="n"/>
      <c r="O146" s="87" t="n"/>
      <c r="P146" s="81" t="n"/>
      <c r="Q146" s="81" t="n"/>
      <c r="R146" s="81" t="n"/>
      <c r="S146" s="81" t="n"/>
      <c r="T146" s="136">
        <f>IF(AND(E146&gt;0,U146=0),1,"")</f>
        <v/>
      </c>
      <c r="U146" s="136">
        <f>SUM(X146:AR146)</f>
        <v/>
      </c>
      <c r="V146" s="136">
        <f>IF(E146=$Q$16,0,SUM(X146:AI146))</f>
        <v/>
      </c>
      <c r="W146" s="136">
        <f>SUM(AK146:AR146)</f>
        <v/>
      </c>
      <c r="X146" s="136">
        <f>IF(E146=$X$6,1,"")</f>
        <v/>
      </c>
      <c r="Y146" s="136">
        <f>IF(E146=$Y$6,1,"")</f>
        <v/>
      </c>
      <c r="Z146" s="136">
        <f>IF(E146=$Z$6,1,"")</f>
        <v/>
      </c>
      <c r="AA146" s="136">
        <f>IF(E146=$AA$6,1,"")</f>
        <v/>
      </c>
      <c r="AB146" s="136">
        <f>IF(E146=$AB$6,1,"")</f>
        <v/>
      </c>
      <c r="AC146" s="136">
        <f>IF(E146=$AC$6,1,"")</f>
        <v/>
      </c>
      <c r="AD146" s="136">
        <f>IF(E146=$AD$6,1,"")</f>
        <v/>
      </c>
      <c r="AE146" s="136">
        <f>IF(E146=$AE$6,1,"")</f>
        <v/>
      </c>
      <c r="AF146" s="136">
        <f>IF(E146=$AF$6,1,"")</f>
        <v/>
      </c>
      <c r="AG146" s="136">
        <f>IF(E146=$AG$6,1,"")</f>
        <v/>
      </c>
      <c r="AH146" s="136">
        <f>IF(E146=$AH$6,1,"")</f>
        <v/>
      </c>
      <c r="AI146" s="136">
        <f>IF(E146=$AI$6,1,"")</f>
        <v/>
      </c>
      <c r="AJ146" s="136">
        <f>IF(E146=$AJ$6,1,"")</f>
        <v/>
      </c>
      <c r="AK146" s="81">
        <f>IF(E146=$AK$6,1,"")</f>
        <v/>
      </c>
      <c r="AL146" s="81">
        <f>IF(E146=$AL$6,1,"")</f>
        <v/>
      </c>
      <c r="AM146" s="81">
        <f>IF(E146=$AM$6,1,"")</f>
        <v/>
      </c>
      <c r="AN146" s="81">
        <f>IF(E146=$AN$6,1,"")</f>
        <v/>
      </c>
      <c r="AO146" s="81">
        <f>IF(E146=$AO$6,1,"")</f>
        <v/>
      </c>
      <c r="AP146" s="81">
        <f>IF(E146=$AP$6,1,"")</f>
        <v/>
      </c>
      <c r="AQ146" s="81">
        <f>IF(E146=$AQ$6,1,"")</f>
        <v/>
      </c>
      <c r="AR146" s="81">
        <f>IF(E146=$AR$6,1,"")</f>
        <v/>
      </c>
      <c r="AS146" s="81" t="n"/>
    </row>
    <row r="147" ht="15.75" customHeight="1" s="80">
      <c r="A147" s="157" t="n"/>
      <c r="B147" s="124" t="n"/>
      <c r="C147" s="125" t="n"/>
      <c r="D147" s="126" t="n"/>
      <c r="E147" s="127" t="n"/>
      <c r="F147" s="128" t="n"/>
      <c r="G147" s="129">
        <f>IF(F147="","",ROUND(F147/60,2))</f>
        <v/>
      </c>
      <c r="H147" s="130" t="n"/>
      <c r="I147" s="131" t="n"/>
      <c r="J147" s="131">
        <f>IF(COUNTIF(B147:E147,"*")=0,"",IF(T147=1,"Invalid Service",IF(AND(V147=1,F147=""),"Add Session Mins",IF(AND(E147&gt;0,H147="",T147=""),"Enter Contract Rate",IF(AND(E147="IEP mtg, prep, rept",F147&gt;0),(G147*H147),IF(AND(E147&gt;0,F147&gt;0,H147&gt;0,I147=""),"Enter Travel",IF(AND(F147&gt;0,I147="Y"),(G147*H147)+$M$10,IF(AND(F147&gt;0,I147="N"),(G147*H147),H147))))))))</f>
        <v/>
      </c>
      <c r="K147" s="132">
        <f>J147</f>
        <v/>
      </c>
      <c r="L147" s="148" t="n"/>
      <c r="M147" s="148" t="n"/>
      <c r="N147" s="148" t="n"/>
      <c r="O147" s="87" t="n"/>
      <c r="P147" s="81" t="n"/>
      <c r="Q147" s="81" t="n"/>
      <c r="R147" s="81" t="n"/>
      <c r="S147" s="81" t="n"/>
      <c r="T147" s="136">
        <f>IF(AND(E147&gt;0,U147=0),1,"")</f>
        <v/>
      </c>
      <c r="U147" s="136">
        <f>SUM(X147:AR147)</f>
        <v/>
      </c>
      <c r="V147" s="136">
        <f>IF(E147=$Q$16,0,SUM(X147:AI147))</f>
        <v/>
      </c>
      <c r="W147" s="136">
        <f>SUM(AK147:AR147)</f>
        <v/>
      </c>
      <c r="X147" s="136">
        <f>IF(E147=$X$6,1,"")</f>
        <v/>
      </c>
      <c r="Y147" s="136">
        <f>IF(E147=$Y$6,1,"")</f>
        <v/>
      </c>
      <c r="Z147" s="136">
        <f>IF(E147=$Z$6,1,"")</f>
        <v/>
      </c>
      <c r="AA147" s="136">
        <f>IF(E147=$AA$6,1,"")</f>
        <v/>
      </c>
      <c r="AB147" s="136">
        <f>IF(E147=$AB$6,1,"")</f>
        <v/>
      </c>
      <c r="AC147" s="136">
        <f>IF(E147=$AC$6,1,"")</f>
        <v/>
      </c>
      <c r="AD147" s="136">
        <f>IF(E147=$AD$6,1,"")</f>
        <v/>
      </c>
      <c r="AE147" s="136">
        <f>IF(E147=$AE$6,1,"")</f>
        <v/>
      </c>
      <c r="AF147" s="136">
        <f>IF(E147=$AF$6,1,"")</f>
        <v/>
      </c>
      <c r="AG147" s="136">
        <f>IF(E147=$AG$6,1,"")</f>
        <v/>
      </c>
      <c r="AH147" s="136">
        <f>IF(E147=$AH$6,1,"")</f>
        <v/>
      </c>
      <c r="AI147" s="136">
        <f>IF(E147=$AI$6,1,"")</f>
        <v/>
      </c>
      <c r="AJ147" s="136">
        <f>IF(E147=$AJ$6,1,"")</f>
        <v/>
      </c>
      <c r="AK147" s="81">
        <f>IF(E147=$AK$6,1,"")</f>
        <v/>
      </c>
      <c r="AL147" s="81">
        <f>IF(E147=$AL$6,1,"")</f>
        <v/>
      </c>
      <c r="AM147" s="81">
        <f>IF(E147=$AM$6,1,"")</f>
        <v/>
      </c>
      <c r="AN147" s="81">
        <f>IF(E147=$AN$6,1,"")</f>
        <v/>
      </c>
      <c r="AO147" s="81">
        <f>IF(E147=$AO$6,1,"")</f>
        <v/>
      </c>
      <c r="AP147" s="81">
        <f>IF(E147=$AP$6,1,"")</f>
        <v/>
      </c>
      <c r="AQ147" s="81">
        <f>IF(E147=$AQ$6,1,"")</f>
        <v/>
      </c>
      <c r="AR147" s="81">
        <f>IF(E147=$AR$6,1,"")</f>
        <v/>
      </c>
      <c r="AS147" s="81" t="n"/>
    </row>
    <row r="148" ht="15.75" customHeight="1" s="80">
      <c r="A148" s="157" t="n"/>
      <c r="B148" s="124" t="n"/>
      <c r="C148" s="125" t="n"/>
      <c r="D148" s="126" t="n"/>
      <c r="E148" s="127" t="n"/>
      <c r="F148" s="128" t="n"/>
      <c r="G148" s="129">
        <f>IF(F148="","",ROUND(F148/60,2))</f>
        <v/>
      </c>
      <c r="H148" s="130" t="n"/>
      <c r="I148" s="131" t="n"/>
      <c r="J148" s="131">
        <f>IF(COUNTIF(B148:E148,"*")=0,"",IF(T148=1,"Invalid Service",IF(AND(V148=1,F148=""),"Add Session Mins",IF(AND(E148&gt;0,H148="",T148=""),"Enter Contract Rate",IF(AND(E148="IEP mtg, prep, rept",F148&gt;0),(G148*H148),IF(AND(E148&gt;0,F148&gt;0,H148&gt;0,I148=""),"Enter Travel",IF(AND(F148&gt;0,I148="Y"),(G148*H148)+$M$10,IF(AND(F148&gt;0,I148="N"),(G148*H148),H148))))))))</f>
        <v/>
      </c>
      <c r="K148" s="132">
        <f>J148</f>
        <v/>
      </c>
      <c r="L148" s="148" t="n"/>
      <c r="M148" s="148" t="n"/>
      <c r="N148" s="148" t="n"/>
      <c r="O148" s="87" t="n"/>
      <c r="P148" s="81" t="n"/>
      <c r="Q148" s="81" t="n"/>
      <c r="R148" s="81" t="n"/>
      <c r="S148" s="81" t="n"/>
      <c r="T148" s="136">
        <f>IF(AND(E148&gt;0,U148=0),1,"")</f>
        <v/>
      </c>
      <c r="U148" s="136">
        <f>SUM(X148:AR148)</f>
        <v/>
      </c>
      <c r="V148" s="136">
        <f>IF(E148=$Q$16,0,SUM(X148:AI148))</f>
        <v/>
      </c>
      <c r="W148" s="136">
        <f>SUM(AK148:AR148)</f>
        <v/>
      </c>
      <c r="X148" s="136">
        <f>IF(E148=$X$6,1,"")</f>
        <v/>
      </c>
      <c r="Y148" s="136">
        <f>IF(E148=$Y$6,1,"")</f>
        <v/>
      </c>
      <c r="Z148" s="136">
        <f>IF(E148=$Z$6,1,"")</f>
        <v/>
      </c>
      <c r="AA148" s="136">
        <f>IF(E148=$AA$6,1,"")</f>
        <v/>
      </c>
      <c r="AB148" s="136">
        <f>IF(E148=$AB$6,1,"")</f>
        <v/>
      </c>
      <c r="AC148" s="136">
        <f>IF(E148=$AC$6,1,"")</f>
        <v/>
      </c>
      <c r="AD148" s="136">
        <f>IF(E148=$AD$6,1,"")</f>
        <v/>
      </c>
      <c r="AE148" s="136">
        <f>IF(E148=$AE$6,1,"")</f>
        <v/>
      </c>
      <c r="AF148" s="136">
        <f>IF(E148=$AF$6,1,"")</f>
        <v/>
      </c>
      <c r="AG148" s="136">
        <f>IF(E148=$AG$6,1,"")</f>
        <v/>
      </c>
      <c r="AH148" s="136">
        <f>IF(E148=$AH$6,1,"")</f>
        <v/>
      </c>
      <c r="AI148" s="136">
        <f>IF(E148=$AI$6,1,"")</f>
        <v/>
      </c>
      <c r="AJ148" s="136">
        <f>IF(E148=$AJ$6,1,"")</f>
        <v/>
      </c>
      <c r="AK148" s="81">
        <f>IF(E148=$AK$6,1,"")</f>
        <v/>
      </c>
      <c r="AL148" s="81">
        <f>IF(E148=$AL$6,1,"")</f>
        <v/>
      </c>
      <c r="AM148" s="81">
        <f>IF(E148=$AM$6,1,"")</f>
        <v/>
      </c>
      <c r="AN148" s="81">
        <f>IF(E148=$AN$6,1,"")</f>
        <v/>
      </c>
      <c r="AO148" s="81">
        <f>IF(E148=$AO$6,1,"")</f>
        <v/>
      </c>
      <c r="AP148" s="81">
        <f>IF(E148=$AP$6,1,"")</f>
        <v/>
      </c>
      <c r="AQ148" s="81">
        <f>IF(E148=$AQ$6,1,"")</f>
        <v/>
      </c>
      <c r="AR148" s="81">
        <f>IF(E148=$AR$6,1,"")</f>
        <v/>
      </c>
      <c r="AS148" s="81" t="n"/>
    </row>
    <row r="149" ht="15.75" customHeight="1" s="80">
      <c r="A149" s="157" t="n"/>
      <c r="B149" s="124" t="n"/>
      <c r="C149" s="125" t="n"/>
      <c r="D149" s="126" t="n"/>
      <c r="E149" s="127" t="n"/>
      <c r="F149" s="128" t="n"/>
      <c r="G149" s="129">
        <f>IF(F149="","",ROUND(F149/60,2))</f>
        <v/>
      </c>
      <c r="H149" s="130" t="n"/>
      <c r="I149" s="131" t="n"/>
      <c r="J149" s="131">
        <f>IF(COUNTIF(B149:E149,"*")=0,"",IF(T149=1,"Invalid Service",IF(AND(V149=1,F149=""),"Add Session Mins",IF(AND(E149&gt;0,H149="",T149=""),"Enter Contract Rate",IF(AND(E149="IEP mtg, prep, rept",F149&gt;0),(G149*H149),IF(AND(E149&gt;0,F149&gt;0,H149&gt;0,I149=""),"Enter Travel",IF(AND(F149&gt;0,I149="Y"),(G149*H149)+$M$10,IF(AND(F149&gt;0,I149="N"),(G149*H149),H149))))))))</f>
        <v/>
      </c>
      <c r="K149" s="132">
        <f>J149</f>
        <v/>
      </c>
      <c r="L149" s="148" t="n"/>
      <c r="M149" s="148" t="n"/>
      <c r="N149" s="148" t="n"/>
      <c r="O149" s="87" t="n"/>
      <c r="P149" s="81" t="n"/>
      <c r="Q149" s="81" t="n"/>
      <c r="R149" s="81" t="n"/>
      <c r="S149" s="81" t="n"/>
      <c r="T149" s="136">
        <f>IF(AND(E149&gt;0,U149=0),1,"")</f>
        <v/>
      </c>
      <c r="U149" s="136">
        <f>SUM(X149:AR149)</f>
        <v/>
      </c>
      <c r="V149" s="136">
        <f>IF(E149=$Q$16,0,SUM(X149:AI149))</f>
        <v/>
      </c>
      <c r="W149" s="136">
        <f>SUM(AK149:AR149)</f>
        <v/>
      </c>
      <c r="X149" s="136">
        <f>IF(E149=$X$6,1,"")</f>
        <v/>
      </c>
      <c r="Y149" s="136">
        <f>IF(E149=$Y$6,1,"")</f>
        <v/>
      </c>
      <c r="Z149" s="136">
        <f>IF(E149=$Z$6,1,"")</f>
        <v/>
      </c>
      <c r="AA149" s="136">
        <f>IF(E149=$AA$6,1,"")</f>
        <v/>
      </c>
      <c r="AB149" s="136">
        <f>IF(E149=$AB$6,1,"")</f>
        <v/>
      </c>
      <c r="AC149" s="136">
        <f>IF(E149=$AC$6,1,"")</f>
        <v/>
      </c>
      <c r="AD149" s="136">
        <f>IF(E149=$AD$6,1,"")</f>
        <v/>
      </c>
      <c r="AE149" s="136">
        <f>IF(E149=$AE$6,1,"")</f>
        <v/>
      </c>
      <c r="AF149" s="136">
        <f>IF(E149=$AF$6,1,"")</f>
        <v/>
      </c>
      <c r="AG149" s="136">
        <f>IF(E149=$AG$6,1,"")</f>
        <v/>
      </c>
      <c r="AH149" s="136">
        <f>IF(E149=$AH$6,1,"")</f>
        <v/>
      </c>
      <c r="AI149" s="136">
        <f>IF(E149=$AI$6,1,"")</f>
        <v/>
      </c>
      <c r="AJ149" s="136">
        <f>IF(E149=$AJ$6,1,"")</f>
        <v/>
      </c>
      <c r="AK149" s="81">
        <f>IF(E149=$AK$6,1,"")</f>
        <v/>
      </c>
      <c r="AL149" s="81">
        <f>IF(E149=$AL$6,1,"")</f>
        <v/>
      </c>
      <c r="AM149" s="81">
        <f>IF(E149=$AM$6,1,"")</f>
        <v/>
      </c>
      <c r="AN149" s="81">
        <f>IF(E149=$AN$6,1,"")</f>
        <v/>
      </c>
      <c r="AO149" s="81">
        <f>IF(E149=$AO$6,1,"")</f>
        <v/>
      </c>
      <c r="AP149" s="81">
        <f>IF(E149=$AP$6,1,"")</f>
        <v/>
      </c>
      <c r="AQ149" s="81">
        <f>IF(E149=$AQ$6,1,"")</f>
        <v/>
      </c>
      <c r="AR149" s="81">
        <f>IF(E149=$AR$6,1,"")</f>
        <v/>
      </c>
      <c r="AS149" s="81" t="n"/>
    </row>
    <row r="150" ht="15.75" customHeight="1" s="80">
      <c r="A150" s="157" t="n"/>
      <c r="B150" s="124" t="n"/>
      <c r="C150" s="125" t="n"/>
      <c r="D150" s="126" t="n"/>
      <c r="E150" s="127" t="n"/>
      <c r="F150" s="128" t="n"/>
      <c r="G150" s="129">
        <f>IF(F150="","",ROUND(F150/60,2))</f>
        <v/>
      </c>
      <c r="H150" s="130" t="n"/>
      <c r="I150" s="131" t="n"/>
      <c r="J150" s="131">
        <f>IF(COUNTIF(B150:E150,"*")=0,"",IF(T150=1,"Invalid Service",IF(AND(V150=1,F150=""),"Add Session Mins",IF(AND(E150&gt;0,H150="",T150=""),"Enter Contract Rate",IF(AND(E150="IEP mtg, prep, rept",F150&gt;0),(G150*H150),IF(AND(E150&gt;0,F150&gt;0,H150&gt;0,I150=""),"Enter Travel",IF(AND(F150&gt;0,I150="Y"),(G150*H150)+$M$10,IF(AND(F150&gt;0,I150="N"),(G150*H150),H150))))))))</f>
        <v/>
      </c>
      <c r="K150" s="132">
        <f>J150</f>
        <v/>
      </c>
      <c r="L150" s="148" t="n"/>
      <c r="M150" s="148" t="n"/>
      <c r="N150" s="148" t="n"/>
      <c r="O150" s="87" t="n"/>
      <c r="P150" s="81" t="n"/>
      <c r="Q150" s="81" t="n"/>
      <c r="R150" s="81" t="n"/>
      <c r="S150" s="81" t="n"/>
      <c r="T150" s="136">
        <f>IF(AND(E150&gt;0,U150=0),1,"")</f>
        <v/>
      </c>
      <c r="U150" s="136">
        <f>SUM(X150:AR150)</f>
        <v/>
      </c>
      <c r="V150" s="136">
        <f>IF(E150=$Q$16,0,SUM(X150:AI150))</f>
        <v/>
      </c>
      <c r="W150" s="136">
        <f>SUM(AK150:AR150)</f>
        <v/>
      </c>
      <c r="X150" s="136">
        <f>IF(E150=$X$6,1,"")</f>
        <v/>
      </c>
      <c r="Y150" s="136">
        <f>IF(E150=$Y$6,1,"")</f>
        <v/>
      </c>
      <c r="Z150" s="136">
        <f>IF(E150=$Z$6,1,"")</f>
        <v/>
      </c>
      <c r="AA150" s="136">
        <f>IF(E150=$AA$6,1,"")</f>
        <v/>
      </c>
      <c r="AB150" s="136">
        <f>IF(E150=$AB$6,1,"")</f>
        <v/>
      </c>
      <c r="AC150" s="136">
        <f>IF(E150=$AC$6,1,"")</f>
        <v/>
      </c>
      <c r="AD150" s="136">
        <f>IF(E150=$AD$6,1,"")</f>
        <v/>
      </c>
      <c r="AE150" s="136">
        <f>IF(E150=$AE$6,1,"")</f>
        <v/>
      </c>
      <c r="AF150" s="136">
        <f>IF(E150=$AF$6,1,"")</f>
        <v/>
      </c>
      <c r="AG150" s="136">
        <f>IF(E150=$AG$6,1,"")</f>
        <v/>
      </c>
      <c r="AH150" s="136">
        <f>IF(E150=$AH$6,1,"")</f>
        <v/>
      </c>
      <c r="AI150" s="136">
        <f>IF(E150=$AI$6,1,"")</f>
        <v/>
      </c>
      <c r="AJ150" s="136">
        <f>IF(E150=$AJ$6,1,"")</f>
        <v/>
      </c>
      <c r="AK150" s="81">
        <f>IF(E150=$AK$6,1,"")</f>
        <v/>
      </c>
      <c r="AL150" s="81">
        <f>IF(E150=$AL$6,1,"")</f>
        <v/>
      </c>
      <c r="AM150" s="81">
        <f>IF(E150=$AM$6,1,"")</f>
        <v/>
      </c>
      <c r="AN150" s="81">
        <f>IF(E150=$AN$6,1,"")</f>
        <v/>
      </c>
      <c r="AO150" s="81">
        <f>IF(E150=$AO$6,1,"")</f>
        <v/>
      </c>
      <c r="AP150" s="81">
        <f>IF(E150=$AP$6,1,"")</f>
        <v/>
      </c>
      <c r="AQ150" s="81">
        <f>IF(E150=$AQ$6,1,"")</f>
        <v/>
      </c>
      <c r="AR150" s="81">
        <f>IF(E150=$AR$6,1,"")</f>
        <v/>
      </c>
      <c r="AS150" s="81" t="n"/>
    </row>
    <row r="151" ht="15.75" customHeight="1" s="80">
      <c r="A151" s="157" t="n"/>
      <c r="B151" s="124" t="n"/>
      <c r="C151" s="125" t="n"/>
      <c r="D151" s="126" t="n"/>
      <c r="E151" s="127" t="n"/>
      <c r="F151" s="128" t="n"/>
      <c r="G151" s="129">
        <f>IF(F151="","",ROUND(F151/60,2))</f>
        <v/>
      </c>
      <c r="H151" s="130" t="n"/>
      <c r="I151" s="131" t="n"/>
      <c r="J151" s="131">
        <f>IF(COUNTIF(B151:E151,"*")=0,"",IF(T151=1,"Invalid Service",IF(AND(V151=1,F151=""),"Add Session Mins",IF(AND(E151&gt;0,H151="",T151=""),"Enter Contract Rate",IF(AND(E151="IEP mtg, prep, rept",F151&gt;0),(G151*H151),IF(AND(E151&gt;0,F151&gt;0,H151&gt;0,I151=""),"Enter Travel",IF(AND(F151&gt;0,I151="Y"),(G151*H151)+$M$10,IF(AND(F151&gt;0,I151="N"),(G151*H151),H151))))))))</f>
        <v/>
      </c>
      <c r="K151" s="132">
        <f>J151</f>
        <v/>
      </c>
      <c r="L151" s="148" t="n"/>
      <c r="M151" s="148" t="n"/>
      <c r="N151" s="148" t="n"/>
      <c r="O151" s="87" t="n"/>
      <c r="P151" s="81" t="n"/>
      <c r="Q151" s="81" t="n"/>
      <c r="R151" s="81" t="n"/>
      <c r="S151" s="81" t="n"/>
      <c r="T151" s="136">
        <f>IF(AND(E151&gt;0,U151=0),1,"")</f>
        <v/>
      </c>
      <c r="U151" s="136">
        <f>SUM(X151:AR151)</f>
        <v/>
      </c>
      <c r="V151" s="136">
        <f>IF(E151=$Q$16,0,SUM(X151:AI151))</f>
        <v/>
      </c>
      <c r="W151" s="136">
        <f>SUM(AK151:AR151)</f>
        <v/>
      </c>
      <c r="X151" s="136">
        <f>IF(E151=$X$6,1,"")</f>
        <v/>
      </c>
      <c r="Y151" s="136">
        <f>IF(E151=$Y$6,1,"")</f>
        <v/>
      </c>
      <c r="Z151" s="136">
        <f>IF(E151=$Z$6,1,"")</f>
        <v/>
      </c>
      <c r="AA151" s="136">
        <f>IF(E151=$AA$6,1,"")</f>
        <v/>
      </c>
      <c r="AB151" s="136">
        <f>IF(E151=$AB$6,1,"")</f>
        <v/>
      </c>
      <c r="AC151" s="136">
        <f>IF(E151=$AC$6,1,"")</f>
        <v/>
      </c>
      <c r="AD151" s="136">
        <f>IF(E151=$AD$6,1,"")</f>
        <v/>
      </c>
      <c r="AE151" s="136">
        <f>IF(E151=$AE$6,1,"")</f>
        <v/>
      </c>
      <c r="AF151" s="136">
        <f>IF(E151=$AF$6,1,"")</f>
        <v/>
      </c>
      <c r="AG151" s="136">
        <f>IF(E151=$AG$6,1,"")</f>
        <v/>
      </c>
      <c r="AH151" s="136">
        <f>IF(E151=$AH$6,1,"")</f>
        <v/>
      </c>
      <c r="AI151" s="136">
        <f>IF(E151=$AI$6,1,"")</f>
        <v/>
      </c>
      <c r="AJ151" s="136">
        <f>IF(E151=$AJ$6,1,"")</f>
        <v/>
      </c>
      <c r="AK151" s="81">
        <f>IF(E151=$AK$6,1,"")</f>
        <v/>
      </c>
      <c r="AL151" s="81">
        <f>IF(E151=$AL$6,1,"")</f>
        <v/>
      </c>
      <c r="AM151" s="81">
        <f>IF(E151=$AM$6,1,"")</f>
        <v/>
      </c>
      <c r="AN151" s="81">
        <f>IF(E151=$AN$6,1,"")</f>
        <v/>
      </c>
      <c r="AO151" s="81">
        <f>IF(E151=$AO$6,1,"")</f>
        <v/>
      </c>
      <c r="AP151" s="81">
        <f>IF(E151=$AP$6,1,"")</f>
        <v/>
      </c>
      <c r="AQ151" s="81">
        <f>IF(E151=$AQ$6,1,"")</f>
        <v/>
      </c>
      <c r="AR151" s="81">
        <f>IF(E151=$AR$6,1,"")</f>
        <v/>
      </c>
      <c r="AS151" s="81" t="n"/>
    </row>
    <row r="152" ht="15.75" customHeight="1" s="80">
      <c r="A152" s="157" t="n"/>
      <c r="B152" s="124" t="n"/>
      <c r="C152" s="125" t="n"/>
      <c r="D152" s="126" t="n"/>
      <c r="E152" s="127" t="n"/>
      <c r="F152" s="128" t="n"/>
      <c r="G152" s="129">
        <f>IF(F152="","",ROUND(F152/60,2))</f>
        <v/>
      </c>
      <c r="H152" s="130" t="n"/>
      <c r="I152" s="131" t="n"/>
      <c r="J152" s="131">
        <f>IF(COUNTIF(B152:E152,"*")=0,"",IF(T152=1,"Invalid Service",IF(AND(V152=1,F152=""),"Add Session Mins",IF(AND(E152&gt;0,H152="",T152=""),"Enter Contract Rate",IF(AND(E152="IEP mtg, prep, rept",F152&gt;0),(G152*H152),IF(AND(E152&gt;0,F152&gt;0,H152&gt;0,I152=""),"Enter Travel",IF(AND(F152&gt;0,I152="Y"),(G152*H152)+$M$10,IF(AND(F152&gt;0,I152="N"),(G152*H152),H152))))))))</f>
        <v/>
      </c>
      <c r="K152" s="132">
        <f>J152</f>
        <v/>
      </c>
      <c r="L152" s="148" t="n"/>
      <c r="M152" s="148" t="n"/>
      <c r="N152" s="148" t="n"/>
      <c r="O152" s="87" t="n"/>
      <c r="P152" s="81" t="n"/>
      <c r="Q152" s="81" t="n"/>
      <c r="R152" s="81" t="n"/>
      <c r="S152" s="81" t="n"/>
      <c r="T152" s="136">
        <f>IF(AND(E152&gt;0,U152=0),1,"")</f>
        <v/>
      </c>
      <c r="U152" s="136">
        <f>SUM(X152:AR152)</f>
        <v/>
      </c>
      <c r="V152" s="136">
        <f>IF(E152=$Q$16,0,SUM(X152:AI152))</f>
        <v/>
      </c>
      <c r="W152" s="136">
        <f>SUM(AK152:AR152)</f>
        <v/>
      </c>
      <c r="X152" s="136">
        <f>IF(E152=$X$6,1,"")</f>
        <v/>
      </c>
      <c r="Y152" s="136">
        <f>IF(E152=$Y$6,1,"")</f>
        <v/>
      </c>
      <c r="Z152" s="136">
        <f>IF(E152=$Z$6,1,"")</f>
        <v/>
      </c>
      <c r="AA152" s="136">
        <f>IF(E152=$AA$6,1,"")</f>
        <v/>
      </c>
      <c r="AB152" s="136">
        <f>IF(E152=$AB$6,1,"")</f>
        <v/>
      </c>
      <c r="AC152" s="136">
        <f>IF(E152=$AC$6,1,"")</f>
        <v/>
      </c>
      <c r="AD152" s="136">
        <f>IF(E152=$AD$6,1,"")</f>
        <v/>
      </c>
      <c r="AE152" s="136">
        <f>IF(E152=$AE$6,1,"")</f>
        <v/>
      </c>
      <c r="AF152" s="136">
        <f>IF(E152=$AF$6,1,"")</f>
        <v/>
      </c>
      <c r="AG152" s="136">
        <f>IF(E152=$AG$6,1,"")</f>
        <v/>
      </c>
      <c r="AH152" s="136">
        <f>IF(E152=$AH$6,1,"")</f>
        <v/>
      </c>
      <c r="AI152" s="136">
        <f>IF(E152=$AI$6,1,"")</f>
        <v/>
      </c>
      <c r="AJ152" s="136">
        <f>IF(E152=$AJ$6,1,"")</f>
        <v/>
      </c>
      <c r="AK152" s="81">
        <f>IF(E152=$AK$6,1,"")</f>
        <v/>
      </c>
      <c r="AL152" s="81">
        <f>IF(E152=$AL$6,1,"")</f>
        <v/>
      </c>
      <c r="AM152" s="81">
        <f>IF(E152=$AM$6,1,"")</f>
        <v/>
      </c>
      <c r="AN152" s="81">
        <f>IF(E152=$AN$6,1,"")</f>
        <v/>
      </c>
      <c r="AO152" s="81">
        <f>IF(E152=$AO$6,1,"")</f>
        <v/>
      </c>
      <c r="AP152" s="81">
        <f>IF(E152=$AP$6,1,"")</f>
        <v/>
      </c>
      <c r="AQ152" s="81">
        <f>IF(E152=$AQ$6,1,"")</f>
        <v/>
      </c>
      <c r="AR152" s="81">
        <f>IF(E152=$AR$6,1,"")</f>
        <v/>
      </c>
      <c r="AS152" s="81" t="n"/>
    </row>
    <row r="153" ht="15.75" customHeight="1" s="80">
      <c r="A153" s="157" t="n"/>
      <c r="B153" s="124" t="n"/>
      <c r="C153" s="125" t="n"/>
      <c r="D153" s="126" t="n"/>
      <c r="E153" s="127" t="n"/>
      <c r="F153" s="128" t="n"/>
      <c r="G153" s="129">
        <f>IF(F153="","",ROUND(F153/60,2))</f>
        <v/>
      </c>
      <c r="H153" s="130" t="n"/>
      <c r="I153" s="131" t="n"/>
      <c r="J153" s="131">
        <f>IF(COUNTIF(B153:E153,"*")=0,"",IF(T153=1,"Invalid Service",IF(AND(V153=1,F153=""),"Add Session Mins",IF(AND(E153&gt;0,H153="",T153=""),"Enter Contract Rate",IF(AND(E153="IEP mtg, prep, rept",F153&gt;0),(G153*H153),IF(AND(E153&gt;0,F153&gt;0,H153&gt;0,I153=""),"Enter Travel",IF(AND(F153&gt;0,I153="Y"),(G153*H153)+$M$10,IF(AND(F153&gt;0,I153="N"),(G153*H153),H153))))))))</f>
        <v/>
      </c>
      <c r="K153" s="132">
        <f>J153</f>
        <v/>
      </c>
      <c r="L153" s="148" t="n"/>
      <c r="M153" s="148" t="n"/>
      <c r="N153" s="148" t="n"/>
      <c r="O153" s="87" t="n"/>
      <c r="P153" s="81" t="n"/>
      <c r="Q153" s="81" t="n"/>
      <c r="R153" s="81" t="n"/>
      <c r="S153" s="81" t="n"/>
      <c r="T153" s="136">
        <f>IF(AND(E153&gt;0,U153=0),1,"")</f>
        <v/>
      </c>
      <c r="U153" s="136">
        <f>SUM(X153:AR153)</f>
        <v/>
      </c>
      <c r="V153" s="136">
        <f>IF(E153=$Q$16,0,SUM(X153:AI153))</f>
        <v/>
      </c>
      <c r="W153" s="136">
        <f>SUM(AK153:AR153)</f>
        <v/>
      </c>
      <c r="X153" s="136">
        <f>IF(E153=$X$6,1,"")</f>
        <v/>
      </c>
      <c r="Y153" s="136">
        <f>IF(E153=$Y$6,1,"")</f>
        <v/>
      </c>
      <c r="Z153" s="136">
        <f>IF(E153=$Z$6,1,"")</f>
        <v/>
      </c>
      <c r="AA153" s="136">
        <f>IF(E153=$AA$6,1,"")</f>
        <v/>
      </c>
      <c r="AB153" s="136">
        <f>IF(E153=$AB$6,1,"")</f>
        <v/>
      </c>
      <c r="AC153" s="136">
        <f>IF(E153=$AC$6,1,"")</f>
        <v/>
      </c>
      <c r="AD153" s="136">
        <f>IF(E153=$AD$6,1,"")</f>
        <v/>
      </c>
      <c r="AE153" s="136">
        <f>IF(E153=$AE$6,1,"")</f>
        <v/>
      </c>
      <c r="AF153" s="136">
        <f>IF(E153=$AF$6,1,"")</f>
        <v/>
      </c>
      <c r="AG153" s="136">
        <f>IF(E153=$AG$6,1,"")</f>
        <v/>
      </c>
      <c r="AH153" s="136">
        <f>IF(E153=$AH$6,1,"")</f>
        <v/>
      </c>
      <c r="AI153" s="136">
        <f>IF(E153=$AI$6,1,"")</f>
        <v/>
      </c>
      <c r="AJ153" s="136">
        <f>IF(E153=$AJ$6,1,"")</f>
        <v/>
      </c>
      <c r="AK153" s="81">
        <f>IF(E153=$AK$6,1,"")</f>
        <v/>
      </c>
      <c r="AL153" s="81">
        <f>IF(E153=$AL$6,1,"")</f>
        <v/>
      </c>
      <c r="AM153" s="81">
        <f>IF(E153=$AM$6,1,"")</f>
        <v/>
      </c>
      <c r="AN153" s="81">
        <f>IF(E153=$AN$6,1,"")</f>
        <v/>
      </c>
      <c r="AO153" s="81">
        <f>IF(E153=$AO$6,1,"")</f>
        <v/>
      </c>
      <c r="AP153" s="81">
        <f>IF(E153=$AP$6,1,"")</f>
        <v/>
      </c>
      <c r="AQ153" s="81">
        <f>IF(E153=$AQ$6,1,"")</f>
        <v/>
      </c>
      <c r="AR153" s="81">
        <f>IF(E153=$AR$6,1,"")</f>
        <v/>
      </c>
      <c r="AS153" s="81" t="n"/>
    </row>
    <row r="154" ht="15.75" customHeight="1" s="80">
      <c r="A154" s="157" t="n"/>
      <c r="B154" s="124" t="n"/>
      <c r="C154" s="125" t="n"/>
      <c r="D154" s="126" t="n"/>
      <c r="E154" s="127" t="n"/>
      <c r="F154" s="128" t="n"/>
      <c r="G154" s="129">
        <f>IF(F154="","",ROUND(F154/60,2))</f>
        <v/>
      </c>
      <c r="H154" s="130" t="n"/>
      <c r="I154" s="131" t="n"/>
      <c r="J154" s="131">
        <f>IF(COUNTIF(B154:E154,"*")=0,"",IF(T154=1,"Invalid Service",IF(AND(V154=1,F154=""),"Add Session Mins",IF(AND(E154&gt;0,H154="",T154=""),"Enter Contract Rate",IF(AND(E154="IEP mtg, prep, rept",F154&gt;0),(G154*H154),IF(AND(E154&gt;0,F154&gt;0,H154&gt;0,I154=""),"Enter Travel",IF(AND(F154&gt;0,I154="Y"),(G154*H154)+$M$10,IF(AND(F154&gt;0,I154="N"),(G154*H154),H154))))))))</f>
        <v/>
      </c>
      <c r="K154" s="132">
        <f>J154</f>
        <v/>
      </c>
      <c r="L154" s="148" t="n"/>
      <c r="M154" s="148" t="n"/>
      <c r="N154" s="148" t="n"/>
      <c r="O154" s="87" t="n"/>
      <c r="P154" s="81" t="n"/>
      <c r="Q154" s="81" t="n"/>
      <c r="R154" s="81" t="n"/>
      <c r="S154" s="81" t="n"/>
      <c r="T154" s="136">
        <f>IF(AND(E154&gt;0,U154=0),1,"")</f>
        <v/>
      </c>
      <c r="U154" s="136">
        <f>SUM(X154:AR154)</f>
        <v/>
      </c>
      <c r="V154" s="136">
        <f>IF(E154=$Q$16,0,SUM(X154:AI154))</f>
        <v/>
      </c>
      <c r="W154" s="136">
        <f>SUM(AK154:AR154)</f>
        <v/>
      </c>
      <c r="X154" s="136">
        <f>IF(E154=$X$6,1,"")</f>
        <v/>
      </c>
      <c r="Y154" s="136">
        <f>IF(E154=$Y$6,1,"")</f>
        <v/>
      </c>
      <c r="Z154" s="136">
        <f>IF(E154=$Z$6,1,"")</f>
        <v/>
      </c>
      <c r="AA154" s="136">
        <f>IF(E154=$AA$6,1,"")</f>
        <v/>
      </c>
      <c r="AB154" s="136">
        <f>IF(E154=$AB$6,1,"")</f>
        <v/>
      </c>
      <c r="AC154" s="136">
        <f>IF(E154=$AC$6,1,"")</f>
        <v/>
      </c>
      <c r="AD154" s="136">
        <f>IF(E154=$AD$6,1,"")</f>
        <v/>
      </c>
      <c r="AE154" s="136">
        <f>IF(E154=$AE$6,1,"")</f>
        <v/>
      </c>
      <c r="AF154" s="136">
        <f>IF(E154=$AF$6,1,"")</f>
        <v/>
      </c>
      <c r="AG154" s="136">
        <f>IF(E154=$AG$6,1,"")</f>
        <v/>
      </c>
      <c r="AH154" s="136">
        <f>IF(E154=$AH$6,1,"")</f>
        <v/>
      </c>
      <c r="AI154" s="136">
        <f>IF(E154=$AI$6,1,"")</f>
        <v/>
      </c>
      <c r="AJ154" s="136">
        <f>IF(E154=$AJ$6,1,"")</f>
        <v/>
      </c>
      <c r="AK154" s="81">
        <f>IF(E154=$AK$6,1,"")</f>
        <v/>
      </c>
      <c r="AL154" s="81">
        <f>IF(E154=$AL$6,1,"")</f>
        <v/>
      </c>
      <c r="AM154" s="81">
        <f>IF(E154=$AM$6,1,"")</f>
        <v/>
      </c>
      <c r="AN154" s="81">
        <f>IF(E154=$AN$6,1,"")</f>
        <v/>
      </c>
      <c r="AO154" s="81">
        <f>IF(E154=$AO$6,1,"")</f>
        <v/>
      </c>
      <c r="AP154" s="81">
        <f>IF(E154=$AP$6,1,"")</f>
        <v/>
      </c>
      <c r="AQ154" s="81">
        <f>IF(E154=$AQ$6,1,"")</f>
        <v/>
      </c>
      <c r="AR154" s="81">
        <f>IF(E154=$AR$6,1,"")</f>
        <v/>
      </c>
      <c r="AS154" s="81" t="n"/>
    </row>
    <row r="155" ht="15.75" customHeight="1" s="80">
      <c r="A155" s="157" t="n"/>
      <c r="B155" s="124" t="n"/>
      <c r="C155" s="125" t="n"/>
      <c r="D155" s="126" t="n"/>
      <c r="E155" s="127" t="n"/>
      <c r="F155" s="128" t="n"/>
      <c r="G155" s="129">
        <f>IF(F155="","",ROUND(F155/60,2))</f>
        <v/>
      </c>
      <c r="H155" s="130" t="n"/>
      <c r="I155" s="131" t="n"/>
      <c r="J155" s="131">
        <f>IF(COUNTIF(B155:E155,"*")=0,"",IF(T155=1,"Invalid Service",IF(AND(V155=1,F155=""),"Add Session Mins",IF(AND(E155&gt;0,H155="",T155=""),"Enter Contract Rate",IF(AND(E155="IEP mtg, prep, rept",F155&gt;0),(G155*H155),IF(AND(E155&gt;0,F155&gt;0,H155&gt;0,I155=""),"Enter Travel",IF(AND(F155&gt;0,I155="Y"),(G155*H155)+$M$10,IF(AND(F155&gt;0,I155="N"),(G155*H155),H155))))))))</f>
        <v/>
      </c>
      <c r="K155" s="132">
        <f>J155</f>
        <v/>
      </c>
      <c r="L155" s="148" t="n"/>
      <c r="M155" s="148" t="n"/>
      <c r="N155" s="148" t="n"/>
      <c r="O155" s="87" t="n"/>
      <c r="P155" s="81" t="n"/>
      <c r="Q155" s="81" t="n"/>
      <c r="R155" s="81" t="n"/>
      <c r="S155" s="81" t="n"/>
      <c r="T155" s="136">
        <f>IF(AND(E155&gt;0,U155=0),1,"")</f>
        <v/>
      </c>
      <c r="U155" s="136">
        <f>SUM(X155:AR155)</f>
        <v/>
      </c>
      <c r="V155" s="136">
        <f>IF(E155=$Q$16,0,SUM(X155:AI155))</f>
        <v/>
      </c>
      <c r="W155" s="136">
        <f>SUM(AK155:AR155)</f>
        <v/>
      </c>
      <c r="X155" s="136">
        <f>IF(E155=$X$6,1,"")</f>
        <v/>
      </c>
      <c r="Y155" s="136">
        <f>IF(E155=$Y$6,1,"")</f>
        <v/>
      </c>
      <c r="Z155" s="136">
        <f>IF(E155=$Z$6,1,"")</f>
        <v/>
      </c>
      <c r="AA155" s="136">
        <f>IF(E155=$AA$6,1,"")</f>
        <v/>
      </c>
      <c r="AB155" s="136">
        <f>IF(E155=$AB$6,1,"")</f>
        <v/>
      </c>
      <c r="AC155" s="136">
        <f>IF(E155=$AC$6,1,"")</f>
        <v/>
      </c>
      <c r="AD155" s="136">
        <f>IF(E155=$AD$6,1,"")</f>
        <v/>
      </c>
      <c r="AE155" s="136">
        <f>IF(E155=$AE$6,1,"")</f>
        <v/>
      </c>
      <c r="AF155" s="136">
        <f>IF(E155=$AF$6,1,"")</f>
        <v/>
      </c>
      <c r="AG155" s="136">
        <f>IF(E155=$AG$6,1,"")</f>
        <v/>
      </c>
      <c r="AH155" s="136">
        <f>IF(E155=$AH$6,1,"")</f>
        <v/>
      </c>
      <c r="AI155" s="136">
        <f>IF(E155=$AI$6,1,"")</f>
        <v/>
      </c>
      <c r="AJ155" s="136">
        <f>IF(E155=$AJ$6,1,"")</f>
        <v/>
      </c>
      <c r="AK155" s="81">
        <f>IF(E155=$AK$6,1,"")</f>
        <v/>
      </c>
      <c r="AL155" s="81">
        <f>IF(E155=$AL$6,1,"")</f>
        <v/>
      </c>
      <c r="AM155" s="81">
        <f>IF(E155=$AM$6,1,"")</f>
        <v/>
      </c>
      <c r="AN155" s="81">
        <f>IF(E155=$AN$6,1,"")</f>
        <v/>
      </c>
      <c r="AO155" s="81">
        <f>IF(E155=$AO$6,1,"")</f>
        <v/>
      </c>
      <c r="AP155" s="81">
        <f>IF(E155=$AP$6,1,"")</f>
        <v/>
      </c>
      <c r="AQ155" s="81">
        <f>IF(E155=$AQ$6,1,"")</f>
        <v/>
      </c>
      <c r="AR155" s="81">
        <f>IF(E155=$AR$6,1,"")</f>
        <v/>
      </c>
      <c r="AS155" s="81" t="n"/>
    </row>
    <row r="156" ht="15.75" customHeight="1" s="80">
      <c r="A156" s="157" t="n"/>
      <c r="B156" s="124" t="n"/>
      <c r="C156" s="125" t="n"/>
      <c r="D156" s="126" t="n"/>
      <c r="E156" s="127" t="n"/>
      <c r="F156" s="128" t="n"/>
      <c r="G156" s="129">
        <f>IF(F156="","",ROUND(F156/60,2))</f>
        <v/>
      </c>
      <c r="H156" s="130" t="n"/>
      <c r="I156" s="131" t="n"/>
      <c r="J156" s="131">
        <f>IF(COUNTIF(B156:E156,"*")=0,"",IF(T156=1,"Invalid Service",IF(AND(V156=1,F156=""),"Add Session Mins",IF(AND(E156&gt;0,H156="",T156=""),"Enter Contract Rate",IF(AND(E156="IEP mtg, prep, rept",F156&gt;0),(G156*H156),IF(AND(E156&gt;0,F156&gt;0,H156&gt;0,I156=""),"Enter Travel",IF(AND(F156&gt;0,I156="Y"),(G156*H156)+$M$10,IF(AND(F156&gt;0,I156="N"),(G156*H156),H156))))))))</f>
        <v/>
      </c>
      <c r="K156" s="132">
        <f>J156</f>
        <v/>
      </c>
      <c r="L156" s="148" t="n"/>
      <c r="M156" s="148" t="n"/>
      <c r="N156" s="148" t="n"/>
      <c r="O156" s="87" t="n"/>
      <c r="P156" s="81" t="n"/>
      <c r="Q156" s="81" t="n"/>
      <c r="R156" s="81" t="n"/>
      <c r="S156" s="81" t="n"/>
      <c r="T156" s="136">
        <f>IF(AND(E156&gt;0,U156=0),1,"")</f>
        <v/>
      </c>
      <c r="U156" s="136">
        <f>SUM(X156:AR156)</f>
        <v/>
      </c>
      <c r="V156" s="136">
        <f>IF(E156=$Q$16,0,SUM(X156:AI156))</f>
        <v/>
      </c>
      <c r="W156" s="136">
        <f>SUM(AK156:AR156)</f>
        <v/>
      </c>
      <c r="X156" s="136">
        <f>IF(E156=$X$6,1,"")</f>
        <v/>
      </c>
      <c r="Y156" s="136">
        <f>IF(E156=$Y$6,1,"")</f>
        <v/>
      </c>
      <c r="Z156" s="136">
        <f>IF(E156=$Z$6,1,"")</f>
        <v/>
      </c>
      <c r="AA156" s="136">
        <f>IF(E156=$AA$6,1,"")</f>
        <v/>
      </c>
      <c r="AB156" s="136">
        <f>IF(E156=$AB$6,1,"")</f>
        <v/>
      </c>
      <c r="AC156" s="136">
        <f>IF(E156=$AC$6,1,"")</f>
        <v/>
      </c>
      <c r="AD156" s="136">
        <f>IF(E156=$AD$6,1,"")</f>
        <v/>
      </c>
      <c r="AE156" s="136">
        <f>IF(E156=$AE$6,1,"")</f>
        <v/>
      </c>
      <c r="AF156" s="136">
        <f>IF(E156=$AF$6,1,"")</f>
        <v/>
      </c>
      <c r="AG156" s="136">
        <f>IF(E156=$AG$6,1,"")</f>
        <v/>
      </c>
      <c r="AH156" s="136">
        <f>IF(E156=$AH$6,1,"")</f>
        <v/>
      </c>
      <c r="AI156" s="136">
        <f>IF(E156=$AI$6,1,"")</f>
        <v/>
      </c>
      <c r="AJ156" s="136">
        <f>IF(E156=$AJ$6,1,"")</f>
        <v/>
      </c>
      <c r="AK156" s="81">
        <f>IF(E156=$AK$6,1,"")</f>
        <v/>
      </c>
      <c r="AL156" s="81">
        <f>IF(E156=$AL$6,1,"")</f>
        <v/>
      </c>
      <c r="AM156" s="81">
        <f>IF(E156=$AM$6,1,"")</f>
        <v/>
      </c>
      <c r="AN156" s="81">
        <f>IF(E156=$AN$6,1,"")</f>
        <v/>
      </c>
      <c r="AO156" s="81">
        <f>IF(E156=$AO$6,1,"")</f>
        <v/>
      </c>
      <c r="AP156" s="81">
        <f>IF(E156=$AP$6,1,"")</f>
        <v/>
      </c>
      <c r="AQ156" s="81">
        <f>IF(E156=$AQ$6,1,"")</f>
        <v/>
      </c>
      <c r="AR156" s="81">
        <f>IF(E156=$AR$6,1,"")</f>
        <v/>
      </c>
      <c r="AS156" s="81" t="n"/>
    </row>
    <row r="157" ht="15.75" customHeight="1" s="80">
      <c r="A157" s="157" t="n"/>
      <c r="B157" s="124" t="n"/>
      <c r="C157" s="125" t="n"/>
      <c r="D157" s="126" t="n"/>
      <c r="E157" s="127" t="n"/>
      <c r="F157" s="128" t="n"/>
      <c r="G157" s="129">
        <f>IF(F157="","",ROUND(F157/60,2))</f>
        <v/>
      </c>
      <c r="H157" s="130" t="n"/>
      <c r="I157" s="131" t="n"/>
      <c r="J157" s="131">
        <f>IF(COUNTIF(B157:E157,"*")=0,"",IF(T157=1,"Invalid Service",IF(AND(V157=1,F157=""),"Add Session Mins",IF(AND(E157&gt;0,H157="",T157=""),"Enter Contract Rate",IF(AND(E157="IEP mtg, prep, rept",F157&gt;0),(G157*H157),IF(AND(E157&gt;0,F157&gt;0,H157&gt;0,I157=""),"Enter Travel",IF(AND(F157&gt;0,I157="Y"),(G157*H157)+$M$10,IF(AND(F157&gt;0,I157="N"),(G157*H157),H157))))))))</f>
        <v/>
      </c>
      <c r="K157" s="132">
        <f>J157</f>
        <v/>
      </c>
      <c r="L157" s="148" t="n"/>
      <c r="M157" s="148" t="n"/>
      <c r="N157" s="148" t="n"/>
      <c r="O157" s="87" t="n"/>
      <c r="P157" s="81" t="n"/>
      <c r="Q157" s="81" t="n"/>
      <c r="R157" s="81" t="n"/>
      <c r="S157" s="81" t="n"/>
      <c r="T157" s="136">
        <f>IF(AND(E157&gt;0,U157=0),1,"")</f>
        <v/>
      </c>
      <c r="U157" s="136">
        <f>SUM(X157:AR157)</f>
        <v/>
      </c>
      <c r="V157" s="136">
        <f>IF(E157=$Q$16,0,SUM(X157:AI157))</f>
        <v/>
      </c>
      <c r="W157" s="136">
        <f>SUM(AK157:AR157)</f>
        <v/>
      </c>
      <c r="X157" s="136">
        <f>IF(E157=$X$6,1,"")</f>
        <v/>
      </c>
      <c r="Y157" s="136">
        <f>IF(E157=$Y$6,1,"")</f>
        <v/>
      </c>
      <c r="Z157" s="136">
        <f>IF(E157=$Z$6,1,"")</f>
        <v/>
      </c>
      <c r="AA157" s="136">
        <f>IF(E157=$AA$6,1,"")</f>
        <v/>
      </c>
      <c r="AB157" s="136">
        <f>IF(E157=$AB$6,1,"")</f>
        <v/>
      </c>
      <c r="AC157" s="136">
        <f>IF(E157=$AC$6,1,"")</f>
        <v/>
      </c>
      <c r="AD157" s="136">
        <f>IF(E157=$AD$6,1,"")</f>
        <v/>
      </c>
      <c r="AE157" s="136">
        <f>IF(E157=$AE$6,1,"")</f>
        <v/>
      </c>
      <c r="AF157" s="136">
        <f>IF(E157=$AF$6,1,"")</f>
        <v/>
      </c>
      <c r="AG157" s="136">
        <f>IF(E157=$AG$6,1,"")</f>
        <v/>
      </c>
      <c r="AH157" s="136">
        <f>IF(E157=$AH$6,1,"")</f>
        <v/>
      </c>
      <c r="AI157" s="136">
        <f>IF(E157=$AI$6,1,"")</f>
        <v/>
      </c>
      <c r="AJ157" s="136">
        <f>IF(E157=$AJ$6,1,"")</f>
        <v/>
      </c>
      <c r="AK157" s="81">
        <f>IF(E157=$AK$6,1,"")</f>
        <v/>
      </c>
      <c r="AL157" s="81">
        <f>IF(E157=$AL$6,1,"")</f>
        <v/>
      </c>
      <c r="AM157" s="81">
        <f>IF(E157=$AM$6,1,"")</f>
        <v/>
      </c>
      <c r="AN157" s="81">
        <f>IF(E157=$AN$6,1,"")</f>
        <v/>
      </c>
      <c r="AO157" s="81">
        <f>IF(E157=$AO$6,1,"")</f>
        <v/>
      </c>
      <c r="AP157" s="81">
        <f>IF(E157=$AP$6,1,"")</f>
        <v/>
      </c>
      <c r="AQ157" s="81">
        <f>IF(E157=$AQ$6,1,"")</f>
        <v/>
      </c>
      <c r="AR157" s="81">
        <f>IF(E157=$AR$6,1,"")</f>
        <v/>
      </c>
      <c r="AS157" s="81" t="n"/>
    </row>
    <row r="158" ht="15.75" customHeight="1" s="80">
      <c r="A158" s="157" t="n"/>
      <c r="B158" s="124" t="n"/>
      <c r="C158" s="125" t="n"/>
      <c r="D158" s="126" t="n"/>
      <c r="E158" s="127" t="n"/>
      <c r="F158" s="128" t="n"/>
      <c r="G158" s="129">
        <f>IF(F158="","",ROUND(F158/60,2))</f>
        <v/>
      </c>
      <c r="H158" s="130" t="n"/>
      <c r="I158" s="131" t="n"/>
      <c r="J158" s="131">
        <f>IF(COUNTIF(B158:E158,"*")=0,"",IF(T158=1,"Invalid Service",IF(AND(V158=1,F158=""),"Add Session Mins",IF(AND(E158&gt;0,H158="",T158=""),"Enter Contract Rate",IF(AND(E158="IEP mtg, prep, rept",F158&gt;0),(G158*H158),IF(AND(E158&gt;0,F158&gt;0,H158&gt;0,I158=""),"Enter Travel",IF(AND(F158&gt;0,I158="Y"),(G158*H158)+$M$10,IF(AND(F158&gt;0,I158="N"),(G158*H158),H158))))))))</f>
        <v/>
      </c>
      <c r="K158" s="132">
        <f>J158</f>
        <v/>
      </c>
      <c r="L158" s="148" t="n"/>
      <c r="M158" s="148" t="n"/>
      <c r="N158" s="148" t="n"/>
      <c r="O158" s="87" t="n"/>
      <c r="P158" s="81" t="n"/>
      <c r="Q158" s="81" t="n"/>
      <c r="R158" s="81" t="n"/>
      <c r="S158" s="81" t="n"/>
      <c r="T158" s="136">
        <f>IF(AND(E158&gt;0,U158=0),1,"")</f>
        <v/>
      </c>
      <c r="U158" s="136">
        <f>SUM(X158:AR158)</f>
        <v/>
      </c>
      <c r="V158" s="136">
        <f>IF(E158=$Q$16,0,SUM(X158:AI158))</f>
        <v/>
      </c>
      <c r="W158" s="136">
        <f>SUM(AK158:AR158)</f>
        <v/>
      </c>
      <c r="X158" s="136">
        <f>IF(E158=$X$6,1,"")</f>
        <v/>
      </c>
      <c r="Y158" s="136">
        <f>IF(E158=$Y$6,1,"")</f>
        <v/>
      </c>
      <c r="Z158" s="136">
        <f>IF(E158=$Z$6,1,"")</f>
        <v/>
      </c>
      <c r="AA158" s="136">
        <f>IF(E158=$AA$6,1,"")</f>
        <v/>
      </c>
      <c r="AB158" s="136">
        <f>IF(E158=$AB$6,1,"")</f>
        <v/>
      </c>
      <c r="AC158" s="136">
        <f>IF(E158=$AC$6,1,"")</f>
        <v/>
      </c>
      <c r="AD158" s="136">
        <f>IF(E158=$AD$6,1,"")</f>
        <v/>
      </c>
      <c r="AE158" s="136">
        <f>IF(E158=$AE$6,1,"")</f>
        <v/>
      </c>
      <c r="AF158" s="136">
        <f>IF(E158=$AF$6,1,"")</f>
        <v/>
      </c>
      <c r="AG158" s="136">
        <f>IF(E158=$AG$6,1,"")</f>
        <v/>
      </c>
      <c r="AH158" s="136">
        <f>IF(E158=$AH$6,1,"")</f>
        <v/>
      </c>
      <c r="AI158" s="136">
        <f>IF(E158=$AI$6,1,"")</f>
        <v/>
      </c>
      <c r="AJ158" s="136">
        <f>IF(E158=$AJ$6,1,"")</f>
        <v/>
      </c>
      <c r="AK158" s="81">
        <f>IF(E158=$AK$6,1,"")</f>
        <v/>
      </c>
      <c r="AL158" s="81">
        <f>IF(E158=$AL$6,1,"")</f>
        <v/>
      </c>
      <c r="AM158" s="81">
        <f>IF(E158=$AM$6,1,"")</f>
        <v/>
      </c>
      <c r="AN158" s="81">
        <f>IF(E158=$AN$6,1,"")</f>
        <v/>
      </c>
      <c r="AO158" s="81">
        <f>IF(E158=$AO$6,1,"")</f>
        <v/>
      </c>
      <c r="AP158" s="81">
        <f>IF(E158=$AP$6,1,"")</f>
        <v/>
      </c>
      <c r="AQ158" s="81">
        <f>IF(E158=$AQ$6,1,"")</f>
        <v/>
      </c>
      <c r="AR158" s="81">
        <f>IF(E158=$AR$6,1,"")</f>
        <v/>
      </c>
      <c r="AS158" s="81" t="n"/>
    </row>
    <row r="159" ht="15.75" customHeight="1" s="80">
      <c r="A159" s="157" t="n"/>
      <c r="B159" s="124" t="n"/>
      <c r="C159" s="125" t="n"/>
      <c r="D159" s="126" t="n"/>
      <c r="E159" s="127" t="n"/>
      <c r="F159" s="128" t="n"/>
      <c r="G159" s="129">
        <f>IF(F159="","",ROUND(F159/60,2))</f>
        <v/>
      </c>
      <c r="H159" s="130" t="n"/>
      <c r="I159" s="131" t="n"/>
      <c r="J159" s="131">
        <f>IF(COUNTIF(B159:E159,"*")=0,"",IF(T159=1,"Invalid Service",IF(AND(V159=1,F159=""),"Add Session Mins",IF(AND(E159&gt;0,H159="",T159=""),"Enter Contract Rate",IF(AND(E159="IEP mtg, prep, rept",F159&gt;0),(G159*H159),IF(AND(E159&gt;0,F159&gt;0,H159&gt;0,I159=""),"Enter Travel",IF(AND(F159&gt;0,I159="Y"),(G159*H159)+$M$10,IF(AND(F159&gt;0,I159="N"),(G159*H159),H159))))))))</f>
        <v/>
      </c>
      <c r="K159" s="132">
        <f>J159</f>
        <v/>
      </c>
      <c r="L159" s="148" t="n"/>
      <c r="M159" s="148" t="n"/>
      <c r="N159" s="148" t="n"/>
      <c r="O159" s="87" t="n"/>
      <c r="P159" s="81" t="n"/>
      <c r="Q159" s="81" t="n"/>
      <c r="R159" s="81" t="n"/>
      <c r="S159" s="81" t="n"/>
      <c r="T159" s="136">
        <f>IF(AND(E159&gt;0,U159=0),1,"")</f>
        <v/>
      </c>
      <c r="U159" s="136">
        <f>SUM(X159:AR159)</f>
        <v/>
      </c>
      <c r="V159" s="136">
        <f>IF(E159=$Q$16,0,SUM(X159:AI159))</f>
        <v/>
      </c>
      <c r="W159" s="136">
        <f>SUM(AK159:AR159)</f>
        <v/>
      </c>
      <c r="X159" s="136">
        <f>IF(E159=$X$6,1,"")</f>
        <v/>
      </c>
      <c r="Y159" s="136">
        <f>IF(E159=$Y$6,1,"")</f>
        <v/>
      </c>
      <c r="Z159" s="136">
        <f>IF(E159=$Z$6,1,"")</f>
        <v/>
      </c>
      <c r="AA159" s="136">
        <f>IF(E159=$AA$6,1,"")</f>
        <v/>
      </c>
      <c r="AB159" s="136">
        <f>IF(E159=$AB$6,1,"")</f>
        <v/>
      </c>
      <c r="AC159" s="136">
        <f>IF(E159=$AC$6,1,"")</f>
        <v/>
      </c>
      <c r="AD159" s="136">
        <f>IF(E159=$AD$6,1,"")</f>
        <v/>
      </c>
      <c r="AE159" s="136">
        <f>IF(E159=$AE$6,1,"")</f>
        <v/>
      </c>
      <c r="AF159" s="136">
        <f>IF(E159=$AF$6,1,"")</f>
        <v/>
      </c>
      <c r="AG159" s="136">
        <f>IF(E159=$AG$6,1,"")</f>
        <v/>
      </c>
      <c r="AH159" s="136">
        <f>IF(E159=$AH$6,1,"")</f>
        <v/>
      </c>
      <c r="AI159" s="136">
        <f>IF(E159=$AI$6,1,"")</f>
        <v/>
      </c>
      <c r="AJ159" s="136">
        <f>IF(E159=$AJ$6,1,"")</f>
        <v/>
      </c>
      <c r="AK159" s="81">
        <f>IF(E159=$AK$6,1,"")</f>
        <v/>
      </c>
      <c r="AL159" s="81">
        <f>IF(E159=$AL$6,1,"")</f>
        <v/>
      </c>
      <c r="AM159" s="81">
        <f>IF(E159=$AM$6,1,"")</f>
        <v/>
      </c>
      <c r="AN159" s="81">
        <f>IF(E159=$AN$6,1,"")</f>
        <v/>
      </c>
      <c r="AO159" s="81">
        <f>IF(E159=$AO$6,1,"")</f>
        <v/>
      </c>
      <c r="AP159" s="81">
        <f>IF(E159=$AP$6,1,"")</f>
        <v/>
      </c>
      <c r="AQ159" s="81">
        <f>IF(E159=$AQ$6,1,"")</f>
        <v/>
      </c>
      <c r="AR159" s="81">
        <f>IF(E159=$AR$6,1,"")</f>
        <v/>
      </c>
      <c r="AS159" s="81" t="n"/>
    </row>
    <row r="160" ht="15.75" customHeight="1" s="80">
      <c r="A160" s="157" t="n"/>
      <c r="B160" s="124" t="n"/>
      <c r="C160" s="125" t="n"/>
      <c r="D160" s="126" t="n"/>
      <c r="E160" s="127" t="n"/>
      <c r="F160" s="128" t="n"/>
      <c r="G160" s="129">
        <f>IF(F160="","",ROUND(F160/60,2))</f>
        <v/>
      </c>
      <c r="H160" s="130" t="n"/>
      <c r="I160" s="131" t="n"/>
      <c r="J160" s="131">
        <f>IF(COUNTIF(B160:E160,"*")=0,"",IF(T160=1,"Invalid Service",IF(AND(V160=1,F160=""),"Add Session Mins",IF(AND(E160&gt;0,H160="",T160=""),"Enter Contract Rate",IF(AND(E160="IEP mtg, prep, rept",F160&gt;0),(G160*H160),IF(AND(E160&gt;0,F160&gt;0,H160&gt;0,I160=""),"Enter Travel",IF(AND(F160&gt;0,I160="Y"),(G160*H160)+$M$10,IF(AND(F160&gt;0,I160="N"),(G160*H160),H160))))))))</f>
        <v/>
      </c>
      <c r="K160" s="132">
        <f>J160</f>
        <v/>
      </c>
      <c r="L160" s="148" t="n"/>
      <c r="M160" s="148" t="n"/>
      <c r="N160" s="148" t="n"/>
      <c r="O160" s="87" t="n"/>
      <c r="P160" s="81" t="n"/>
      <c r="Q160" s="81" t="n"/>
      <c r="R160" s="81" t="n"/>
      <c r="S160" s="81" t="n"/>
      <c r="T160" s="136">
        <f>IF(AND(E160&gt;0,U160=0),1,"")</f>
        <v/>
      </c>
      <c r="U160" s="136">
        <f>SUM(X160:AR160)</f>
        <v/>
      </c>
      <c r="V160" s="136">
        <f>IF(E160=$Q$16,0,SUM(X160:AI160))</f>
        <v/>
      </c>
      <c r="W160" s="136">
        <f>SUM(AK160:AR160)</f>
        <v/>
      </c>
      <c r="X160" s="136">
        <f>IF(E160=$X$6,1,"")</f>
        <v/>
      </c>
      <c r="Y160" s="136">
        <f>IF(E160=$Y$6,1,"")</f>
        <v/>
      </c>
      <c r="Z160" s="136">
        <f>IF(E160=$Z$6,1,"")</f>
        <v/>
      </c>
      <c r="AA160" s="136">
        <f>IF(E160=$AA$6,1,"")</f>
        <v/>
      </c>
      <c r="AB160" s="136">
        <f>IF(E160=$AB$6,1,"")</f>
        <v/>
      </c>
      <c r="AC160" s="136">
        <f>IF(E160=$AC$6,1,"")</f>
        <v/>
      </c>
      <c r="AD160" s="136">
        <f>IF(E160=$AD$6,1,"")</f>
        <v/>
      </c>
      <c r="AE160" s="136">
        <f>IF(E160=$AE$6,1,"")</f>
        <v/>
      </c>
      <c r="AF160" s="136">
        <f>IF(E160=$AF$6,1,"")</f>
        <v/>
      </c>
      <c r="AG160" s="136">
        <f>IF(E160=$AG$6,1,"")</f>
        <v/>
      </c>
      <c r="AH160" s="136">
        <f>IF(E160=$AH$6,1,"")</f>
        <v/>
      </c>
      <c r="AI160" s="136">
        <f>IF(E160=$AI$6,1,"")</f>
        <v/>
      </c>
      <c r="AJ160" s="136">
        <f>IF(E160=$AJ$6,1,"")</f>
        <v/>
      </c>
      <c r="AK160" s="81">
        <f>IF(E160=$AK$6,1,"")</f>
        <v/>
      </c>
      <c r="AL160" s="81">
        <f>IF(E160=$AL$6,1,"")</f>
        <v/>
      </c>
      <c r="AM160" s="81">
        <f>IF(E160=$AM$6,1,"")</f>
        <v/>
      </c>
      <c r="AN160" s="81">
        <f>IF(E160=$AN$6,1,"")</f>
        <v/>
      </c>
      <c r="AO160" s="81">
        <f>IF(E160=$AO$6,1,"")</f>
        <v/>
      </c>
      <c r="AP160" s="81">
        <f>IF(E160=$AP$6,1,"")</f>
        <v/>
      </c>
      <c r="AQ160" s="81">
        <f>IF(E160=$AQ$6,1,"")</f>
        <v/>
      </c>
      <c r="AR160" s="81">
        <f>IF(E160=$AR$6,1,"")</f>
        <v/>
      </c>
      <c r="AS160" s="81" t="n"/>
    </row>
    <row r="161" ht="15.75" customHeight="1" s="80">
      <c r="A161" s="157" t="n"/>
      <c r="B161" s="124" t="n"/>
      <c r="C161" s="125" t="n"/>
      <c r="D161" s="126" t="n"/>
      <c r="E161" s="127" t="n"/>
      <c r="F161" s="128" t="n"/>
      <c r="G161" s="129">
        <f>IF(F161="","",ROUND(F161/60,2))</f>
        <v/>
      </c>
      <c r="H161" s="130" t="n"/>
      <c r="I161" s="131" t="n"/>
      <c r="J161" s="131">
        <f>IF(COUNTIF(B161:E161,"*")=0,"",IF(T161=1,"Invalid Service",IF(AND(V161=1,F161=""),"Add Session Mins",IF(AND(E161&gt;0,H161="",T161=""),"Enter Contract Rate",IF(AND(E161="IEP mtg, prep, rept",F161&gt;0),(G161*H161),IF(AND(E161&gt;0,F161&gt;0,H161&gt;0,I161=""),"Enter Travel",IF(AND(F161&gt;0,I161="Y"),(G161*H161)+$M$10,IF(AND(F161&gt;0,I161="N"),(G161*H161),H161))))))))</f>
        <v/>
      </c>
      <c r="K161" s="132">
        <f>J161</f>
        <v/>
      </c>
      <c r="L161" s="148" t="n"/>
      <c r="M161" s="148" t="n"/>
      <c r="N161" s="148" t="n"/>
      <c r="O161" s="87" t="n"/>
      <c r="P161" s="81" t="n"/>
      <c r="Q161" s="81" t="n"/>
      <c r="R161" s="81" t="n"/>
      <c r="S161" s="81" t="n"/>
      <c r="T161" s="136">
        <f>IF(AND(E161&gt;0,U161=0),1,"")</f>
        <v/>
      </c>
      <c r="U161" s="136">
        <f>SUM(X161:AR161)</f>
        <v/>
      </c>
      <c r="V161" s="136">
        <f>IF(E161=$Q$16,0,SUM(X161:AI161))</f>
        <v/>
      </c>
      <c r="W161" s="136">
        <f>SUM(AK161:AR161)</f>
        <v/>
      </c>
      <c r="X161" s="136">
        <f>IF(E161=$X$6,1,"")</f>
        <v/>
      </c>
      <c r="Y161" s="136">
        <f>IF(E161=$Y$6,1,"")</f>
        <v/>
      </c>
      <c r="Z161" s="136">
        <f>IF(E161=$Z$6,1,"")</f>
        <v/>
      </c>
      <c r="AA161" s="136">
        <f>IF(E161=$AA$6,1,"")</f>
        <v/>
      </c>
      <c r="AB161" s="136">
        <f>IF(E161=$AB$6,1,"")</f>
        <v/>
      </c>
      <c r="AC161" s="136">
        <f>IF(E161=$AC$6,1,"")</f>
        <v/>
      </c>
      <c r="AD161" s="136">
        <f>IF(E161=$AD$6,1,"")</f>
        <v/>
      </c>
      <c r="AE161" s="136">
        <f>IF(E161=$AE$6,1,"")</f>
        <v/>
      </c>
      <c r="AF161" s="136">
        <f>IF(E161=$AF$6,1,"")</f>
        <v/>
      </c>
      <c r="AG161" s="136">
        <f>IF(E161=$AG$6,1,"")</f>
        <v/>
      </c>
      <c r="AH161" s="136">
        <f>IF(E161=$AH$6,1,"")</f>
        <v/>
      </c>
      <c r="AI161" s="136">
        <f>IF(E161=$AI$6,1,"")</f>
        <v/>
      </c>
      <c r="AJ161" s="136">
        <f>IF(E161=$AJ$6,1,"")</f>
        <v/>
      </c>
      <c r="AK161" s="81">
        <f>IF(E161=$AK$6,1,"")</f>
        <v/>
      </c>
      <c r="AL161" s="81">
        <f>IF(E161=$AL$6,1,"")</f>
        <v/>
      </c>
      <c r="AM161" s="81">
        <f>IF(E161=$AM$6,1,"")</f>
        <v/>
      </c>
      <c r="AN161" s="81">
        <f>IF(E161=$AN$6,1,"")</f>
        <v/>
      </c>
      <c r="AO161" s="81">
        <f>IF(E161=$AO$6,1,"")</f>
        <v/>
      </c>
      <c r="AP161" s="81">
        <f>IF(E161=$AP$6,1,"")</f>
        <v/>
      </c>
      <c r="AQ161" s="81">
        <f>IF(E161=$AQ$6,1,"")</f>
        <v/>
      </c>
      <c r="AR161" s="81">
        <f>IF(E161=$AR$6,1,"")</f>
        <v/>
      </c>
      <c r="AS161" s="81" t="n"/>
    </row>
    <row r="162" ht="15.75" customHeight="1" s="80">
      <c r="A162" s="157" t="n"/>
      <c r="B162" s="124" t="n"/>
      <c r="C162" s="125" t="n"/>
      <c r="D162" s="126" t="n"/>
      <c r="E162" s="127" t="n"/>
      <c r="F162" s="128" t="n"/>
      <c r="G162" s="129">
        <f>IF(F162="","",ROUND(F162/60,2))</f>
        <v/>
      </c>
      <c r="H162" s="130" t="n"/>
      <c r="I162" s="131" t="n"/>
      <c r="J162" s="131">
        <f>IF(COUNTIF(B162:E162,"*")=0,"",IF(T162=1,"Invalid Service",IF(AND(V162=1,F162=""),"Add Session Mins",IF(AND(E162&gt;0,H162="",T162=""),"Enter Contract Rate",IF(AND(E162="IEP mtg, prep, rept",F162&gt;0),(G162*H162),IF(AND(E162&gt;0,F162&gt;0,H162&gt;0,I162=""),"Enter Travel",IF(AND(F162&gt;0,I162="Y"),(G162*H162)+$M$10,IF(AND(F162&gt;0,I162="N"),(G162*H162),H162))))))))</f>
        <v/>
      </c>
      <c r="K162" s="132">
        <f>J162</f>
        <v/>
      </c>
      <c r="L162" s="148" t="n"/>
      <c r="M162" s="148" t="n"/>
      <c r="N162" s="148" t="n"/>
      <c r="O162" s="87" t="n"/>
      <c r="P162" s="81" t="n"/>
      <c r="Q162" s="81" t="n"/>
      <c r="R162" s="81" t="n"/>
      <c r="S162" s="81" t="n"/>
      <c r="T162" s="136">
        <f>IF(AND(E162&gt;0,U162=0),1,"")</f>
        <v/>
      </c>
      <c r="U162" s="136">
        <f>SUM(X162:AR162)</f>
        <v/>
      </c>
      <c r="V162" s="136">
        <f>IF(E162=$Q$16,0,SUM(X162:AI162))</f>
        <v/>
      </c>
      <c r="W162" s="136">
        <f>SUM(AK162:AR162)</f>
        <v/>
      </c>
      <c r="X162" s="136">
        <f>IF(E162=$X$6,1,"")</f>
        <v/>
      </c>
      <c r="Y162" s="136">
        <f>IF(E162=$Y$6,1,"")</f>
        <v/>
      </c>
      <c r="Z162" s="136">
        <f>IF(E162=$Z$6,1,"")</f>
        <v/>
      </c>
      <c r="AA162" s="136">
        <f>IF(E162=$AA$6,1,"")</f>
        <v/>
      </c>
      <c r="AB162" s="136">
        <f>IF(E162=$AB$6,1,"")</f>
        <v/>
      </c>
      <c r="AC162" s="136">
        <f>IF(E162=$AC$6,1,"")</f>
        <v/>
      </c>
      <c r="AD162" s="136">
        <f>IF(E162=$AD$6,1,"")</f>
        <v/>
      </c>
      <c r="AE162" s="136">
        <f>IF(E162=$AE$6,1,"")</f>
        <v/>
      </c>
      <c r="AF162" s="136">
        <f>IF(E162=$AF$6,1,"")</f>
        <v/>
      </c>
      <c r="AG162" s="136">
        <f>IF(E162=$AG$6,1,"")</f>
        <v/>
      </c>
      <c r="AH162" s="136">
        <f>IF(E162=$AH$6,1,"")</f>
        <v/>
      </c>
      <c r="AI162" s="136">
        <f>IF(E162=$AI$6,1,"")</f>
        <v/>
      </c>
      <c r="AJ162" s="136">
        <f>IF(E162=$AJ$6,1,"")</f>
        <v/>
      </c>
      <c r="AK162" s="81">
        <f>IF(E162=$AK$6,1,"")</f>
        <v/>
      </c>
      <c r="AL162" s="81">
        <f>IF(E162=$AL$6,1,"")</f>
        <v/>
      </c>
      <c r="AM162" s="81">
        <f>IF(E162=$AM$6,1,"")</f>
        <v/>
      </c>
      <c r="AN162" s="81">
        <f>IF(E162=$AN$6,1,"")</f>
        <v/>
      </c>
      <c r="AO162" s="81">
        <f>IF(E162=$AO$6,1,"")</f>
        <v/>
      </c>
      <c r="AP162" s="81">
        <f>IF(E162=$AP$6,1,"")</f>
        <v/>
      </c>
      <c r="AQ162" s="81">
        <f>IF(E162=$AQ$6,1,"")</f>
        <v/>
      </c>
      <c r="AR162" s="81">
        <f>IF(E162=$AR$6,1,"")</f>
        <v/>
      </c>
      <c r="AS162" s="81" t="n"/>
    </row>
    <row r="163" ht="15.75" customHeight="1" s="80">
      <c r="A163" s="157" t="n"/>
      <c r="B163" s="124" t="n"/>
      <c r="C163" s="125" t="n"/>
      <c r="D163" s="126" t="n"/>
      <c r="E163" s="127" t="n"/>
      <c r="F163" s="128" t="n"/>
      <c r="G163" s="129">
        <f>IF(F163="","",ROUND(F163/60,2))</f>
        <v/>
      </c>
      <c r="H163" s="130" t="n"/>
      <c r="I163" s="131" t="n"/>
      <c r="J163" s="131">
        <f>IF(COUNTIF(B163:E163,"*")=0,"",IF(T163=1,"Invalid Service",IF(AND(V163=1,F163=""),"Add Session Mins",IF(AND(E163&gt;0,H163="",T163=""),"Enter Contract Rate",IF(AND(E163="IEP mtg, prep, rept",F163&gt;0),(G163*H163),IF(AND(E163&gt;0,F163&gt;0,H163&gt;0,I163=""),"Enter Travel",IF(AND(F163&gt;0,I163="Y"),(G163*H163)+$M$10,IF(AND(F163&gt;0,I163="N"),(G163*H163),H163))))))))</f>
        <v/>
      </c>
      <c r="K163" s="132">
        <f>J163</f>
        <v/>
      </c>
      <c r="L163" s="148" t="n"/>
      <c r="M163" s="148" t="n"/>
      <c r="N163" s="148" t="n"/>
      <c r="O163" s="87" t="n"/>
      <c r="P163" s="81" t="n"/>
      <c r="Q163" s="81" t="n"/>
      <c r="R163" s="81" t="n"/>
      <c r="S163" s="81" t="n"/>
      <c r="T163" s="136">
        <f>IF(AND(E163&gt;0,U163=0),1,"")</f>
        <v/>
      </c>
      <c r="U163" s="136">
        <f>SUM(X163:AR163)</f>
        <v/>
      </c>
      <c r="V163" s="136">
        <f>IF(E163=$Q$16,0,SUM(X163:AI163))</f>
        <v/>
      </c>
      <c r="W163" s="136">
        <f>SUM(AK163:AR163)</f>
        <v/>
      </c>
      <c r="X163" s="136">
        <f>IF(E163=$X$6,1,"")</f>
        <v/>
      </c>
      <c r="Y163" s="136">
        <f>IF(E163=$Y$6,1,"")</f>
        <v/>
      </c>
      <c r="Z163" s="136">
        <f>IF(E163=$Z$6,1,"")</f>
        <v/>
      </c>
      <c r="AA163" s="136">
        <f>IF(E163=$AA$6,1,"")</f>
        <v/>
      </c>
      <c r="AB163" s="136">
        <f>IF(E163=$AB$6,1,"")</f>
        <v/>
      </c>
      <c r="AC163" s="136">
        <f>IF(E163=$AC$6,1,"")</f>
        <v/>
      </c>
      <c r="AD163" s="136">
        <f>IF(E163=$AD$6,1,"")</f>
        <v/>
      </c>
      <c r="AE163" s="136">
        <f>IF(E163=$AE$6,1,"")</f>
        <v/>
      </c>
      <c r="AF163" s="136">
        <f>IF(E163=$AF$6,1,"")</f>
        <v/>
      </c>
      <c r="AG163" s="136">
        <f>IF(E163=$AG$6,1,"")</f>
        <v/>
      </c>
      <c r="AH163" s="136">
        <f>IF(E163=$AH$6,1,"")</f>
        <v/>
      </c>
      <c r="AI163" s="136">
        <f>IF(E163=$AI$6,1,"")</f>
        <v/>
      </c>
      <c r="AJ163" s="136">
        <f>IF(E163=$AJ$6,1,"")</f>
        <v/>
      </c>
      <c r="AK163" s="81">
        <f>IF(E163=$AK$6,1,"")</f>
        <v/>
      </c>
      <c r="AL163" s="81">
        <f>IF(E163=$AL$6,1,"")</f>
        <v/>
      </c>
      <c r="AM163" s="81">
        <f>IF(E163=$AM$6,1,"")</f>
        <v/>
      </c>
      <c r="AN163" s="81">
        <f>IF(E163=$AN$6,1,"")</f>
        <v/>
      </c>
      <c r="AO163" s="81">
        <f>IF(E163=$AO$6,1,"")</f>
        <v/>
      </c>
      <c r="AP163" s="81">
        <f>IF(E163=$AP$6,1,"")</f>
        <v/>
      </c>
      <c r="AQ163" s="81">
        <f>IF(E163=$AQ$6,1,"")</f>
        <v/>
      </c>
      <c r="AR163" s="81">
        <f>IF(E163=$AR$6,1,"")</f>
        <v/>
      </c>
      <c r="AS163" s="81" t="n"/>
    </row>
    <row r="164" ht="15.75" customHeight="1" s="80">
      <c r="A164" s="157" t="n"/>
      <c r="B164" s="124" t="n"/>
      <c r="C164" s="125" t="n"/>
      <c r="D164" s="126" t="n"/>
      <c r="E164" s="127" t="n"/>
      <c r="F164" s="128" t="n"/>
      <c r="G164" s="129">
        <f>IF(F164="","",ROUND(F164/60,2))</f>
        <v/>
      </c>
      <c r="H164" s="130" t="n"/>
      <c r="I164" s="131" t="n"/>
      <c r="J164" s="131">
        <f>IF(COUNTIF(B164:E164,"*")=0,"",IF(T164=1,"Invalid Service",IF(AND(V164=1,F164=""),"Add Session Mins",IF(AND(E164&gt;0,H164="",T164=""),"Enter Contract Rate",IF(AND(E164="IEP mtg, prep, rept",F164&gt;0),(G164*H164),IF(AND(E164&gt;0,F164&gt;0,H164&gt;0,I164=""),"Enter Travel",IF(AND(F164&gt;0,I164="Y"),(G164*H164)+$M$10,IF(AND(F164&gt;0,I164="N"),(G164*H164),H164))))))))</f>
        <v/>
      </c>
      <c r="K164" s="132">
        <f>J164</f>
        <v/>
      </c>
      <c r="L164" s="148" t="n"/>
      <c r="M164" s="148" t="n"/>
      <c r="N164" s="148" t="n"/>
      <c r="O164" s="87" t="n"/>
      <c r="P164" s="81" t="n"/>
      <c r="Q164" s="81" t="n"/>
      <c r="R164" s="81" t="n"/>
      <c r="S164" s="81" t="n"/>
      <c r="T164" s="136">
        <f>IF(AND(E164&gt;0,U164=0),1,"")</f>
        <v/>
      </c>
      <c r="U164" s="136">
        <f>SUM(X164:AR164)</f>
        <v/>
      </c>
      <c r="V164" s="136">
        <f>IF(E164=$Q$16,0,SUM(X164:AI164))</f>
        <v/>
      </c>
      <c r="W164" s="136">
        <f>SUM(AK164:AR164)</f>
        <v/>
      </c>
      <c r="X164" s="136">
        <f>IF(E164=$X$6,1,"")</f>
        <v/>
      </c>
      <c r="Y164" s="136">
        <f>IF(E164=$Y$6,1,"")</f>
        <v/>
      </c>
      <c r="Z164" s="136">
        <f>IF(E164=$Z$6,1,"")</f>
        <v/>
      </c>
      <c r="AA164" s="136">
        <f>IF(E164=$AA$6,1,"")</f>
        <v/>
      </c>
      <c r="AB164" s="136">
        <f>IF(E164=$AB$6,1,"")</f>
        <v/>
      </c>
      <c r="AC164" s="136">
        <f>IF(E164=$AC$6,1,"")</f>
        <v/>
      </c>
      <c r="AD164" s="136">
        <f>IF(E164=$AD$6,1,"")</f>
        <v/>
      </c>
      <c r="AE164" s="136">
        <f>IF(E164=$AE$6,1,"")</f>
        <v/>
      </c>
      <c r="AF164" s="136">
        <f>IF(E164=$AF$6,1,"")</f>
        <v/>
      </c>
      <c r="AG164" s="136">
        <f>IF(E164=$AG$6,1,"")</f>
        <v/>
      </c>
      <c r="AH164" s="136">
        <f>IF(E164=$AH$6,1,"")</f>
        <v/>
      </c>
      <c r="AI164" s="136">
        <f>IF(E164=$AI$6,1,"")</f>
        <v/>
      </c>
      <c r="AJ164" s="136">
        <f>IF(E164=$AJ$6,1,"")</f>
        <v/>
      </c>
      <c r="AK164" s="81">
        <f>IF(E164=$AK$6,1,"")</f>
        <v/>
      </c>
      <c r="AL164" s="81">
        <f>IF(E164=$AL$6,1,"")</f>
        <v/>
      </c>
      <c r="AM164" s="81">
        <f>IF(E164=$AM$6,1,"")</f>
        <v/>
      </c>
      <c r="AN164" s="81">
        <f>IF(E164=$AN$6,1,"")</f>
        <v/>
      </c>
      <c r="AO164" s="81">
        <f>IF(E164=$AO$6,1,"")</f>
        <v/>
      </c>
      <c r="AP164" s="81">
        <f>IF(E164=$AP$6,1,"")</f>
        <v/>
      </c>
      <c r="AQ164" s="81">
        <f>IF(E164=$AQ$6,1,"")</f>
        <v/>
      </c>
      <c r="AR164" s="81">
        <f>IF(E164=$AR$6,1,"")</f>
        <v/>
      </c>
      <c r="AS164" s="81" t="n"/>
    </row>
    <row r="165" ht="15.75" customHeight="1" s="80">
      <c r="A165" s="157" t="n"/>
      <c r="B165" s="124" t="n"/>
      <c r="C165" s="125" t="n"/>
      <c r="D165" s="126" t="n"/>
      <c r="E165" s="127" t="n"/>
      <c r="F165" s="128" t="n"/>
      <c r="G165" s="129">
        <f>IF(F165="","",ROUND(F165/60,2))</f>
        <v/>
      </c>
      <c r="H165" s="130" t="n"/>
      <c r="I165" s="131" t="n"/>
      <c r="J165" s="131">
        <f>IF(COUNTIF(B165:E165,"*")=0,"",IF(T165=1,"Invalid Service",IF(AND(V165=1,F165=""),"Add Session Mins",IF(AND(E165&gt;0,H165="",T165=""),"Enter Contract Rate",IF(AND(E165="IEP mtg, prep, rept",F165&gt;0),(G165*H165),IF(AND(E165&gt;0,F165&gt;0,H165&gt;0,I165=""),"Enter Travel",IF(AND(F165&gt;0,I165="Y"),(G165*H165)+$M$10,IF(AND(F165&gt;0,I165="N"),(G165*H165),H165))))))))</f>
        <v/>
      </c>
      <c r="K165" s="132">
        <f>J165</f>
        <v/>
      </c>
      <c r="L165" s="148" t="n"/>
      <c r="M165" s="148" t="n"/>
      <c r="N165" s="148" t="n"/>
      <c r="O165" s="87" t="n"/>
      <c r="P165" s="81" t="n"/>
      <c r="Q165" s="81" t="n"/>
      <c r="R165" s="81" t="n"/>
      <c r="S165" s="81" t="n"/>
      <c r="T165" s="136">
        <f>IF(AND(E165&gt;0,U165=0),1,"")</f>
        <v/>
      </c>
      <c r="U165" s="136">
        <f>SUM(X165:AR165)</f>
        <v/>
      </c>
      <c r="V165" s="136">
        <f>IF(E165=$Q$16,0,SUM(X165:AI165))</f>
        <v/>
      </c>
      <c r="W165" s="136">
        <f>SUM(AK165:AR165)</f>
        <v/>
      </c>
      <c r="X165" s="136">
        <f>IF(E165=$X$6,1,"")</f>
        <v/>
      </c>
      <c r="Y165" s="136">
        <f>IF(E165=$Y$6,1,"")</f>
        <v/>
      </c>
      <c r="Z165" s="136">
        <f>IF(E165=$Z$6,1,"")</f>
        <v/>
      </c>
      <c r="AA165" s="136">
        <f>IF(E165=$AA$6,1,"")</f>
        <v/>
      </c>
      <c r="AB165" s="136">
        <f>IF(E165=$AB$6,1,"")</f>
        <v/>
      </c>
      <c r="AC165" s="136">
        <f>IF(E165=$AC$6,1,"")</f>
        <v/>
      </c>
      <c r="AD165" s="136">
        <f>IF(E165=$AD$6,1,"")</f>
        <v/>
      </c>
      <c r="AE165" s="136">
        <f>IF(E165=$AE$6,1,"")</f>
        <v/>
      </c>
      <c r="AF165" s="136">
        <f>IF(E165=$AF$6,1,"")</f>
        <v/>
      </c>
      <c r="AG165" s="136">
        <f>IF(E165=$AG$6,1,"")</f>
        <v/>
      </c>
      <c r="AH165" s="136">
        <f>IF(E165=$AH$6,1,"")</f>
        <v/>
      </c>
      <c r="AI165" s="136">
        <f>IF(E165=$AI$6,1,"")</f>
        <v/>
      </c>
      <c r="AJ165" s="136">
        <f>IF(E165=$AJ$6,1,"")</f>
        <v/>
      </c>
      <c r="AK165" s="81">
        <f>IF(E165=$AK$6,1,"")</f>
        <v/>
      </c>
      <c r="AL165" s="81">
        <f>IF(E165=$AL$6,1,"")</f>
        <v/>
      </c>
      <c r="AM165" s="81">
        <f>IF(E165=$AM$6,1,"")</f>
        <v/>
      </c>
      <c r="AN165" s="81">
        <f>IF(E165=$AN$6,1,"")</f>
        <v/>
      </c>
      <c r="AO165" s="81">
        <f>IF(E165=$AO$6,1,"")</f>
        <v/>
      </c>
      <c r="AP165" s="81">
        <f>IF(E165=$AP$6,1,"")</f>
        <v/>
      </c>
      <c r="AQ165" s="81">
        <f>IF(E165=$AQ$6,1,"")</f>
        <v/>
      </c>
      <c r="AR165" s="81">
        <f>IF(E165=$AR$6,1,"")</f>
        <v/>
      </c>
      <c r="AS165" s="81" t="n"/>
    </row>
    <row r="166" ht="15.75" customHeight="1" s="80">
      <c r="A166" s="157" t="n"/>
      <c r="B166" s="124" t="n"/>
      <c r="C166" s="125" t="n"/>
      <c r="D166" s="126" t="n"/>
      <c r="E166" s="127" t="n"/>
      <c r="F166" s="128" t="n"/>
      <c r="G166" s="129">
        <f>IF(F166="","",ROUND(F166/60,2))</f>
        <v/>
      </c>
      <c r="H166" s="130" t="n"/>
      <c r="I166" s="131" t="n"/>
      <c r="J166" s="131">
        <f>IF(COUNTIF(B166:E166,"*")=0,"",IF(T166=1,"Invalid Service",IF(AND(V166=1,F166=""),"Add Session Mins",IF(AND(E166&gt;0,H166="",T166=""),"Enter Contract Rate",IF(AND(E166="IEP mtg, prep, rept",F166&gt;0),(G166*H166),IF(AND(E166&gt;0,F166&gt;0,H166&gt;0,I166=""),"Enter Travel",IF(AND(F166&gt;0,I166="Y"),(G166*H166)+$M$10,IF(AND(F166&gt;0,I166="N"),(G166*H166),H166))))))))</f>
        <v/>
      </c>
      <c r="K166" s="132">
        <f>J166</f>
        <v/>
      </c>
      <c r="L166" s="148" t="n"/>
      <c r="M166" s="148" t="n"/>
      <c r="N166" s="148" t="n"/>
      <c r="O166" s="87" t="n"/>
      <c r="P166" s="81" t="n"/>
      <c r="Q166" s="81" t="n"/>
      <c r="R166" s="81" t="n"/>
      <c r="S166" s="81" t="n"/>
      <c r="T166" s="136">
        <f>IF(AND(E166&gt;0,U166=0),1,"")</f>
        <v/>
      </c>
      <c r="U166" s="136">
        <f>SUM(X166:AR166)</f>
        <v/>
      </c>
      <c r="V166" s="136">
        <f>IF(E166=$Q$16,0,SUM(X166:AI166))</f>
        <v/>
      </c>
      <c r="W166" s="136">
        <f>SUM(AK166:AR166)</f>
        <v/>
      </c>
      <c r="X166" s="136">
        <f>IF(E166=$X$6,1,"")</f>
        <v/>
      </c>
      <c r="Y166" s="136">
        <f>IF(E166=$Y$6,1,"")</f>
        <v/>
      </c>
      <c r="Z166" s="136">
        <f>IF(E166=$Z$6,1,"")</f>
        <v/>
      </c>
      <c r="AA166" s="136">
        <f>IF(E166=$AA$6,1,"")</f>
        <v/>
      </c>
      <c r="AB166" s="136">
        <f>IF(E166=$AB$6,1,"")</f>
        <v/>
      </c>
      <c r="AC166" s="136">
        <f>IF(E166=$AC$6,1,"")</f>
        <v/>
      </c>
      <c r="AD166" s="136">
        <f>IF(E166=$AD$6,1,"")</f>
        <v/>
      </c>
      <c r="AE166" s="136">
        <f>IF(E166=$AE$6,1,"")</f>
        <v/>
      </c>
      <c r="AF166" s="136">
        <f>IF(E166=$AF$6,1,"")</f>
        <v/>
      </c>
      <c r="AG166" s="136">
        <f>IF(E166=$AG$6,1,"")</f>
        <v/>
      </c>
      <c r="AH166" s="136">
        <f>IF(E166=$AH$6,1,"")</f>
        <v/>
      </c>
      <c r="AI166" s="136">
        <f>IF(E166=$AI$6,1,"")</f>
        <v/>
      </c>
      <c r="AJ166" s="136">
        <f>IF(E166=$AJ$6,1,"")</f>
        <v/>
      </c>
      <c r="AK166" s="81">
        <f>IF(E166=$AK$6,1,"")</f>
        <v/>
      </c>
      <c r="AL166" s="81">
        <f>IF(E166=$AL$6,1,"")</f>
        <v/>
      </c>
      <c r="AM166" s="81">
        <f>IF(E166=$AM$6,1,"")</f>
        <v/>
      </c>
      <c r="AN166" s="81">
        <f>IF(E166=$AN$6,1,"")</f>
        <v/>
      </c>
      <c r="AO166" s="81">
        <f>IF(E166=$AO$6,1,"")</f>
        <v/>
      </c>
      <c r="AP166" s="81">
        <f>IF(E166=$AP$6,1,"")</f>
        <v/>
      </c>
      <c r="AQ166" s="81">
        <f>IF(E166=$AQ$6,1,"")</f>
        <v/>
      </c>
      <c r="AR166" s="81">
        <f>IF(E166=$AR$6,1,"")</f>
        <v/>
      </c>
      <c r="AS166" s="81" t="n"/>
    </row>
    <row r="167" ht="15.75" customHeight="1" s="80">
      <c r="A167" s="157" t="n"/>
      <c r="B167" s="124" t="n"/>
      <c r="C167" s="125" t="n"/>
      <c r="D167" s="126" t="n"/>
      <c r="E167" s="127" t="n"/>
      <c r="F167" s="128" t="n"/>
      <c r="G167" s="129">
        <f>IF(F167="","",ROUND(F167/60,2))</f>
        <v/>
      </c>
      <c r="H167" s="130" t="n"/>
      <c r="I167" s="131" t="n"/>
      <c r="J167" s="131">
        <f>IF(COUNTIF(B167:E167,"*")=0,"",IF(T167=1,"Invalid Service",IF(AND(V167=1,F167=""),"Add Session Mins",IF(AND(E167&gt;0,H167="",T167=""),"Enter Contract Rate",IF(AND(E167="IEP mtg, prep, rept",F167&gt;0),(G167*H167),IF(AND(E167&gt;0,F167&gt;0,H167&gt;0,I167=""),"Enter Travel",IF(AND(F167&gt;0,I167="Y"),(G167*H167)+$M$10,IF(AND(F167&gt;0,I167="N"),(G167*H167),H167))))))))</f>
        <v/>
      </c>
      <c r="K167" s="132">
        <f>J167</f>
        <v/>
      </c>
      <c r="L167" s="148" t="n"/>
      <c r="M167" s="148" t="n"/>
      <c r="N167" s="148" t="n"/>
      <c r="O167" s="87" t="n"/>
      <c r="P167" s="81" t="n"/>
      <c r="Q167" s="81" t="n"/>
      <c r="R167" s="81" t="n"/>
      <c r="S167" s="81" t="n"/>
      <c r="T167" s="136">
        <f>IF(AND(E167&gt;0,U167=0),1,"")</f>
        <v/>
      </c>
      <c r="U167" s="136">
        <f>SUM(X167:AR167)</f>
        <v/>
      </c>
      <c r="V167" s="136">
        <f>IF(E167=$Q$16,0,SUM(X167:AI167))</f>
        <v/>
      </c>
      <c r="W167" s="136">
        <f>SUM(AK167:AR167)</f>
        <v/>
      </c>
      <c r="X167" s="136">
        <f>IF(E167=$X$6,1,"")</f>
        <v/>
      </c>
      <c r="Y167" s="136">
        <f>IF(E167=$Y$6,1,"")</f>
        <v/>
      </c>
      <c r="Z167" s="136">
        <f>IF(E167=$Z$6,1,"")</f>
        <v/>
      </c>
      <c r="AA167" s="136">
        <f>IF(E167=$AA$6,1,"")</f>
        <v/>
      </c>
      <c r="AB167" s="136">
        <f>IF(E167=$AB$6,1,"")</f>
        <v/>
      </c>
      <c r="AC167" s="136">
        <f>IF(E167=$AC$6,1,"")</f>
        <v/>
      </c>
      <c r="AD167" s="136">
        <f>IF(E167=$AD$6,1,"")</f>
        <v/>
      </c>
      <c r="AE167" s="136">
        <f>IF(E167=$AE$6,1,"")</f>
        <v/>
      </c>
      <c r="AF167" s="136">
        <f>IF(E167=$AF$6,1,"")</f>
        <v/>
      </c>
      <c r="AG167" s="136">
        <f>IF(E167=$AG$6,1,"")</f>
        <v/>
      </c>
      <c r="AH167" s="136">
        <f>IF(E167=$AH$6,1,"")</f>
        <v/>
      </c>
      <c r="AI167" s="136">
        <f>IF(E167=$AI$6,1,"")</f>
        <v/>
      </c>
      <c r="AJ167" s="136">
        <f>IF(E167=$AJ$6,1,"")</f>
        <v/>
      </c>
      <c r="AK167" s="81">
        <f>IF(E167=$AK$6,1,"")</f>
        <v/>
      </c>
      <c r="AL167" s="81">
        <f>IF(E167=$AL$6,1,"")</f>
        <v/>
      </c>
      <c r="AM167" s="81">
        <f>IF(E167=$AM$6,1,"")</f>
        <v/>
      </c>
      <c r="AN167" s="81">
        <f>IF(E167=$AN$6,1,"")</f>
        <v/>
      </c>
      <c r="AO167" s="81">
        <f>IF(E167=$AO$6,1,"")</f>
        <v/>
      </c>
      <c r="AP167" s="81">
        <f>IF(E167=$AP$6,1,"")</f>
        <v/>
      </c>
      <c r="AQ167" s="81">
        <f>IF(E167=$AQ$6,1,"")</f>
        <v/>
      </c>
      <c r="AR167" s="81">
        <f>IF(E167=$AR$6,1,"")</f>
        <v/>
      </c>
      <c r="AS167" s="81" t="n"/>
    </row>
    <row r="168" ht="15.75" customHeight="1" s="80">
      <c r="A168" s="157" t="n"/>
      <c r="B168" s="124" t="n"/>
      <c r="C168" s="125" t="n"/>
      <c r="D168" s="126" t="n"/>
      <c r="E168" s="127" t="n"/>
      <c r="F168" s="128" t="n"/>
      <c r="G168" s="129">
        <f>IF(F168="","",ROUND(F168/60,2))</f>
        <v/>
      </c>
      <c r="H168" s="130" t="n"/>
      <c r="I168" s="131" t="n"/>
      <c r="J168" s="131">
        <f>IF(COUNTIF(B168:E168,"*")=0,"",IF(T168=1,"Invalid Service",IF(AND(V168=1,F168=""),"Add Session Mins",IF(AND(E168&gt;0,H168="",T168=""),"Enter Contract Rate",IF(AND(E168="IEP mtg, prep, rept",F168&gt;0),(G168*H168),IF(AND(E168&gt;0,F168&gt;0,H168&gt;0,I168=""),"Enter Travel",IF(AND(F168&gt;0,I168="Y"),(G168*H168)+$M$10,IF(AND(F168&gt;0,I168="N"),(G168*H168),H168))))))))</f>
        <v/>
      </c>
      <c r="K168" s="132">
        <f>J168</f>
        <v/>
      </c>
      <c r="L168" s="148" t="n"/>
      <c r="M168" s="148" t="n"/>
      <c r="N168" s="148" t="n"/>
      <c r="O168" s="87" t="n"/>
      <c r="P168" s="81" t="n"/>
      <c r="Q168" s="81" t="n"/>
      <c r="R168" s="81" t="n"/>
      <c r="S168" s="81" t="n"/>
      <c r="T168" s="136">
        <f>IF(AND(E168&gt;0,U168=0),1,"")</f>
        <v/>
      </c>
      <c r="U168" s="136">
        <f>SUM(X168:AR168)</f>
        <v/>
      </c>
      <c r="V168" s="136">
        <f>IF(E168=$Q$16,0,SUM(X168:AI168))</f>
        <v/>
      </c>
      <c r="W168" s="136">
        <f>SUM(AK168:AR168)</f>
        <v/>
      </c>
      <c r="X168" s="136">
        <f>IF(E168=$X$6,1,"")</f>
        <v/>
      </c>
      <c r="Y168" s="136">
        <f>IF(E168=$Y$6,1,"")</f>
        <v/>
      </c>
      <c r="Z168" s="136">
        <f>IF(E168=$Z$6,1,"")</f>
        <v/>
      </c>
      <c r="AA168" s="136">
        <f>IF(E168=$AA$6,1,"")</f>
        <v/>
      </c>
      <c r="AB168" s="136">
        <f>IF(E168=$AB$6,1,"")</f>
        <v/>
      </c>
      <c r="AC168" s="136">
        <f>IF(E168=$AC$6,1,"")</f>
        <v/>
      </c>
      <c r="AD168" s="136">
        <f>IF(E168=$AD$6,1,"")</f>
        <v/>
      </c>
      <c r="AE168" s="136">
        <f>IF(E168=$AE$6,1,"")</f>
        <v/>
      </c>
      <c r="AF168" s="136">
        <f>IF(E168=$AF$6,1,"")</f>
        <v/>
      </c>
      <c r="AG168" s="136">
        <f>IF(E168=$AG$6,1,"")</f>
        <v/>
      </c>
      <c r="AH168" s="136">
        <f>IF(E168=$AH$6,1,"")</f>
        <v/>
      </c>
      <c r="AI168" s="136">
        <f>IF(E168=$AI$6,1,"")</f>
        <v/>
      </c>
      <c r="AJ168" s="136">
        <f>IF(E168=$AJ$6,1,"")</f>
        <v/>
      </c>
      <c r="AK168" s="81">
        <f>IF(E168=$AK$6,1,"")</f>
        <v/>
      </c>
      <c r="AL168" s="81">
        <f>IF(E168=$AL$6,1,"")</f>
        <v/>
      </c>
      <c r="AM168" s="81">
        <f>IF(E168=$AM$6,1,"")</f>
        <v/>
      </c>
      <c r="AN168" s="81">
        <f>IF(E168=$AN$6,1,"")</f>
        <v/>
      </c>
      <c r="AO168" s="81">
        <f>IF(E168=$AO$6,1,"")</f>
        <v/>
      </c>
      <c r="AP168" s="81">
        <f>IF(E168=$AP$6,1,"")</f>
        <v/>
      </c>
      <c r="AQ168" s="81">
        <f>IF(E168=$AQ$6,1,"")</f>
        <v/>
      </c>
      <c r="AR168" s="81">
        <f>IF(E168=$AR$6,1,"")</f>
        <v/>
      </c>
      <c r="AS168" s="81" t="n"/>
    </row>
    <row r="169" ht="15.75" customHeight="1" s="80">
      <c r="A169" s="157" t="n"/>
      <c r="B169" s="124" t="n"/>
      <c r="C169" s="125" t="n"/>
      <c r="D169" s="126" t="n"/>
      <c r="E169" s="127" t="n"/>
      <c r="F169" s="128" t="n"/>
      <c r="G169" s="129">
        <f>IF(F169="","",ROUND(F169/60,2))</f>
        <v/>
      </c>
      <c r="H169" s="130" t="n"/>
      <c r="I169" s="131" t="n"/>
      <c r="J169" s="131">
        <f>IF(COUNTIF(B169:E169,"*")=0,"",IF(T169=1,"Invalid Service",IF(AND(V169=1,F169=""),"Add Session Mins",IF(AND(E169&gt;0,H169="",T169=""),"Enter Contract Rate",IF(AND(E169="IEP mtg, prep, rept",F169&gt;0),(G169*H169),IF(AND(E169&gt;0,F169&gt;0,H169&gt;0,I169=""),"Enter Travel",IF(AND(F169&gt;0,I169="Y"),(G169*H169)+$M$10,IF(AND(F169&gt;0,I169="N"),(G169*H169),H169))))))))</f>
        <v/>
      </c>
      <c r="K169" s="132">
        <f>J169</f>
        <v/>
      </c>
      <c r="L169" s="148" t="n"/>
      <c r="M169" s="148" t="n"/>
      <c r="N169" s="148" t="n"/>
      <c r="O169" s="87" t="n"/>
      <c r="P169" s="81" t="n"/>
      <c r="Q169" s="81" t="n"/>
      <c r="R169" s="81" t="n"/>
      <c r="S169" s="81" t="n"/>
      <c r="T169" s="136">
        <f>IF(AND(E169&gt;0,U169=0),1,"")</f>
        <v/>
      </c>
      <c r="U169" s="136">
        <f>SUM(X169:AR169)</f>
        <v/>
      </c>
      <c r="V169" s="136">
        <f>IF(E169=$Q$16,0,SUM(X169:AI169))</f>
        <v/>
      </c>
      <c r="W169" s="136">
        <f>SUM(AK169:AR169)</f>
        <v/>
      </c>
      <c r="X169" s="136">
        <f>IF(E169=$X$6,1,"")</f>
        <v/>
      </c>
      <c r="Y169" s="136">
        <f>IF(E169=$Y$6,1,"")</f>
        <v/>
      </c>
      <c r="Z169" s="136">
        <f>IF(E169=$Z$6,1,"")</f>
        <v/>
      </c>
      <c r="AA169" s="136">
        <f>IF(E169=$AA$6,1,"")</f>
        <v/>
      </c>
      <c r="AB169" s="136">
        <f>IF(E169=$AB$6,1,"")</f>
        <v/>
      </c>
      <c r="AC169" s="136">
        <f>IF(E169=$AC$6,1,"")</f>
        <v/>
      </c>
      <c r="AD169" s="136">
        <f>IF(E169=$AD$6,1,"")</f>
        <v/>
      </c>
      <c r="AE169" s="136">
        <f>IF(E169=$AE$6,1,"")</f>
        <v/>
      </c>
      <c r="AF169" s="136">
        <f>IF(E169=$AF$6,1,"")</f>
        <v/>
      </c>
      <c r="AG169" s="136">
        <f>IF(E169=$AG$6,1,"")</f>
        <v/>
      </c>
      <c r="AH169" s="136">
        <f>IF(E169=$AH$6,1,"")</f>
        <v/>
      </c>
      <c r="AI169" s="136">
        <f>IF(E169=$AI$6,1,"")</f>
        <v/>
      </c>
      <c r="AJ169" s="136">
        <f>IF(E169=$AJ$6,1,"")</f>
        <v/>
      </c>
      <c r="AK169" s="81">
        <f>IF(E169=$AK$6,1,"")</f>
        <v/>
      </c>
      <c r="AL169" s="81">
        <f>IF(E169=$AL$6,1,"")</f>
        <v/>
      </c>
      <c r="AM169" s="81">
        <f>IF(E169=$AM$6,1,"")</f>
        <v/>
      </c>
      <c r="AN169" s="81">
        <f>IF(E169=$AN$6,1,"")</f>
        <v/>
      </c>
      <c r="AO169" s="81">
        <f>IF(E169=$AO$6,1,"")</f>
        <v/>
      </c>
      <c r="AP169" s="81">
        <f>IF(E169=$AP$6,1,"")</f>
        <v/>
      </c>
      <c r="AQ169" s="81">
        <f>IF(E169=$AQ$6,1,"")</f>
        <v/>
      </c>
      <c r="AR169" s="81">
        <f>IF(E169=$AR$6,1,"")</f>
        <v/>
      </c>
      <c r="AS169" s="81" t="n"/>
    </row>
    <row r="170" ht="15.75" customHeight="1" s="80">
      <c r="A170" s="157" t="n"/>
      <c r="B170" s="124" t="n"/>
      <c r="C170" s="125" t="n"/>
      <c r="D170" s="126" t="n"/>
      <c r="E170" s="127" t="n"/>
      <c r="F170" s="128" t="n"/>
      <c r="G170" s="129">
        <f>IF(F170="","",ROUND(F170/60,2))</f>
        <v/>
      </c>
      <c r="H170" s="130" t="n"/>
      <c r="I170" s="131" t="n"/>
      <c r="J170" s="131">
        <f>IF(COUNTIF(B170:E170,"*")=0,"",IF(T170=1,"Invalid Service",IF(AND(V170=1,F170=""),"Add Session Mins",IF(AND(E170&gt;0,H170="",T170=""),"Enter Contract Rate",IF(AND(E170="IEP mtg, prep, rept",F170&gt;0),(G170*H170),IF(AND(E170&gt;0,F170&gt;0,H170&gt;0,I170=""),"Enter Travel",IF(AND(F170&gt;0,I170="Y"),(G170*H170)+$M$10,IF(AND(F170&gt;0,I170="N"),(G170*H170),H170))))))))</f>
        <v/>
      </c>
      <c r="K170" s="132">
        <f>J170</f>
        <v/>
      </c>
      <c r="L170" s="148" t="n"/>
      <c r="M170" s="148" t="n"/>
      <c r="N170" s="148" t="n"/>
      <c r="O170" s="87" t="n"/>
      <c r="P170" s="81" t="n"/>
      <c r="Q170" s="81" t="n"/>
      <c r="R170" s="81" t="n"/>
      <c r="S170" s="81" t="n"/>
      <c r="T170" s="136">
        <f>IF(AND(E170&gt;0,U170=0),1,"")</f>
        <v/>
      </c>
      <c r="U170" s="136">
        <f>SUM(X170:AR170)</f>
        <v/>
      </c>
      <c r="V170" s="136">
        <f>IF(E170=$Q$16,0,SUM(X170:AI170))</f>
        <v/>
      </c>
      <c r="W170" s="136">
        <f>SUM(AK170:AR170)</f>
        <v/>
      </c>
      <c r="X170" s="136">
        <f>IF(E170=$X$6,1,"")</f>
        <v/>
      </c>
      <c r="Y170" s="136">
        <f>IF(E170=$Y$6,1,"")</f>
        <v/>
      </c>
      <c r="Z170" s="136">
        <f>IF(E170=$Z$6,1,"")</f>
        <v/>
      </c>
      <c r="AA170" s="136">
        <f>IF(E170=$AA$6,1,"")</f>
        <v/>
      </c>
      <c r="AB170" s="136">
        <f>IF(E170=$AB$6,1,"")</f>
        <v/>
      </c>
      <c r="AC170" s="136">
        <f>IF(E170=$AC$6,1,"")</f>
        <v/>
      </c>
      <c r="AD170" s="136">
        <f>IF(E170=$AD$6,1,"")</f>
        <v/>
      </c>
      <c r="AE170" s="136">
        <f>IF(E170=$AE$6,1,"")</f>
        <v/>
      </c>
      <c r="AF170" s="136">
        <f>IF(E170=$AF$6,1,"")</f>
        <v/>
      </c>
      <c r="AG170" s="136">
        <f>IF(E170=$AG$6,1,"")</f>
        <v/>
      </c>
      <c r="AH170" s="136">
        <f>IF(E170=$AH$6,1,"")</f>
        <v/>
      </c>
      <c r="AI170" s="136">
        <f>IF(E170=$AI$6,1,"")</f>
        <v/>
      </c>
      <c r="AJ170" s="136">
        <f>IF(E170=$AJ$6,1,"")</f>
        <v/>
      </c>
      <c r="AK170" s="81">
        <f>IF(E170=$AK$6,1,"")</f>
        <v/>
      </c>
      <c r="AL170" s="81">
        <f>IF(E170=$AL$6,1,"")</f>
        <v/>
      </c>
      <c r="AM170" s="81">
        <f>IF(E170=$AM$6,1,"")</f>
        <v/>
      </c>
      <c r="AN170" s="81">
        <f>IF(E170=$AN$6,1,"")</f>
        <v/>
      </c>
      <c r="AO170" s="81">
        <f>IF(E170=$AO$6,1,"")</f>
        <v/>
      </c>
      <c r="AP170" s="81">
        <f>IF(E170=$AP$6,1,"")</f>
        <v/>
      </c>
      <c r="AQ170" s="81">
        <f>IF(E170=$AQ$6,1,"")</f>
        <v/>
      </c>
      <c r="AR170" s="81">
        <f>IF(E170=$AR$6,1,"")</f>
        <v/>
      </c>
      <c r="AS170" s="81" t="n"/>
    </row>
    <row r="171" ht="15.75" customHeight="1" s="80">
      <c r="A171" s="157" t="n"/>
      <c r="B171" s="124" t="n"/>
      <c r="C171" s="125" t="n"/>
      <c r="D171" s="126" t="n"/>
      <c r="E171" s="127" t="n"/>
      <c r="F171" s="128" t="n"/>
      <c r="G171" s="129">
        <f>IF(F171="","",ROUND(F171/60,2))</f>
        <v/>
      </c>
      <c r="H171" s="130" t="n"/>
      <c r="I171" s="131" t="n"/>
      <c r="J171" s="131">
        <f>IF(COUNTIF(B171:E171,"*")=0,"",IF(T171=1,"Invalid Service",IF(AND(V171=1,F171=""),"Add Session Mins",IF(AND(E171&gt;0,H171="",T171=""),"Enter Contract Rate",IF(AND(E171="IEP mtg, prep, rept",F171&gt;0),(G171*H171),IF(AND(E171&gt;0,F171&gt;0,H171&gt;0,I171=""),"Enter Travel",IF(AND(F171&gt;0,I171="Y"),(G171*H171)+$M$10,IF(AND(F171&gt;0,I171="N"),(G171*H171),H171))))))))</f>
        <v/>
      </c>
      <c r="K171" s="132">
        <f>J171</f>
        <v/>
      </c>
      <c r="L171" s="148" t="n"/>
      <c r="M171" s="148" t="n"/>
      <c r="N171" s="148" t="n"/>
      <c r="O171" s="87" t="n"/>
      <c r="P171" s="81" t="n"/>
      <c r="Q171" s="81" t="n"/>
      <c r="R171" s="81" t="n"/>
      <c r="S171" s="81" t="n"/>
      <c r="T171" s="136">
        <f>IF(AND(E171&gt;0,U171=0),1,"")</f>
        <v/>
      </c>
      <c r="U171" s="136">
        <f>SUM(X171:AR171)</f>
        <v/>
      </c>
      <c r="V171" s="136">
        <f>IF(E171=$Q$16,0,SUM(X171:AI171))</f>
        <v/>
      </c>
      <c r="W171" s="136">
        <f>SUM(AK171:AR171)</f>
        <v/>
      </c>
      <c r="X171" s="136">
        <f>IF(E171=$X$6,1,"")</f>
        <v/>
      </c>
      <c r="Y171" s="136">
        <f>IF(E171=$Y$6,1,"")</f>
        <v/>
      </c>
      <c r="Z171" s="136">
        <f>IF(E171=$Z$6,1,"")</f>
        <v/>
      </c>
      <c r="AA171" s="136">
        <f>IF(E171=$AA$6,1,"")</f>
        <v/>
      </c>
      <c r="AB171" s="136">
        <f>IF(E171=$AB$6,1,"")</f>
        <v/>
      </c>
      <c r="AC171" s="136">
        <f>IF(E171=$AC$6,1,"")</f>
        <v/>
      </c>
      <c r="AD171" s="136">
        <f>IF(E171=$AD$6,1,"")</f>
        <v/>
      </c>
      <c r="AE171" s="136">
        <f>IF(E171=$AE$6,1,"")</f>
        <v/>
      </c>
      <c r="AF171" s="136">
        <f>IF(E171=$AF$6,1,"")</f>
        <v/>
      </c>
      <c r="AG171" s="136">
        <f>IF(E171=$AG$6,1,"")</f>
        <v/>
      </c>
      <c r="AH171" s="136">
        <f>IF(E171=$AH$6,1,"")</f>
        <v/>
      </c>
      <c r="AI171" s="136">
        <f>IF(E171=$AI$6,1,"")</f>
        <v/>
      </c>
      <c r="AJ171" s="136">
        <f>IF(E171=$AJ$6,1,"")</f>
        <v/>
      </c>
      <c r="AK171" s="81">
        <f>IF(E171=$AK$6,1,"")</f>
        <v/>
      </c>
      <c r="AL171" s="81">
        <f>IF(E171=$AL$6,1,"")</f>
        <v/>
      </c>
      <c r="AM171" s="81">
        <f>IF(E171=$AM$6,1,"")</f>
        <v/>
      </c>
      <c r="AN171" s="81">
        <f>IF(E171=$AN$6,1,"")</f>
        <v/>
      </c>
      <c r="AO171" s="81">
        <f>IF(E171=$AO$6,1,"")</f>
        <v/>
      </c>
      <c r="AP171" s="81">
        <f>IF(E171=$AP$6,1,"")</f>
        <v/>
      </c>
      <c r="AQ171" s="81">
        <f>IF(E171=$AQ$6,1,"")</f>
        <v/>
      </c>
      <c r="AR171" s="81">
        <f>IF(E171=$AR$6,1,"")</f>
        <v/>
      </c>
      <c r="AS171" s="81" t="n"/>
    </row>
    <row r="172" ht="15.75" customHeight="1" s="80">
      <c r="A172" s="157" t="n"/>
      <c r="B172" s="124" t="n"/>
      <c r="C172" s="125" t="n"/>
      <c r="D172" s="126" t="n"/>
      <c r="E172" s="127" t="n"/>
      <c r="F172" s="128" t="n"/>
      <c r="G172" s="129">
        <f>IF(F172="","",ROUND(F172/60,2))</f>
        <v/>
      </c>
      <c r="H172" s="130" t="n"/>
      <c r="I172" s="131" t="n"/>
      <c r="J172" s="131">
        <f>IF(COUNTIF(B172:E172,"*")=0,"",IF(T172=1,"Invalid Service",IF(AND(V172=1,F172=""),"Add Session Mins",IF(AND(E172&gt;0,H172="",T172=""),"Enter Contract Rate",IF(AND(E172="IEP mtg, prep, rept",F172&gt;0),(G172*H172),IF(AND(E172&gt;0,F172&gt;0,H172&gt;0,I172=""),"Enter Travel",IF(AND(F172&gt;0,I172="Y"),(G172*H172)+$M$10,IF(AND(F172&gt;0,I172="N"),(G172*H172),H172))))))))</f>
        <v/>
      </c>
      <c r="K172" s="132">
        <f>J172</f>
        <v/>
      </c>
      <c r="L172" s="148" t="n"/>
      <c r="M172" s="148" t="n"/>
      <c r="N172" s="148" t="n"/>
      <c r="O172" s="87" t="n"/>
      <c r="P172" s="81" t="n"/>
      <c r="Q172" s="81" t="n"/>
      <c r="R172" s="81" t="n"/>
      <c r="S172" s="81" t="n"/>
      <c r="T172" s="136">
        <f>IF(AND(E172&gt;0,U172=0),1,"")</f>
        <v/>
      </c>
      <c r="U172" s="136">
        <f>SUM(X172:AR172)</f>
        <v/>
      </c>
      <c r="V172" s="136">
        <f>IF(E172=$Q$16,0,SUM(X172:AI172))</f>
        <v/>
      </c>
      <c r="W172" s="136">
        <f>SUM(AK172:AR172)</f>
        <v/>
      </c>
      <c r="X172" s="136">
        <f>IF(E172=$X$6,1,"")</f>
        <v/>
      </c>
      <c r="Y172" s="136">
        <f>IF(E172=$Y$6,1,"")</f>
        <v/>
      </c>
      <c r="Z172" s="136">
        <f>IF(E172=$Z$6,1,"")</f>
        <v/>
      </c>
      <c r="AA172" s="136">
        <f>IF(E172=$AA$6,1,"")</f>
        <v/>
      </c>
      <c r="AB172" s="136">
        <f>IF(E172=$AB$6,1,"")</f>
        <v/>
      </c>
      <c r="AC172" s="136">
        <f>IF(E172=$AC$6,1,"")</f>
        <v/>
      </c>
      <c r="AD172" s="136">
        <f>IF(E172=$AD$6,1,"")</f>
        <v/>
      </c>
      <c r="AE172" s="136">
        <f>IF(E172=$AE$6,1,"")</f>
        <v/>
      </c>
      <c r="AF172" s="136">
        <f>IF(E172=$AF$6,1,"")</f>
        <v/>
      </c>
      <c r="AG172" s="136">
        <f>IF(E172=$AG$6,1,"")</f>
        <v/>
      </c>
      <c r="AH172" s="136">
        <f>IF(E172=$AH$6,1,"")</f>
        <v/>
      </c>
      <c r="AI172" s="136">
        <f>IF(E172=$AI$6,1,"")</f>
        <v/>
      </c>
      <c r="AJ172" s="136">
        <f>IF(E172=$AJ$6,1,"")</f>
        <v/>
      </c>
      <c r="AK172" s="81">
        <f>IF(E172=$AK$6,1,"")</f>
        <v/>
      </c>
      <c r="AL172" s="81">
        <f>IF(E172=$AL$6,1,"")</f>
        <v/>
      </c>
      <c r="AM172" s="81">
        <f>IF(E172=$AM$6,1,"")</f>
        <v/>
      </c>
      <c r="AN172" s="81">
        <f>IF(E172=$AN$6,1,"")</f>
        <v/>
      </c>
      <c r="AO172" s="81">
        <f>IF(E172=$AO$6,1,"")</f>
        <v/>
      </c>
      <c r="AP172" s="81">
        <f>IF(E172=$AP$6,1,"")</f>
        <v/>
      </c>
      <c r="AQ172" s="81">
        <f>IF(E172=$AQ$6,1,"")</f>
        <v/>
      </c>
      <c r="AR172" s="81">
        <f>IF(E172=$AR$6,1,"")</f>
        <v/>
      </c>
      <c r="AS172" s="81" t="n"/>
    </row>
    <row r="173" ht="15.75" customHeight="1" s="80">
      <c r="A173" s="157" t="n"/>
      <c r="B173" s="124" t="n"/>
      <c r="C173" s="125" t="n"/>
      <c r="D173" s="126" t="n"/>
      <c r="E173" s="127" t="n"/>
      <c r="F173" s="128" t="n"/>
      <c r="G173" s="129">
        <f>IF(F173="","",ROUND(F173/60,2))</f>
        <v/>
      </c>
      <c r="H173" s="130" t="n"/>
      <c r="I173" s="131" t="n"/>
      <c r="J173" s="131">
        <f>IF(COUNTIF(B173:E173,"*")=0,"",IF(T173=1,"Invalid Service",IF(AND(V173=1,F173=""),"Add Session Mins",IF(AND(E173&gt;0,H173="",T173=""),"Enter Contract Rate",IF(AND(E173="IEP mtg, prep, rept",F173&gt;0),(G173*H173),IF(AND(E173&gt;0,F173&gt;0,H173&gt;0,I173=""),"Enter Travel",IF(AND(F173&gt;0,I173="Y"),(G173*H173)+$M$10,IF(AND(F173&gt;0,I173="N"),(G173*H173),H173))))))))</f>
        <v/>
      </c>
      <c r="K173" s="132">
        <f>J173</f>
        <v/>
      </c>
      <c r="L173" s="148" t="n"/>
      <c r="M173" s="148" t="n"/>
      <c r="N173" s="148" t="n"/>
      <c r="O173" s="87" t="n"/>
      <c r="P173" s="81" t="n"/>
      <c r="Q173" s="81" t="n"/>
      <c r="R173" s="81" t="n"/>
      <c r="S173" s="81" t="n"/>
      <c r="T173" s="136">
        <f>IF(AND(E173&gt;0,U173=0),1,"")</f>
        <v/>
      </c>
      <c r="U173" s="136">
        <f>SUM(X173:AR173)</f>
        <v/>
      </c>
      <c r="V173" s="136">
        <f>IF(E173=$Q$16,0,SUM(X173:AI173))</f>
        <v/>
      </c>
      <c r="W173" s="136">
        <f>SUM(AK173:AR173)</f>
        <v/>
      </c>
      <c r="X173" s="136">
        <f>IF(E173=$X$6,1,"")</f>
        <v/>
      </c>
      <c r="Y173" s="136">
        <f>IF(E173=$Y$6,1,"")</f>
        <v/>
      </c>
      <c r="Z173" s="136">
        <f>IF(E173=$Z$6,1,"")</f>
        <v/>
      </c>
      <c r="AA173" s="136">
        <f>IF(E173=$AA$6,1,"")</f>
        <v/>
      </c>
      <c r="AB173" s="136">
        <f>IF(E173=$AB$6,1,"")</f>
        <v/>
      </c>
      <c r="AC173" s="136">
        <f>IF(E173=$AC$6,1,"")</f>
        <v/>
      </c>
      <c r="AD173" s="136">
        <f>IF(E173=$AD$6,1,"")</f>
        <v/>
      </c>
      <c r="AE173" s="136">
        <f>IF(E173=$AE$6,1,"")</f>
        <v/>
      </c>
      <c r="AF173" s="136">
        <f>IF(E173=$AF$6,1,"")</f>
        <v/>
      </c>
      <c r="AG173" s="136">
        <f>IF(E173=$AG$6,1,"")</f>
        <v/>
      </c>
      <c r="AH173" s="136">
        <f>IF(E173=$AH$6,1,"")</f>
        <v/>
      </c>
      <c r="AI173" s="136">
        <f>IF(E173=$AI$6,1,"")</f>
        <v/>
      </c>
      <c r="AJ173" s="136">
        <f>IF(E173=$AJ$6,1,"")</f>
        <v/>
      </c>
      <c r="AK173" s="81">
        <f>IF(E173=$AK$6,1,"")</f>
        <v/>
      </c>
      <c r="AL173" s="81">
        <f>IF(E173=$AL$6,1,"")</f>
        <v/>
      </c>
      <c r="AM173" s="81">
        <f>IF(E173=$AM$6,1,"")</f>
        <v/>
      </c>
      <c r="AN173" s="81">
        <f>IF(E173=$AN$6,1,"")</f>
        <v/>
      </c>
      <c r="AO173" s="81">
        <f>IF(E173=$AO$6,1,"")</f>
        <v/>
      </c>
      <c r="AP173" s="81">
        <f>IF(E173=$AP$6,1,"")</f>
        <v/>
      </c>
      <c r="AQ173" s="81">
        <f>IF(E173=$AQ$6,1,"")</f>
        <v/>
      </c>
      <c r="AR173" s="81">
        <f>IF(E173=$AR$6,1,"")</f>
        <v/>
      </c>
      <c r="AS173" s="81" t="n"/>
    </row>
    <row r="174" ht="15.75" customHeight="1" s="80">
      <c r="A174" s="157" t="n"/>
      <c r="B174" s="124" t="n"/>
      <c r="C174" s="125" t="n"/>
      <c r="D174" s="126" t="n"/>
      <c r="E174" s="127" t="n"/>
      <c r="F174" s="128" t="n"/>
      <c r="G174" s="129">
        <f>IF(F174="","",ROUND(F174/60,2))</f>
        <v/>
      </c>
      <c r="H174" s="130" t="n"/>
      <c r="I174" s="131" t="n"/>
      <c r="J174" s="131">
        <f>IF(COUNTIF(B174:E174,"*")=0,"",IF(T174=1,"Invalid Service",IF(AND(V174=1,F174=""),"Add Session Mins",IF(AND(E174&gt;0,H174="",T174=""),"Enter Contract Rate",IF(AND(E174="IEP mtg, prep, rept",F174&gt;0),(G174*H174),IF(AND(E174&gt;0,F174&gt;0,H174&gt;0,I174=""),"Enter Travel",IF(AND(F174&gt;0,I174="Y"),(G174*H174)+$M$10,IF(AND(F174&gt;0,I174="N"),(G174*H174),H174))))))))</f>
        <v/>
      </c>
      <c r="K174" s="132">
        <f>J174</f>
        <v/>
      </c>
      <c r="L174" s="148" t="n"/>
      <c r="M174" s="148" t="n"/>
      <c r="N174" s="148" t="n"/>
      <c r="O174" s="87" t="n"/>
      <c r="P174" s="81" t="n"/>
      <c r="Q174" s="81" t="n"/>
      <c r="R174" s="81" t="n"/>
      <c r="S174" s="81" t="n"/>
      <c r="T174" s="136">
        <f>IF(AND(E174&gt;0,U174=0),1,"")</f>
        <v/>
      </c>
      <c r="U174" s="136">
        <f>SUM(X174:AR174)</f>
        <v/>
      </c>
      <c r="V174" s="136">
        <f>IF(E174=$Q$16,0,SUM(X174:AI174))</f>
        <v/>
      </c>
      <c r="W174" s="136">
        <f>SUM(AK174:AR174)</f>
        <v/>
      </c>
      <c r="X174" s="136">
        <f>IF(E174=$X$6,1,"")</f>
        <v/>
      </c>
      <c r="Y174" s="136">
        <f>IF(E174=$Y$6,1,"")</f>
        <v/>
      </c>
      <c r="Z174" s="136">
        <f>IF(E174=$Z$6,1,"")</f>
        <v/>
      </c>
      <c r="AA174" s="136">
        <f>IF(E174=$AA$6,1,"")</f>
        <v/>
      </c>
      <c r="AB174" s="136">
        <f>IF(E174=$AB$6,1,"")</f>
        <v/>
      </c>
      <c r="AC174" s="136">
        <f>IF(E174=$AC$6,1,"")</f>
        <v/>
      </c>
      <c r="AD174" s="136">
        <f>IF(E174=$AD$6,1,"")</f>
        <v/>
      </c>
      <c r="AE174" s="136">
        <f>IF(E174=$AE$6,1,"")</f>
        <v/>
      </c>
      <c r="AF174" s="136">
        <f>IF(E174=$AF$6,1,"")</f>
        <v/>
      </c>
      <c r="AG174" s="136">
        <f>IF(E174=$AG$6,1,"")</f>
        <v/>
      </c>
      <c r="AH174" s="136">
        <f>IF(E174=$AH$6,1,"")</f>
        <v/>
      </c>
      <c r="AI174" s="136">
        <f>IF(E174=$AI$6,1,"")</f>
        <v/>
      </c>
      <c r="AJ174" s="136">
        <f>IF(E174=$AJ$6,1,"")</f>
        <v/>
      </c>
      <c r="AK174" s="81">
        <f>IF(E174=$AK$6,1,"")</f>
        <v/>
      </c>
      <c r="AL174" s="81">
        <f>IF(E174=$AL$6,1,"")</f>
        <v/>
      </c>
      <c r="AM174" s="81">
        <f>IF(E174=$AM$6,1,"")</f>
        <v/>
      </c>
      <c r="AN174" s="81">
        <f>IF(E174=$AN$6,1,"")</f>
        <v/>
      </c>
      <c r="AO174" s="81">
        <f>IF(E174=$AO$6,1,"")</f>
        <v/>
      </c>
      <c r="AP174" s="81">
        <f>IF(E174=$AP$6,1,"")</f>
        <v/>
      </c>
      <c r="AQ174" s="81">
        <f>IF(E174=$AQ$6,1,"")</f>
        <v/>
      </c>
      <c r="AR174" s="81">
        <f>IF(E174=$AR$6,1,"")</f>
        <v/>
      </c>
      <c r="AS174" s="81" t="n"/>
    </row>
    <row r="175" ht="15.75" customHeight="1" s="80">
      <c r="A175" s="157" t="n"/>
      <c r="B175" s="124" t="n"/>
      <c r="C175" s="125" t="n"/>
      <c r="D175" s="126" t="n"/>
      <c r="E175" s="127" t="n"/>
      <c r="F175" s="128" t="n"/>
      <c r="G175" s="129">
        <f>IF(F175="","",ROUND(F175/60,2))</f>
        <v/>
      </c>
      <c r="H175" s="130" t="n"/>
      <c r="I175" s="131" t="n"/>
      <c r="J175" s="131">
        <f>IF(COUNTIF(B175:E175,"*")=0,"",IF(T175=1,"Invalid Service",IF(AND(V175=1,F175=""),"Add Session Mins",IF(AND(E175&gt;0,H175="",T175=""),"Enter Contract Rate",IF(AND(E175="IEP mtg, prep, rept",F175&gt;0),(G175*H175),IF(AND(E175&gt;0,F175&gt;0,H175&gt;0,I175=""),"Enter Travel",IF(AND(F175&gt;0,I175="Y"),(G175*H175)+$M$10,IF(AND(F175&gt;0,I175="N"),(G175*H175),H175))))))))</f>
        <v/>
      </c>
      <c r="K175" s="132">
        <f>J175</f>
        <v/>
      </c>
      <c r="L175" s="148" t="n"/>
      <c r="M175" s="148" t="n"/>
      <c r="N175" s="148" t="n"/>
      <c r="O175" s="87" t="n"/>
      <c r="P175" s="81" t="n"/>
      <c r="Q175" s="81" t="n"/>
      <c r="R175" s="81" t="n"/>
      <c r="S175" s="81" t="n"/>
      <c r="T175" s="136">
        <f>IF(AND(E175&gt;0,U175=0),1,"")</f>
        <v/>
      </c>
      <c r="U175" s="136">
        <f>SUM(X175:AR175)</f>
        <v/>
      </c>
      <c r="V175" s="136">
        <f>IF(E175=$Q$16,0,SUM(X175:AI175))</f>
        <v/>
      </c>
      <c r="W175" s="136">
        <f>SUM(AK175:AR175)</f>
        <v/>
      </c>
      <c r="X175" s="136">
        <f>IF(E175=$X$6,1,"")</f>
        <v/>
      </c>
      <c r="Y175" s="136">
        <f>IF(E175=$Y$6,1,"")</f>
        <v/>
      </c>
      <c r="Z175" s="136">
        <f>IF(E175=$Z$6,1,"")</f>
        <v/>
      </c>
      <c r="AA175" s="136">
        <f>IF(E175=$AA$6,1,"")</f>
        <v/>
      </c>
      <c r="AB175" s="136">
        <f>IF(E175=$AB$6,1,"")</f>
        <v/>
      </c>
      <c r="AC175" s="136">
        <f>IF(E175=$AC$6,1,"")</f>
        <v/>
      </c>
      <c r="AD175" s="136">
        <f>IF(E175=$AD$6,1,"")</f>
        <v/>
      </c>
      <c r="AE175" s="136">
        <f>IF(E175=$AE$6,1,"")</f>
        <v/>
      </c>
      <c r="AF175" s="136">
        <f>IF(E175=$AF$6,1,"")</f>
        <v/>
      </c>
      <c r="AG175" s="136">
        <f>IF(E175=$AG$6,1,"")</f>
        <v/>
      </c>
      <c r="AH175" s="136">
        <f>IF(E175=$AH$6,1,"")</f>
        <v/>
      </c>
      <c r="AI175" s="136">
        <f>IF(E175=$AI$6,1,"")</f>
        <v/>
      </c>
      <c r="AJ175" s="136">
        <f>IF(E175=$AJ$6,1,"")</f>
        <v/>
      </c>
      <c r="AK175" s="81">
        <f>IF(E175=$AK$6,1,"")</f>
        <v/>
      </c>
      <c r="AL175" s="81">
        <f>IF(E175=$AL$6,1,"")</f>
        <v/>
      </c>
      <c r="AM175" s="81">
        <f>IF(E175=$AM$6,1,"")</f>
        <v/>
      </c>
      <c r="AN175" s="81">
        <f>IF(E175=$AN$6,1,"")</f>
        <v/>
      </c>
      <c r="AO175" s="81">
        <f>IF(E175=$AO$6,1,"")</f>
        <v/>
      </c>
      <c r="AP175" s="81">
        <f>IF(E175=$AP$6,1,"")</f>
        <v/>
      </c>
      <c r="AQ175" s="81">
        <f>IF(E175=$AQ$6,1,"")</f>
        <v/>
      </c>
      <c r="AR175" s="81">
        <f>IF(E175=$AR$6,1,"")</f>
        <v/>
      </c>
      <c r="AS175" s="81" t="n"/>
    </row>
    <row r="176" ht="15.75" customHeight="1" s="80">
      <c r="A176" s="157" t="n"/>
      <c r="B176" s="124" t="n"/>
      <c r="C176" s="125" t="n"/>
      <c r="D176" s="126" t="n"/>
      <c r="E176" s="127" t="n"/>
      <c r="F176" s="128" t="n"/>
      <c r="G176" s="129">
        <f>IF(F176="","",ROUND(F176/60,2))</f>
        <v/>
      </c>
      <c r="H176" s="130" t="n"/>
      <c r="I176" s="131" t="n"/>
      <c r="J176" s="131">
        <f>IF(COUNTIF(B176:E176,"*")=0,"",IF(T176=1,"Invalid Service",IF(AND(V176=1,F176=""),"Add Session Mins",IF(AND(E176&gt;0,H176="",T176=""),"Enter Contract Rate",IF(AND(E176="IEP mtg, prep, rept",F176&gt;0),(G176*H176),IF(AND(E176&gt;0,F176&gt;0,H176&gt;0,I176=""),"Enter Travel",IF(AND(F176&gt;0,I176="Y"),(G176*H176)+$M$10,IF(AND(F176&gt;0,I176="N"),(G176*H176),H176))))))))</f>
        <v/>
      </c>
      <c r="K176" s="132">
        <f>J176</f>
        <v/>
      </c>
      <c r="L176" s="148" t="n"/>
      <c r="M176" s="148" t="n"/>
      <c r="N176" s="148" t="n"/>
      <c r="O176" s="87" t="n"/>
      <c r="P176" s="81" t="n"/>
      <c r="Q176" s="81" t="n"/>
      <c r="R176" s="81" t="n"/>
      <c r="S176" s="81" t="n"/>
      <c r="T176" s="136">
        <f>IF(AND(E176&gt;0,U176=0),1,"")</f>
        <v/>
      </c>
      <c r="U176" s="136">
        <f>SUM(X176:AR176)</f>
        <v/>
      </c>
      <c r="V176" s="136">
        <f>IF(E176=$Q$16,0,SUM(X176:AI176))</f>
        <v/>
      </c>
      <c r="W176" s="136">
        <f>SUM(AK176:AR176)</f>
        <v/>
      </c>
      <c r="X176" s="136">
        <f>IF(E176=$X$6,1,"")</f>
        <v/>
      </c>
      <c r="Y176" s="136">
        <f>IF(E176=$Y$6,1,"")</f>
        <v/>
      </c>
      <c r="Z176" s="136">
        <f>IF(E176=$Z$6,1,"")</f>
        <v/>
      </c>
      <c r="AA176" s="136">
        <f>IF(E176=$AA$6,1,"")</f>
        <v/>
      </c>
      <c r="AB176" s="136">
        <f>IF(E176=$AB$6,1,"")</f>
        <v/>
      </c>
      <c r="AC176" s="136">
        <f>IF(E176=$AC$6,1,"")</f>
        <v/>
      </c>
      <c r="AD176" s="136">
        <f>IF(E176=$AD$6,1,"")</f>
        <v/>
      </c>
      <c r="AE176" s="136">
        <f>IF(E176=$AE$6,1,"")</f>
        <v/>
      </c>
      <c r="AF176" s="136">
        <f>IF(E176=$AF$6,1,"")</f>
        <v/>
      </c>
      <c r="AG176" s="136">
        <f>IF(E176=$AG$6,1,"")</f>
        <v/>
      </c>
      <c r="AH176" s="136">
        <f>IF(E176=$AH$6,1,"")</f>
        <v/>
      </c>
      <c r="AI176" s="136">
        <f>IF(E176=$AI$6,1,"")</f>
        <v/>
      </c>
      <c r="AJ176" s="136">
        <f>IF(E176=$AJ$6,1,"")</f>
        <v/>
      </c>
      <c r="AK176" s="81">
        <f>IF(E176=$AK$6,1,"")</f>
        <v/>
      </c>
      <c r="AL176" s="81">
        <f>IF(E176=$AL$6,1,"")</f>
        <v/>
      </c>
      <c r="AM176" s="81">
        <f>IF(E176=$AM$6,1,"")</f>
        <v/>
      </c>
      <c r="AN176" s="81">
        <f>IF(E176=$AN$6,1,"")</f>
        <v/>
      </c>
      <c r="AO176" s="81">
        <f>IF(E176=$AO$6,1,"")</f>
        <v/>
      </c>
      <c r="AP176" s="81">
        <f>IF(E176=$AP$6,1,"")</f>
        <v/>
      </c>
      <c r="AQ176" s="81">
        <f>IF(E176=$AQ$6,1,"")</f>
        <v/>
      </c>
      <c r="AR176" s="81">
        <f>IF(E176=$AR$6,1,"")</f>
        <v/>
      </c>
      <c r="AS176" s="81" t="n"/>
    </row>
    <row r="177" ht="15.75" customHeight="1" s="80">
      <c r="A177" s="157" t="n"/>
      <c r="B177" s="124" t="n"/>
      <c r="C177" s="125" t="n"/>
      <c r="D177" s="126" t="n"/>
      <c r="E177" s="127" t="n"/>
      <c r="F177" s="128" t="n"/>
      <c r="G177" s="129">
        <f>IF(F177="","",ROUND(F177/60,2))</f>
        <v/>
      </c>
      <c r="H177" s="130" t="n"/>
      <c r="I177" s="131" t="n"/>
      <c r="J177" s="131">
        <f>IF(COUNTIF(B177:E177,"*")=0,"",IF(T177=1,"Invalid Service",IF(AND(V177=1,F177=""),"Add Session Mins",IF(AND(E177&gt;0,H177="",T177=""),"Enter Contract Rate",IF(AND(E177="IEP mtg, prep, rept",F177&gt;0),(G177*H177),IF(AND(E177&gt;0,F177&gt;0,H177&gt;0,I177=""),"Enter Travel",IF(AND(F177&gt;0,I177="Y"),(G177*H177)+$M$10,IF(AND(F177&gt;0,I177="N"),(G177*H177),H177))))))))</f>
        <v/>
      </c>
      <c r="K177" s="132">
        <f>J177</f>
        <v/>
      </c>
      <c r="L177" s="148" t="n"/>
      <c r="M177" s="148" t="n"/>
      <c r="N177" s="148" t="n"/>
      <c r="O177" s="87" t="n"/>
      <c r="P177" s="81" t="n"/>
      <c r="Q177" s="81" t="n"/>
      <c r="R177" s="81" t="n"/>
      <c r="S177" s="81" t="n"/>
      <c r="T177" s="136">
        <f>IF(AND(E177&gt;0,U177=0),1,"")</f>
        <v/>
      </c>
      <c r="U177" s="136">
        <f>SUM(X177:AR177)</f>
        <v/>
      </c>
      <c r="V177" s="136">
        <f>IF(E177=$Q$16,0,SUM(X177:AI177))</f>
        <v/>
      </c>
      <c r="W177" s="136">
        <f>SUM(AK177:AR177)</f>
        <v/>
      </c>
      <c r="X177" s="136">
        <f>IF(E177=$X$6,1,"")</f>
        <v/>
      </c>
      <c r="Y177" s="136">
        <f>IF(E177=$Y$6,1,"")</f>
        <v/>
      </c>
      <c r="Z177" s="136">
        <f>IF(E177=$Z$6,1,"")</f>
        <v/>
      </c>
      <c r="AA177" s="136">
        <f>IF(E177=$AA$6,1,"")</f>
        <v/>
      </c>
      <c r="AB177" s="136">
        <f>IF(E177=$AB$6,1,"")</f>
        <v/>
      </c>
      <c r="AC177" s="136">
        <f>IF(E177=$AC$6,1,"")</f>
        <v/>
      </c>
      <c r="AD177" s="136">
        <f>IF(E177=$AD$6,1,"")</f>
        <v/>
      </c>
      <c r="AE177" s="136">
        <f>IF(E177=$AE$6,1,"")</f>
        <v/>
      </c>
      <c r="AF177" s="136">
        <f>IF(E177=$AF$6,1,"")</f>
        <v/>
      </c>
      <c r="AG177" s="136">
        <f>IF(E177=$AG$6,1,"")</f>
        <v/>
      </c>
      <c r="AH177" s="136">
        <f>IF(E177=$AH$6,1,"")</f>
        <v/>
      </c>
      <c r="AI177" s="136">
        <f>IF(E177=$AI$6,1,"")</f>
        <v/>
      </c>
      <c r="AJ177" s="136">
        <f>IF(E177=$AJ$6,1,"")</f>
        <v/>
      </c>
      <c r="AK177" s="81">
        <f>IF(E177=$AK$6,1,"")</f>
        <v/>
      </c>
      <c r="AL177" s="81">
        <f>IF(E177=$AL$6,1,"")</f>
        <v/>
      </c>
      <c r="AM177" s="81">
        <f>IF(E177=$AM$6,1,"")</f>
        <v/>
      </c>
      <c r="AN177" s="81">
        <f>IF(E177=$AN$6,1,"")</f>
        <v/>
      </c>
      <c r="AO177" s="81">
        <f>IF(E177=$AO$6,1,"")</f>
        <v/>
      </c>
      <c r="AP177" s="81">
        <f>IF(E177=$AP$6,1,"")</f>
        <v/>
      </c>
      <c r="AQ177" s="81">
        <f>IF(E177=$AQ$6,1,"")</f>
        <v/>
      </c>
      <c r="AR177" s="81">
        <f>IF(E177=$AR$6,1,"")</f>
        <v/>
      </c>
      <c r="AS177" s="81" t="n"/>
    </row>
    <row r="178" ht="15.75" customHeight="1" s="80">
      <c r="A178" s="157" t="n"/>
      <c r="B178" s="124" t="n"/>
      <c r="C178" s="125" t="n"/>
      <c r="D178" s="126" t="n"/>
      <c r="E178" s="127" t="n"/>
      <c r="F178" s="128" t="n"/>
      <c r="G178" s="129">
        <f>IF(F178="","",ROUND(F178/60,2))</f>
        <v/>
      </c>
      <c r="H178" s="130" t="n"/>
      <c r="I178" s="131" t="n"/>
      <c r="J178" s="131">
        <f>IF(COUNTIF(B178:E178,"*")=0,"",IF(T178=1,"Invalid Service",IF(AND(V178=1,F178=""),"Add Session Mins",IF(AND(E178&gt;0,H178="",T178=""),"Enter Contract Rate",IF(AND(E178="IEP mtg, prep, rept",F178&gt;0),(G178*H178),IF(AND(E178&gt;0,F178&gt;0,H178&gt;0,I178=""),"Enter Travel",IF(AND(F178&gt;0,I178="Y"),(G178*H178)+$M$10,IF(AND(F178&gt;0,I178="N"),(G178*H178),H178))))))))</f>
        <v/>
      </c>
      <c r="K178" s="132">
        <f>J178</f>
        <v/>
      </c>
      <c r="L178" s="148" t="n"/>
      <c r="M178" s="148" t="n"/>
      <c r="N178" s="148" t="n"/>
      <c r="O178" s="87" t="n"/>
      <c r="P178" s="81" t="n"/>
      <c r="Q178" s="81" t="n"/>
      <c r="R178" s="81" t="n"/>
      <c r="S178" s="81" t="n"/>
      <c r="T178" s="136">
        <f>IF(AND(E178&gt;0,U178=0),1,"")</f>
        <v/>
      </c>
      <c r="U178" s="136">
        <f>SUM(X178:AR178)</f>
        <v/>
      </c>
      <c r="V178" s="136">
        <f>IF(E178=$Q$16,0,SUM(X178:AI178))</f>
        <v/>
      </c>
      <c r="W178" s="136">
        <f>SUM(AK178:AR178)</f>
        <v/>
      </c>
      <c r="X178" s="136">
        <f>IF(E178=$X$6,1,"")</f>
        <v/>
      </c>
      <c r="Y178" s="136">
        <f>IF(E178=$Y$6,1,"")</f>
        <v/>
      </c>
      <c r="Z178" s="136">
        <f>IF(E178=$Z$6,1,"")</f>
        <v/>
      </c>
      <c r="AA178" s="136">
        <f>IF(E178=$AA$6,1,"")</f>
        <v/>
      </c>
      <c r="AB178" s="136">
        <f>IF(E178=$AB$6,1,"")</f>
        <v/>
      </c>
      <c r="AC178" s="136">
        <f>IF(E178=$AC$6,1,"")</f>
        <v/>
      </c>
      <c r="AD178" s="136">
        <f>IF(E178=$AD$6,1,"")</f>
        <v/>
      </c>
      <c r="AE178" s="136">
        <f>IF(E178=$AE$6,1,"")</f>
        <v/>
      </c>
      <c r="AF178" s="136">
        <f>IF(E178=$AF$6,1,"")</f>
        <v/>
      </c>
      <c r="AG178" s="136">
        <f>IF(E178=$AG$6,1,"")</f>
        <v/>
      </c>
      <c r="AH178" s="136">
        <f>IF(E178=$AH$6,1,"")</f>
        <v/>
      </c>
      <c r="AI178" s="136">
        <f>IF(E178=$AI$6,1,"")</f>
        <v/>
      </c>
      <c r="AJ178" s="136">
        <f>IF(E178=$AJ$6,1,"")</f>
        <v/>
      </c>
      <c r="AK178" s="81">
        <f>IF(E178=$AK$6,1,"")</f>
        <v/>
      </c>
      <c r="AL178" s="81">
        <f>IF(E178=$AL$6,1,"")</f>
        <v/>
      </c>
      <c r="AM178" s="81">
        <f>IF(E178=$AM$6,1,"")</f>
        <v/>
      </c>
      <c r="AN178" s="81">
        <f>IF(E178=$AN$6,1,"")</f>
        <v/>
      </c>
      <c r="AO178" s="81">
        <f>IF(E178=$AO$6,1,"")</f>
        <v/>
      </c>
      <c r="AP178" s="81">
        <f>IF(E178=$AP$6,1,"")</f>
        <v/>
      </c>
      <c r="AQ178" s="81">
        <f>IF(E178=$AQ$6,1,"")</f>
        <v/>
      </c>
      <c r="AR178" s="81">
        <f>IF(E178=$AR$6,1,"")</f>
        <v/>
      </c>
      <c r="AS178" s="81" t="n"/>
    </row>
    <row r="179" ht="15.75" customHeight="1" s="80">
      <c r="A179" s="157" t="n"/>
      <c r="B179" s="124" t="n"/>
      <c r="C179" s="125" t="n"/>
      <c r="D179" s="126" t="n"/>
      <c r="E179" s="127" t="n"/>
      <c r="F179" s="128" t="n"/>
      <c r="G179" s="129">
        <f>IF(F179="","",ROUND(F179/60,2))</f>
        <v/>
      </c>
      <c r="H179" s="130" t="n"/>
      <c r="I179" s="131" t="n"/>
      <c r="J179" s="131">
        <f>IF(COUNTIF(B179:E179,"*")=0,"",IF(T179=1,"Invalid Service",IF(AND(V179=1,F179=""),"Add Session Mins",IF(AND(E179&gt;0,H179="",T179=""),"Enter Contract Rate",IF(AND(E179="IEP mtg, prep, rept",F179&gt;0),(G179*H179),IF(AND(E179&gt;0,F179&gt;0,H179&gt;0,I179=""),"Enter Travel",IF(AND(F179&gt;0,I179="Y"),(G179*H179)+$M$10,IF(AND(F179&gt;0,I179="N"),(G179*H179),H179))))))))</f>
        <v/>
      </c>
      <c r="K179" s="132">
        <f>J179</f>
        <v/>
      </c>
      <c r="L179" s="148" t="n"/>
      <c r="M179" s="148" t="n"/>
      <c r="N179" s="148" t="n"/>
      <c r="O179" s="87" t="n"/>
      <c r="P179" s="81" t="n"/>
      <c r="Q179" s="81" t="n"/>
      <c r="R179" s="81" t="n"/>
      <c r="S179" s="81" t="n"/>
      <c r="T179" s="136">
        <f>IF(AND(E179&gt;0,U179=0),1,"")</f>
        <v/>
      </c>
      <c r="U179" s="136">
        <f>SUM(X179:AR179)</f>
        <v/>
      </c>
      <c r="V179" s="136">
        <f>IF(E179=$Q$16,0,SUM(X179:AI179))</f>
        <v/>
      </c>
      <c r="W179" s="136">
        <f>SUM(AK179:AR179)</f>
        <v/>
      </c>
      <c r="X179" s="136">
        <f>IF(E179=$X$6,1,"")</f>
        <v/>
      </c>
      <c r="Y179" s="136">
        <f>IF(E179=$Y$6,1,"")</f>
        <v/>
      </c>
      <c r="Z179" s="136">
        <f>IF(E179=$Z$6,1,"")</f>
        <v/>
      </c>
      <c r="AA179" s="136">
        <f>IF(E179=$AA$6,1,"")</f>
        <v/>
      </c>
      <c r="AB179" s="136">
        <f>IF(E179=$AB$6,1,"")</f>
        <v/>
      </c>
      <c r="AC179" s="136">
        <f>IF(E179=$AC$6,1,"")</f>
        <v/>
      </c>
      <c r="AD179" s="136">
        <f>IF(E179=$AD$6,1,"")</f>
        <v/>
      </c>
      <c r="AE179" s="136">
        <f>IF(E179=$AE$6,1,"")</f>
        <v/>
      </c>
      <c r="AF179" s="136">
        <f>IF(E179=$AF$6,1,"")</f>
        <v/>
      </c>
      <c r="AG179" s="136">
        <f>IF(E179=$AG$6,1,"")</f>
        <v/>
      </c>
      <c r="AH179" s="136">
        <f>IF(E179=$AH$6,1,"")</f>
        <v/>
      </c>
      <c r="AI179" s="136">
        <f>IF(E179=$AI$6,1,"")</f>
        <v/>
      </c>
      <c r="AJ179" s="136">
        <f>IF(E179=$AJ$6,1,"")</f>
        <v/>
      </c>
      <c r="AK179" s="81">
        <f>IF(E179=$AK$6,1,"")</f>
        <v/>
      </c>
      <c r="AL179" s="81">
        <f>IF(E179=$AL$6,1,"")</f>
        <v/>
      </c>
      <c r="AM179" s="81">
        <f>IF(E179=$AM$6,1,"")</f>
        <v/>
      </c>
      <c r="AN179" s="81">
        <f>IF(E179=$AN$6,1,"")</f>
        <v/>
      </c>
      <c r="AO179" s="81">
        <f>IF(E179=$AO$6,1,"")</f>
        <v/>
      </c>
      <c r="AP179" s="81">
        <f>IF(E179=$AP$6,1,"")</f>
        <v/>
      </c>
      <c r="AQ179" s="81">
        <f>IF(E179=$AQ$6,1,"")</f>
        <v/>
      </c>
      <c r="AR179" s="81">
        <f>IF(E179=$AR$6,1,"")</f>
        <v/>
      </c>
      <c r="AS179" s="81" t="n"/>
    </row>
    <row r="180" ht="15.75" customHeight="1" s="80">
      <c r="A180" s="157" t="n"/>
      <c r="B180" s="124" t="n"/>
      <c r="C180" s="125" t="n"/>
      <c r="D180" s="126" t="n"/>
      <c r="E180" s="127" t="n"/>
      <c r="F180" s="128" t="n"/>
      <c r="G180" s="129">
        <f>IF(F180="","",ROUND(F180/60,2))</f>
        <v/>
      </c>
      <c r="H180" s="130" t="n"/>
      <c r="I180" s="131" t="n"/>
      <c r="J180" s="131">
        <f>IF(COUNTIF(B180:E180,"*")=0,"",IF(T180=1,"Invalid Service",IF(AND(V180=1,F180=""),"Add Session Mins",IF(AND(E180&gt;0,H180="",T180=""),"Enter Contract Rate",IF(AND(E180="IEP mtg, prep, rept",F180&gt;0),(G180*H180),IF(AND(E180&gt;0,F180&gt;0,H180&gt;0,I180=""),"Enter Travel",IF(AND(F180&gt;0,I180="Y"),(G180*H180)+$M$10,IF(AND(F180&gt;0,I180="N"),(G180*H180),H180))))))))</f>
        <v/>
      </c>
      <c r="K180" s="132">
        <f>J180</f>
        <v/>
      </c>
      <c r="L180" s="148" t="n"/>
      <c r="M180" s="148" t="n"/>
      <c r="N180" s="148" t="n"/>
      <c r="O180" s="87" t="n"/>
      <c r="P180" s="81" t="n"/>
      <c r="Q180" s="81" t="n"/>
      <c r="R180" s="81" t="n"/>
      <c r="S180" s="81" t="n"/>
      <c r="T180" s="136">
        <f>IF(AND(E180&gt;0,U180=0),1,"")</f>
        <v/>
      </c>
      <c r="U180" s="136">
        <f>SUM(X180:AR180)</f>
        <v/>
      </c>
      <c r="V180" s="136">
        <f>IF(E180=$Q$16,0,SUM(X180:AI180))</f>
        <v/>
      </c>
      <c r="W180" s="136">
        <f>SUM(AK180:AR180)</f>
        <v/>
      </c>
      <c r="X180" s="136">
        <f>IF(E180=$X$6,1,"")</f>
        <v/>
      </c>
      <c r="Y180" s="136">
        <f>IF(E180=$Y$6,1,"")</f>
        <v/>
      </c>
      <c r="Z180" s="136">
        <f>IF(E180=$Z$6,1,"")</f>
        <v/>
      </c>
      <c r="AA180" s="136">
        <f>IF(E180=$AA$6,1,"")</f>
        <v/>
      </c>
      <c r="AB180" s="136">
        <f>IF(E180=$AB$6,1,"")</f>
        <v/>
      </c>
      <c r="AC180" s="136">
        <f>IF(E180=$AC$6,1,"")</f>
        <v/>
      </c>
      <c r="AD180" s="136">
        <f>IF(E180=$AD$6,1,"")</f>
        <v/>
      </c>
      <c r="AE180" s="136">
        <f>IF(E180=$AE$6,1,"")</f>
        <v/>
      </c>
      <c r="AF180" s="136">
        <f>IF(E180=$AF$6,1,"")</f>
        <v/>
      </c>
      <c r="AG180" s="136">
        <f>IF(E180=$AG$6,1,"")</f>
        <v/>
      </c>
      <c r="AH180" s="136">
        <f>IF(E180=$AH$6,1,"")</f>
        <v/>
      </c>
      <c r="AI180" s="136">
        <f>IF(E180=$AI$6,1,"")</f>
        <v/>
      </c>
      <c r="AJ180" s="136">
        <f>IF(E180=$AJ$6,1,"")</f>
        <v/>
      </c>
      <c r="AK180" s="81">
        <f>IF(E180=$AK$6,1,"")</f>
        <v/>
      </c>
      <c r="AL180" s="81">
        <f>IF(E180=$AL$6,1,"")</f>
        <v/>
      </c>
      <c r="AM180" s="81">
        <f>IF(E180=$AM$6,1,"")</f>
        <v/>
      </c>
      <c r="AN180" s="81">
        <f>IF(E180=$AN$6,1,"")</f>
        <v/>
      </c>
      <c r="AO180" s="81">
        <f>IF(E180=$AO$6,1,"")</f>
        <v/>
      </c>
      <c r="AP180" s="81">
        <f>IF(E180=$AP$6,1,"")</f>
        <v/>
      </c>
      <c r="AQ180" s="81">
        <f>IF(E180=$AQ$6,1,"")</f>
        <v/>
      </c>
      <c r="AR180" s="81">
        <f>IF(E180=$AR$6,1,"")</f>
        <v/>
      </c>
      <c r="AS180" s="81" t="n"/>
    </row>
    <row r="181" ht="15.75" customHeight="1" s="80">
      <c r="A181" s="157" t="n"/>
      <c r="B181" s="124" t="n"/>
      <c r="C181" s="125" t="n"/>
      <c r="D181" s="126" t="n"/>
      <c r="E181" s="127" t="n"/>
      <c r="F181" s="128" t="n"/>
      <c r="G181" s="129">
        <f>IF(F181="","",ROUND(F181/60,2))</f>
        <v/>
      </c>
      <c r="H181" s="130" t="n"/>
      <c r="I181" s="131" t="n"/>
      <c r="J181" s="131">
        <f>IF(COUNTIF(B181:E181,"*")=0,"",IF(T181=1,"Invalid Service",IF(AND(V181=1,F181=""),"Add Session Mins",IF(AND(E181&gt;0,H181="",T181=""),"Enter Contract Rate",IF(AND(E181="IEP mtg, prep, rept",F181&gt;0),(G181*H181),IF(AND(E181&gt;0,F181&gt;0,H181&gt;0,I181=""),"Enter Travel",IF(AND(F181&gt;0,I181="Y"),(G181*H181)+$M$10,IF(AND(F181&gt;0,I181="N"),(G181*H181),H181))))))))</f>
        <v/>
      </c>
      <c r="K181" s="132">
        <f>J181</f>
        <v/>
      </c>
      <c r="L181" s="148" t="n"/>
      <c r="M181" s="148" t="n"/>
      <c r="N181" s="148" t="n"/>
      <c r="O181" s="87" t="n"/>
      <c r="P181" s="81" t="n"/>
      <c r="Q181" s="81" t="n"/>
      <c r="R181" s="81" t="n"/>
      <c r="S181" s="81" t="n"/>
      <c r="T181" s="136">
        <f>IF(AND(E181&gt;0,U181=0),1,"")</f>
        <v/>
      </c>
      <c r="U181" s="136">
        <f>SUM(X181:AR181)</f>
        <v/>
      </c>
      <c r="V181" s="136">
        <f>IF(E181=$Q$16,0,SUM(X181:AI181))</f>
        <v/>
      </c>
      <c r="W181" s="136">
        <f>SUM(AK181:AR181)</f>
        <v/>
      </c>
      <c r="X181" s="136">
        <f>IF(E181=$X$6,1,"")</f>
        <v/>
      </c>
      <c r="Y181" s="136">
        <f>IF(E181=$Y$6,1,"")</f>
        <v/>
      </c>
      <c r="Z181" s="136">
        <f>IF(E181=$Z$6,1,"")</f>
        <v/>
      </c>
      <c r="AA181" s="136">
        <f>IF(E181=$AA$6,1,"")</f>
        <v/>
      </c>
      <c r="AB181" s="136">
        <f>IF(E181=$AB$6,1,"")</f>
        <v/>
      </c>
      <c r="AC181" s="136">
        <f>IF(E181=$AC$6,1,"")</f>
        <v/>
      </c>
      <c r="AD181" s="136">
        <f>IF(E181=$AD$6,1,"")</f>
        <v/>
      </c>
      <c r="AE181" s="136">
        <f>IF(E181=$AE$6,1,"")</f>
        <v/>
      </c>
      <c r="AF181" s="136">
        <f>IF(E181=$AF$6,1,"")</f>
        <v/>
      </c>
      <c r="AG181" s="136">
        <f>IF(E181=$AG$6,1,"")</f>
        <v/>
      </c>
      <c r="AH181" s="136">
        <f>IF(E181=$AH$6,1,"")</f>
        <v/>
      </c>
      <c r="AI181" s="136">
        <f>IF(E181=$AI$6,1,"")</f>
        <v/>
      </c>
      <c r="AJ181" s="136">
        <f>IF(E181=$AJ$6,1,"")</f>
        <v/>
      </c>
      <c r="AK181" s="81">
        <f>IF(E181=$AK$6,1,"")</f>
        <v/>
      </c>
      <c r="AL181" s="81">
        <f>IF(E181=$AL$6,1,"")</f>
        <v/>
      </c>
      <c r="AM181" s="81">
        <f>IF(E181=$AM$6,1,"")</f>
        <v/>
      </c>
      <c r="AN181" s="81">
        <f>IF(E181=$AN$6,1,"")</f>
        <v/>
      </c>
      <c r="AO181" s="81">
        <f>IF(E181=$AO$6,1,"")</f>
        <v/>
      </c>
      <c r="AP181" s="81">
        <f>IF(E181=$AP$6,1,"")</f>
        <v/>
      </c>
      <c r="AQ181" s="81">
        <f>IF(E181=$AQ$6,1,"")</f>
        <v/>
      </c>
      <c r="AR181" s="81">
        <f>IF(E181=$AR$6,1,"")</f>
        <v/>
      </c>
      <c r="AS181" s="81" t="n"/>
    </row>
    <row r="182" ht="15.75" customHeight="1" s="80">
      <c r="A182" s="157" t="n"/>
      <c r="B182" s="124" t="n"/>
      <c r="C182" s="125" t="n"/>
      <c r="D182" s="126" t="n"/>
      <c r="E182" s="127" t="n"/>
      <c r="F182" s="128" t="n"/>
      <c r="G182" s="129">
        <f>IF(F182="","",ROUND(F182/60,2))</f>
        <v/>
      </c>
      <c r="H182" s="130" t="n"/>
      <c r="I182" s="131" t="n"/>
      <c r="J182" s="131">
        <f>IF(COUNTIF(B182:E182,"*")=0,"",IF(T182=1,"Invalid Service",IF(AND(V182=1,F182=""),"Add Session Mins",IF(AND(E182&gt;0,H182="",T182=""),"Enter Contract Rate",IF(AND(E182="IEP mtg, prep, rept",F182&gt;0),(G182*H182),IF(AND(E182&gt;0,F182&gt;0,H182&gt;0,I182=""),"Enter Travel",IF(AND(F182&gt;0,I182="Y"),(G182*H182)+$M$10,IF(AND(F182&gt;0,I182="N"),(G182*H182),H182))))))))</f>
        <v/>
      </c>
      <c r="K182" s="132">
        <f>J182</f>
        <v/>
      </c>
      <c r="L182" s="148" t="n"/>
      <c r="M182" s="148" t="n"/>
      <c r="N182" s="148" t="n"/>
      <c r="O182" s="87" t="n"/>
      <c r="P182" s="81" t="n"/>
      <c r="Q182" s="81" t="n"/>
      <c r="R182" s="81" t="n"/>
      <c r="S182" s="81" t="n"/>
      <c r="T182" s="136">
        <f>IF(AND(E182&gt;0,U182=0),1,"")</f>
        <v/>
      </c>
      <c r="U182" s="136">
        <f>SUM(X182:AR182)</f>
        <v/>
      </c>
      <c r="V182" s="136">
        <f>IF(E182=$Q$16,0,SUM(X182:AI182))</f>
        <v/>
      </c>
      <c r="W182" s="136">
        <f>SUM(AK182:AR182)</f>
        <v/>
      </c>
      <c r="X182" s="136">
        <f>IF(E182=$X$6,1,"")</f>
        <v/>
      </c>
      <c r="Y182" s="136">
        <f>IF(E182=$Y$6,1,"")</f>
        <v/>
      </c>
      <c r="Z182" s="136">
        <f>IF(E182=$Z$6,1,"")</f>
        <v/>
      </c>
      <c r="AA182" s="136">
        <f>IF(E182=$AA$6,1,"")</f>
        <v/>
      </c>
      <c r="AB182" s="136">
        <f>IF(E182=$AB$6,1,"")</f>
        <v/>
      </c>
      <c r="AC182" s="136">
        <f>IF(E182=$AC$6,1,"")</f>
        <v/>
      </c>
      <c r="AD182" s="136">
        <f>IF(E182=$AD$6,1,"")</f>
        <v/>
      </c>
      <c r="AE182" s="136">
        <f>IF(E182=$AE$6,1,"")</f>
        <v/>
      </c>
      <c r="AF182" s="136">
        <f>IF(E182=$AF$6,1,"")</f>
        <v/>
      </c>
      <c r="AG182" s="136">
        <f>IF(E182=$AG$6,1,"")</f>
        <v/>
      </c>
      <c r="AH182" s="136">
        <f>IF(E182=$AH$6,1,"")</f>
        <v/>
      </c>
      <c r="AI182" s="136">
        <f>IF(E182=$AI$6,1,"")</f>
        <v/>
      </c>
      <c r="AJ182" s="136">
        <f>IF(E182=$AJ$6,1,"")</f>
        <v/>
      </c>
      <c r="AK182" s="81">
        <f>IF(E182=$AK$6,1,"")</f>
        <v/>
      </c>
      <c r="AL182" s="81">
        <f>IF(E182=$AL$6,1,"")</f>
        <v/>
      </c>
      <c r="AM182" s="81">
        <f>IF(E182=$AM$6,1,"")</f>
        <v/>
      </c>
      <c r="AN182" s="81">
        <f>IF(E182=$AN$6,1,"")</f>
        <v/>
      </c>
      <c r="AO182" s="81">
        <f>IF(E182=$AO$6,1,"")</f>
        <v/>
      </c>
      <c r="AP182" s="81">
        <f>IF(E182=$AP$6,1,"")</f>
        <v/>
      </c>
      <c r="AQ182" s="81">
        <f>IF(E182=$AQ$6,1,"")</f>
        <v/>
      </c>
      <c r="AR182" s="81">
        <f>IF(E182=$AR$6,1,"")</f>
        <v/>
      </c>
      <c r="AS182" s="81" t="n"/>
    </row>
    <row r="183" ht="15.75" customHeight="1" s="80">
      <c r="A183" s="157" t="n"/>
      <c r="B183" s="124" t="n"/>
      <c r="C183" s="125" t="n"/>
      <c r="D183" s="126" t="n"/>
      <c r="E183" s="127" t="n"/>
      <c r="F183" s="128" t="n"/>
      <c r="G183" s="129">
        <f>IF(F183="","",ROUND(F183/60,2))</f>
        <v/>
      </c>
      <c r="H183" s="130" t="n"/>
      <c r="I183" s="131" t="n"/>
      <c r="J183" s="131">
        <f>IF(COUNTIF(B183:E183,"*")=0,"",IF(T183=1,"Invalid Service",IF(AND(V183=1,F183=""),"Add Session Mins",IF(AND(E183&gt;0,H183="",T183=""),"Enter Contract Rate",IF(AND(E183="IEP mtg, prep, rept",F183&gt;0),(G183*H183),IF(AND(E183&gt;0,F183&gt;0,H183&gt;0,I183=""),"Enter Travel",IF(AND(F183&gt;0,I183="Y"),(G183*H183)+$M$10,IF(AND(F183&gt;0,I183="N"),(G183*H183),H183))))))))</f>
        <v/>
      </c>
      <c r="K183" s="132">
        <f>J183</f>
        <v/>
      </c>
      <c r="L183" s="148" t="n"/>
      <c r="M183" s="148" t="n"/>
      <c r="N183" s="148" t="n"/>
      <c r="O183" s="87" t="n"/>
      <c r="P183" s="81" t="n"/>
      <c r="Q183" s="81" t="n"/>
      <c r="R183" s="81" t="n"/>
      <c r="S183" s="81" t="n"/>
      <c r="T183" s="136">
        <f>IF(AND(E183&gt;0,U183=0),1,"")</f>
        <v/>
      </c>
      <c r="U183" s="136">
        <f>SUM(X183:AR183)</f>
        <v/>
      </c>
      <c r="V183" s="136">
        <f>IF(E183=$Q$16,0,SUM(X183:AI183))</f>
        <v/>
      </c>
      <c r="W183" s="136">
        <f>SUM(AK183:AR183)</f>
        <v/>
      </c>
      <c r="X183" s="136">
        <f>IF(E183=$X$6,1,"")</f>
        <v/>
      </c>
      <c r="Y183" s="136">
        <f>IF(E183=$Y$6,1,"")</f>
        <v/>
      </c>
      <c r="Z183" s="136">
        <f>IF(E183=$Z$6,1,"")</f>
        <v/>
      </c>
      <c r="AA183" s="136">
        <f>IF(E183=$AA$6,1,"")</f>
        <v/>
      </c>
      <c r="AB183" s="136">
        <f>IF(E183=$AB$6,1,"")</f>
        <v/>
      </c>
      <c r="AC183" s="136">
        <f>IF(E183=$AC$6,1,"")</f>
        <v/>
      </c>
      <c r="AD183" s="136">
        <f>IF(E183=$AD$6,1,"")</f>
        <v/>
      </c>
      <c r="AE183" s="136">
        <f>IF(E183=$AE$6,1,"")</f>
        <v/>
      </c>
      <c r="AF183" s="136">
        <f>IF(E183=$AF$6,1,"")</f>
        <v/>
      </c>
      <c r="AG183" s="136">
        <f>IF(E183=$AG$6,1,"")</f>
        <v/>
      </c>
      <c r="AH183" s="136">
        <f>IF(E183=$AH$6,1,"")</f>
        <v/>
      </c>
      <c r="AI183" s="136">
        <f>IF(E183=$AI$6,1,"")</f>
        <v/>
      </c>
      <c r="AJ183" s="136">
        <f>IF(E183=$AJ$6,1,"")</f>
        <v/>
      </c>
      <c r="AK183" s="81">
        <f>IF(E183=$AK$6,1,"")</f>
        <v/>
      </c>
      <c r="AL183" s="81">
        <f>IF(E183=$AL$6,1,"")</f>
        <v/>
      </c>
      <c r="AM183" s="81">
        <f>IF(E183=$AM$6,1,"")</f>
        <v/>
      </c>
      <c r="AN183" s="81">
        <f>IF(E183=$AN$6,1,"")</f>
        <v/>
      </c>
      <c r="AO183" s="81">
        <f>IF(E183=$AO$6,1,"")</f>
        <v/>
      </c>
      <c r="AP183" s="81">
        <f>IF(E183=$AP$6,1,"")</f>
        <v/>
      </c>
      <c r="AQ183" s="81">
        <f>IF(E183=$AQ$6,1,"")</f>
        <v/>
      </c>
      <c r="AR183" s="81">
        <f>IF(E183=$AR$6,1,"")</f>
        <v/>
      </c>
      <c r="AS183" s="81" t="n"/>
    </row>
    <row r="184" ht="15.75" customHeight="1" s="80">
      <c r="A184" s="157" t="n"/>
      <c r="B184" s="124" t="n"/>
      <c r="C184" s="125" t="n"/>
      <c r="D184" s="126" t="n"/>
      <c r="E184" s="127" t="n"/>
      <c r="F184" s="128" t="n"/>
      <c r="G184" s="129">
        <f>IF(F184="","",ROUND(F184/60,2))</f>
        <v/>
      </c>
      <c r="H184" s="130" t="n"/>
      <c r="I184" s="131" t="n"/>
      <c r="J184" s="131">
        <f>IF(COUNTIF(B184:E184,"*")=0,"",IF(T184=1,"Invalid Service",IF(AND(V184=1,F184=""),"Add Session Mins",IF(AND(E184&gt;0,H184="",T184=""),"Enter Contract Rate",IF(AND(E184="IEP mtg, prep, rept",F184&gt;0),(G184*H184),IF(AND(E184&gt;0,F184&gt;0,H184&gt;0,I184=""),"Enter Travel",IF(AND(F184&gt;0,I184="Y"),(G184*H184)+$M$10,IF(AND(F184&gt;0,I184="N"),(G184*H184),H184))))))))</f>
        <v/>
      </c>
      <c r="K184" s="132">
        <f>J184</f>
        <v/>
      </c>
      <c r="L184" s="148" t="n"/>
      <c r="M184" s="148" t="n"/>
      <c r="N184" s="148" t="n"/>
      <c r="O184" s="87" t="n"/>
      <c r="P184" s="81" t="n"/>
      <c r="Q184" s="81" t="n"/>
      <c r="R184" s="81" t="n"/>
      <c r="S184" s="81" t="n"/>
      <c r="T184" s="136">
        <f>IF(AND(E184&gt;0,U184=0),1,"")</f>
        <v/>
      </c>
      <c r="U184" s="136">
        <f>SUM(X184:AR184)</f>
        <v/>
      </c>
      <c r="V184" s="136">
        <f>IF(E184=$Q$16,0,SUM(X184:AI184))</f>
        <v/>
      </c>
      <c r="W184" s="136">
        <f>SUM(AK184:AR184)</f>
        <v/>
      </c>
      <c r="X184" s="136">
        <f>IF(E184=$X$6,1,"")</f>
        <v/>
      </c>
      <c r="Y184" s="136">
        <f>IF(E184=$Y$6,1,"")</f>
        <v/>
      </c>
      <c r="Z184" s="136">
        <f>IF(E184=$Z$6,1,"")</f>
        <v/>
      </c>
      <c r="AA184" s="136">
        <f>IF(E184=$AA$6,1,"")</f>
        <v/>
      </c>
      <c r="AB184" s="136">
        <f>IF(E184=$AB$6,1,"")</f>
        <v/>
      </c>
      <c r="AC184" s="136">
        <f>IF(E184=$AC$6,1,"")</f>
        <v/>
      </c>
      <c r="AD184" s="136">
        <f>IF(E184=$AD$6,1,"")</f>
        <v/>
      </c>
      <c r="AE184" s="136">
        <f>IF(E184=$AE$6,1,"")</f>
        <v/>
      </c>
      <c r="AF184" s="136">
        <f>IF(E184=$AF$6,1,"")</f>
        <v/>
      </c>
      <c r="AG184" s="136">
        <f>IF(E184=$AG$6,1,"")</f>
        <v/>
      </c>
      <c r="AH184" s="136">
        <f>IF(E184=$AH$6,1,"")</f>
        <v/>
      </c>
      <c r="AI184" s="136">
        <f>IF(E184=$AI$6,1,"")</f>
        <v/>
      </c>
      <c r="AJ184" s="136">
        <f>IF(E184=$AJ$6,1,"")</f>
        <v/>
      </c>
      <c r="AK184" s="81">
        <f>IF(E184=$AK$6,1,"")</f>
        <v/>
      </c>
      <c r="AL184" s="81">
        <f>IF(E184=$AL$6,1,"")</f>
        <v/>
      </c>
      <c r="AM184" s="81">
        <f>IF(E184=$AM$6,1,"")</f>
        <v/>
      </c>
      <c r="AN184" s="81">
        <f>IF(E184=$AN$6,1,"")</f>
        <v/>
      </c>
      <c r="AO184" s="81">
        <f>IF(E184=$AO$6,1,"")</f>
        <v/>
      </c>
      <c r="AP184" s="81">
        <f>IF(E184=$AP$6,1,"")</f>
        <v/>
      </c>
      <c r="AQ184" s="81">
        <f>IF(E184=$AQ$6,1,"")</f>
        <v/>
      </c>
      <c r="AR184" s="81">
        <f>IF(E184=$AR$6,1,"")</f>
        <v/>
      </c>
      <c r="AS184" s="81" t="n"/>
    </row>
    <row r="185" ht="15.75" customHeight="1" s="80">
      <c r="A185" s="157" t="n"/>
      <c r="B185" s="124" t="n"/>
      <c r="C185" s="125" t="n"/>
      <c r="D185" s="126" t="n"/>
      <c r="E185" s="127" t="n"/>
      <c r="F185" s="128" t="n"/>
      <c r="G185" s="129">
        <f>IF(F185="","",ROUND(F185/60,2))</f>
        <v/>
      </c>
      <c r="H185" s="130" t="n"/>
      <c r="I185" s="131" t="n"/>
      <c r="J185" s="131">
        <f>IF(COUNTIF(B185:E185,"*")=0,"",IF(T185=1,"Invalid Service",IF(AND(V185=1,F185=""),"Add Session Mins",IF(AND(E185&gt;0,H185="",T185=""),"Enter Contract Rate",IF(AND(E185="IEP mtg, prep, rept",F185&gt;0),(G185*H185),IF(AND(E185&gt;0,F185&gt;0,H185&gt;0,I185=""),"Enter Travel",IF(AND(F185&gt;0,I185="Y"),(G185*H185)+$M$10,IF(AND(F185&gt;0,I185="N"),(G185*H185),H185))))))))</f>
        <v/>
      </c>
      <c r="K185" s="132">
        <f>J185</f>
        <v/>
      </c>
      <c r="L185" s="148" t="n"/>
      <c r="M185" s="148" t="n"/>
      <c r="N185" s="148" t="n"/>
      <c r="O185" s="87" t="n"/>
      <c r="P185" s="81" t="n"/>
      <c r="Q185" s="81" t="n"/>
      <c r="R185" s="81" t="n"/>
      <c r="S185" s="81" t="n"/>
      <c r="T185" s="136">
        <f>IF(AND(E185&gt;0,U185=0),1,"")</f>
        <v/>
      </c>
      <c r="U185" s="136">
        <f>SUM(X185:AR185)</f>
        <v/>
      </c>
      <c r="V185" s="136">
        <f>IF(E185=$Q$16,0,SUM(X185:AI185))</f>
        <v/>
      </c>
      <c r="W185" s="136">
        <f>SUM(AK185:AR185)</f>
        <v/>
      </c>
      <c r="X185" s="136">
        <f>IF(E185=$X$6,1,"")</f>
        <v/>
      </c>
      <c r="Y185" s="136">
        <f>IF(E185=$Y$6,1,"")</f>
        <v/>
      </c>
      <c r="Z185" s="136">
        <f>IF(E185=$Z$6,1,"")</f>
        <v/>
      </c>
      <c r="AA185" s="136">
        <f>IF(E185=$AA$6,1,"")</f>
        <v/>
      </c>
      <c r="AB185" s="136">
        <f>IF(E185=$AB$6,1,"")</f>
        <v/>
      </c>
      <c r="AC185" s="136">
        <f>IF(E185=$AC$6,1,"")</f>
        <v/>
      </c>
      <c r="AD185" s="136">
        <f>IF(E185=$AD$6,1,"")</f>
        <v/>
      </c>
      <c r="AE185" s="136">
        <f>IF(E185=$AE$6,1,"")</f>
        <v/>
      </c>
      <c r="AF185" s="136">
        <f>IF(E185=$AF$6,1,"")</f>
        <v/>
      </c>
      <c r="AG185" s="136">
        <f>IF(E185=$AG$6,1,"")</f>
        <v/>
      </c>
      <c r="AH185" s="136">
        <f>IF(E185=$AH$6,1,"")</f>
        <v/>
      </c>
      <c r="AI185" s="136">
        <f>IF(E185=$AI$6,1,"")</f>
        <v/>
      </c>
      <c r="AJ185" s="136">
        <f>IF(E185=$AJ$6,1,"")</f>
        <v/>
      </c>
      <c r="AK185" s="81">
        <f>IF(E185=$AK$6,1,"")</f>
        <v/>
      </c>
      <c r="AL185" s="81">
        <f>IF(E185=$AL$6,1,"")</f>
        <v/>
      </c>
      <c r="AM185" s="81">
        <f>IF(E185=$AM$6,1,"")</f>
        <v/>
      </c>
      <c r="AN185" s="81">
        <f>IF(E185=$AN$6,1,"")</f>
        <v/>
      </c>
      <c r="AO185" s="81">
        <f>IF(E185=$AO$6,1,"")</f>
        <v/>
      </c>
      <c r="AP185" s="81">
        <f>IF(E185=$AP$6,1,"")</f>
        <v/>
      </c>
      <c r="AQ185" s="81">
        <f>IF(E185=$AQ$6,1,"")</f>
        <v/>
      </c>
      <c r="AR185" s="81">
        <f>IF(E185=$AR$6,1,"")</f>
        <v/>
      </c>
      <c r="AS185" s="81" t="n"/>
    </row>
    <row r="186" ht="15.75" customHeight="1" s="80">
      <c r="A186" s="157" t="n"/>
      <c r="B186" s="124" t="n"/>
      <c r="C186" s="125" t="n"/>
      <c r="D186" s="126" t="n"/>
      <c r="E186" s="127" t="n"/>
      <c r="F186" s="128" t="n"/>
      <c r="G186" s="129">
        <f>IF(F186="","",ROUND(F186/60,2))</f>
        <v/>
      </c>
      <c r="H186" s="130" t="n"/>
      <c r="I186" s="131" t="n"/>
      <c r="J186" s="131">
        <f>IF(COUNTIF(B186:E186,"*")=0,"",IF(T186=1,"Invalid Service",IF(AND(V186=1,F186=""),"Add Session Mins",IF(AND(E186&gt;0,H186="",T186=""),"Enter Contract Rate",IF(AND(E186="IEP mtg, prep, rept",F186&gt;0),(G186*H186),IF(AND(E186&gt;0,F186&gt;0,H186&gt;0,I186=""),"Enter Travel",IF(AND(F186&gt;0,I186="Y"),(G186*H186)+$M$10,IF(AND(F186&gt;0,I186="N"),(G186*H186),H186))))))))</f>
        <v/>
      </c>
      <c r="K186" s="132">
        <f>J186</f>
        <v/>
      </c>
      <c r="L186" s="148" t="n"/>
      <c r="M186" s="148" t="n"/>
      <c r="N186" s="148" t="n"/>
      <c r="O186" s="87" t="n"/>
      <c r="P186" s="81" t="n"/>
      <c r="Q186" s="81" t="n"/>
      <c r="R186" s="81" t="n"/>
      <c r="S186" s="81" t="n"/>
      <c r="T186" s="136">
        <f>IF(AND(E186&gt;0,U186=0),1,"")</f>
        <v/>
      </c>
      <c r="U186" s="136">
        <f>SUM(X186:AR186)</f>
        <v/>
      </c>
      <c r="V186" s="136">
        <f>IF(E186=$Q$16,0,SUM(X186:AI186))</f>
        <v/>
      </c>
      <c r="W186" s="136">
        <f>SUM(AK186:AR186)</f>
        <v/>
      </c>
      <c r="X186" s="136">
        <f>IF(E186=$X$6,1,"")</f>
        <v/>
      </c>
      <c r="Y186" s="136">
        <f>IF(E186=$Y$6,1,"")</f>
        <v/>
      </c>
      <c r="Z186" s="136">
        <f>IF(E186=$Z$6,1,"")</f>
        <v/>
      </c>
      <c r="AA186" s="136">
        <f>IF(E186=$AA$6,1,"")</f>
        <v/>
      </c>
      <c r="AB186" s="136">
        <f>IF(E186=$AB$6,1,"")</f>
        <v/>
      </c>
      <c r="AC186" s="136">
        <f>IF(E186=$AC$6,1,"")</f>
        <v/>
      </c>
      <c r="AD186" s="136">
        <f>IF(E186=$AD$6,1,"")</f>
        <v/>
      </c>
      <c r="AE186" s="136">
        <f>IF(E186=$AE$6,1,"")</f>
        <v/>
      </c>
      <c r="AF186" s="136">
        <f>IF(E186=$AF$6,1,"")</f>
        <v/>
      </c>
      <c r="AG186" s="136">
        <f>IF(E186=$AG$6,1,"")</f>
        <v/>
      </c>
      <c r="AH186" s="136">
        <f>IF(E186=$AH$6,1,"")</f>
        <v/>
      </c>
      <c r="AI186" s="136">
        <f>IF(E186=$AI$6,1,"")</f>
        <v/>
      </c>
      <c r="AJ186" s="136">
        <f>IF(E186=$AJ$6,1,"")</f>
        <v/>
      </c>
      <c r="AK186" s="81">
        <f>IF(E186=$AK$6,1,"")</f>
        <v/>
      </c>
      <c r="AL186" s="81">
        <f>IF(E186=$AL$6,1,"")</f>
        <v/>
      </c>
      <c r="AM186" s="81">
        <f>IF(E186=$AM$6,1,"")</f>
        <v/>
      </c>
      <c r="AN186" s="81">
        <f>IF(E186=$AN$6,1,"")</f>
        <v/>
      </c>
      <c r="AO186" s="81">
        <f>IF(E186=$AO$6,1,"")</f>
        <v/>
      </c>
      <c r="AP186" s="81">
        <f>IF(E186=$AP$6,1,"")</f>
        <v/>
      </c>
      <c r="AQ186" s="81">
        <f>IF(E186=$AQ$6,1,"")</f>
        <v/>
      </c>
      <c r="AR186" s="81">
        <f>IF(E186=$AR$6,1,"")</f>
        <v/>
      </c>
      <c r="AS186" s="81" t="n"/>
    </row>
    <row r="187" ht="15.75" customHeight="1" s="80">
      <c r="A187" s="157" t="n"/>
      <c r="B187" s="124" t="n"/>
      <c r="C187" s="125" t="n"/>
      <c r="D187" s="126" t="n"/>
      <c r="E187" s="127" t="n"/>
      <c r="F187" s="128" t="n"/>
      <c r="G187" s="129">
        <f>IF(F187="","",ROUND(F187/60,2))</f>
        <v/>
      </c>
      <c r="H187" s="130" t="n"/>
      <c r="I187" s="131" t="n"/>
      <c r="J187" s="131">
        <f>IF(COUNTIF(B187:E187,"*")=0,"",IF(T187=1,"Invalid Service",IF(AND(V187=1,F187=""),"Add Session Mins",IF(AND(E187&gt;0,H187="",T187=""),"Enter Contract Rate",IF(AND(E187="IEP mtg, prep, rept",F187&gt;0),(G187*H187),IF(AND(E187&gt;0,F187&gt;0,H187&gt;0,I187=""),"Enter Travel",IF(AND(F187&gt;0,I187="Y"),(G187*H187)+$M$10,IF(AND(F187&gt;0,I187="N"),(G187*H187),H187))))))))</f>
        <v/>
      </c>
      <c r="K187" s="132">
        <f>J187</f>
        <v/>
      </c>
      <c r="L187" s="148" t="n"/>
      <c r="M187" s="148" t="n"/>
      <c r="N187" s="148" t="n"/>
      <c r="O187" s="87" t="n"/>
      <c r="P187" s="81" t="n"/>
      <c r="Q187" s="81" t="n"/>
      <c r="R187" s="81" t="n"/>
      <c r="S187" s="81" t="n"/>
      <c r="T187" s="136">
        <f>IF(AND(E187&gt;0,U187=0),1,"")</f>
        <v/>
      </c>
      <c r="U187" s="136">
        <f>SUM(X187:AR187)</f>
        <v/>
      </c>
      <c r="V187" s="136">
        <f>IF(E187=$Q$16,0,SUM(X187:AI187))</f>
        <v/>
      </c>
      <c r="W187" s="136">
        <f>SUM(AK187:AR187)</f>
        <v/>
      </c>
      <c r="X187" s="136">
        <f>IF(E187=$X$6,1,"")</f>
        <v/>
      </c>
      <c r="Y187" s="136">
        <f>IF(E187=$Y$6,1,"")</f>
        <v/>
      </c>
      <c r="Z187" s="136">
        <f>IF(E187=$Z$6,1,"")</f>
        <v/>
      </c>
      <c r="AA187" s="136">
        <f>IF(E187=$AA$6,1,"")</f>
        <v/>
      </c>
      <c r="AB187" s="136">
        <f>IF(E187=$AB$6,1,"")</f>
        <v/>
      </c>
      <c r="AC187" s="136">
        <f>IF(E187=$AC$6,1,"")</f>
        <v/>
      </c>
      <c r="AD187" s="136">
        <f>IF(E187=$AD$6,1,"")</f>
        <v/>
      </c>
      <c r="AE187" s="136">
        <f>IF(E187=$AE$6,1,"")</f>
        <v/>
      </c>
      <c r="AF187" s="136">
        <f>IF(E187=$AF$6,1,"")</f>
        <v/>
      </c>
      <c r="AG187" s="136">
        <f>IF(E187=$AG$6,1,"")</f>
        <v/>
      </c>
      <c r="AH187" s="136">
        <f>IF(E187=$AH$6,1,"")</f>
        <v/>
      </c>
      <c r="AI187" s="136">
        <f>IF(E187=$AI$6,1,"")</f>
        <v/>
      </c>
      <c r="AJ187" s="136">
        <f>IF(E187=$AJ$6,1,"")</f>
        <v/>
      </c>
      <c r="AK187" s="81">
        <f>IF(E187=$AK$6,1,"")</f>
        <v/>
      </c>
      <c r="AL187" s="81">
        <f>IF(E187=$AL$6,1,"")</f>
        <v/>
      </c>
      <c r="AM187" s="81">
        <f>IF(E187=$AM$6,1,"")</f>
        <v/>
      </c>
      <c r="AN187" s="81">
        <f>IF(E187=$AN$6,1,"")</f>
        <v/>
      </c>
      <c r="AO187" s="81">
        <f>IF(E187=$AO$6,1,"")</f>
        <v/>
      </c>
      <c r="AP187" s="81">
        <f>IF(E187=$AP$6,1,"")</f>
        <v/>
      </c>
      <c r="AQ187" s="81">
        <f>IF(E187=$AQ$6,1,"")</f>
        <v/>
      </c>
      <c r="AR187" s="81">
        <f>IF(E187=$AR$6,1,"")</f>
        <v/>
      </c>
      <c r="AS187" s="81" t="n"/>
    </row>
    <row r="188" ht="15.75" customHeight="1" s="80">
      <c r="A188" s="157" t="n"/>
      <c r="B188" s="124" t="n"/>
      <c r="C188" s="125" t="n"/>
      <c r="D188" s="126" t="n"/>
      <c r="E188" s="127" t="n"/>
      <c r="F188" s="128" t="n"/>
      <c r="G188" s="129">
        <f>IF(F188="","",ROUND(F188/60,2))</f>
        <v/>
      </c>
      <c r="H188" s="130" t="n"/>
      <c r="I188" s="131" t="n"/>
      <c r="J188" s="131">
        <f>IF(COUNTIF(B188:E188,"*")=0,"",IF(T188=1,"Invalid Service",IF(AND(V188=1,F188=""),"Add Session Mins",IF(AND(E188&gt;0,H188="",T188=""),"Enter Contract Rate",IF(AND(E188="IEP mtg, prep, rept",F188&gt;0),(G188*H188),IF(AND(E188&gt;0,F188&gt;0,H188&gt;0,I188=""),"Enter Travel",IF(AND(F188&gt;0,I188="Y"),(G188*H188)+$M$10,IF(AND(F188&gt;0,I188="N"),(G188*H188),H188))))))))</f>
        <v/>
      </c>
      <c r="K188" s="132">
        <f>J188</f>
        <v/>
      </c>
      <c r="L188" s="148" t="n"/>
      <c r="M188" s="148" t="n"/>
      <c r="N188" s="148" t="n"/>
      <c r="O188" s="87" t="n"/>
      <c r="P188" s="81" t="n"/>
      <c r="Q188" s="81" t="n"/>
      <c r="R188" s="81" t="n"/>
      <c r="S188" s="81" t="n"/>
      <c r="T188" s="136">
        <f>IF(AND(E188&gt;0,U188=0),1,"")</f>
        <v/>
      </c>
      <c r="U188" s="136">
        <f>SUM(X188:AR188)</f>
        <v/>
      </c>
      <c r="V188" s="136">
        <f>IF(E188=$Q$16,0,SUM(X188:AI188))</f>
        <v/>
      </c>
      <c r="W188" s="136">
        <f>SUM(AK188:AR188)</f>
        <v/>
      </c>
      <c r="X188" s="136">
        <f>IF(E188=$X$6,1,"")</f>
        <v/>
      </c>
      <c r="Y188" s="136">
        <f>IF(E188=$Y$6,1,"")</f>
        <v/>
      </c>
      <c r="Z188" s="136">
        <f>IF(E188=$Z$6,1,"")</f>
        <v/>
      </c>
      <c r="AA188" s="136">
        <f>IF(E188=$AA$6,1,"")</f>
        <v/>
      </c>
      <c r="AB188" s="136">
        <f>IF(E188=$AB$6,1,"")</f>
        <v/>
      </c>
      <c r="AC188" s="136">
        <f>IF(E188=$AC$6,1,"")</f>
        <v/>
      </c>
      <c r="AD188" s="136">
        <f>IF(E188=$AD$6,1,"")</f>
        <v/>
      </c>
      <c r="AE188" s="136">
        <f>IF(E188=$AE$6,1,"")</f>
        <v/>
      </c>
      <c r="AF188" s="136">
        <f>IF(E188=$AF$6,1,"")</f>
        <v/>
      </c>
      <c r="AG188" s="136">
        <f>IF(E188=$AG$6,1,"")</f>
        <v/>
      </c>
      <c r="AH188" s="136">
        <f>IF(E188=$AH$6,1,"")</f>
        <v/>
      </c>
      <c r="AI188" s="136">
        <f>IF(E188=$AI$6,1,"")</f>
        <v/>
      </c>
      <c r="AJ188" s="136">
        <f>IF(E188=$AJ$6,1,"")</f>
        <v/>
      </c>
      <c r="AK188" s="81">
        <f>IF(E188=$AK$6,1,"")</f>
        <v/>
      </c>
      <c r="AL188" s="81">
        <f>IF(E188=$AL$6,1,"")</f>
        <v/>
      </c>
      <c r="AM188" s="81">
        <f>IF(E188=$AM$6,1,"")</f>
        <v/>
      </c>
      <c r="AN188" s="81">
        <f>IF(E188=$AN$6,1,"")</f>
        <v/>
      </c>
      <c r="AO188" s="81">
        <f>IF(E188=$AO$6,1,"")</f>
        <v/>
      </c>
      <c r="AP188" s="81">
        <f>IF(E188=$AP$6,1,"")</f>
        <v/>
      </c>
      <c r="AQ188" s="81">
        <f>IF(E188=$AQ$6,1,"")</f>
        <v/>
      </c>
      <c r="AR188" s="81">
        <f>IF(E188=$AR$6,1,"")</f>
        <v/>
      </c>
      <c r="AS188" s="81" t="n"/>
    </row>
    <row r="189" ht="15.75" customHeight="1" s="80">
      <c r="A189" s="157" t="n"/>
      <c r="B189" s="124" t="n"/>
      <c r="C189" s="125" t="n"/>
      <c r="D189" s="126" t="n"/>
      <c r="E189" s="127" t="n"/>
      <c r="F189" s="128" t="n"/>
      <c r="G189" s="129">
        <f>IF(F189="","",ROUND(F189/60,2))</f>
        <v/>
      </c>
      <c r="H189" s="130" t="n"/>
      <c r="I189" s="131" t="n"/>
      <c r="J189" s="131">
        <f>IF(COUNTIF(B189:E189,"*")=0,"",IF(T189=1,"Invalid Service",IF(AND(V189=1,F189=""),"Add Session Mins",IF(AND(E189&gt;0,H189="",T189=""),"Enter Contract Rate",IF(AND(E189="IEP mtg, prep, rept",F189&gt;0),(G189*H189),IF(AND(E189&gt;0,F189&gt;0,H189&gt;0,I189=""),"Enter Travel",IF(AND(F189&gt;0,I189="Y"),(G189*H189)+$M$10,IF(AND(F189&gt;0,I189="N"),(G189*H189),H189))))))))</f>
        <v/>
      </c>
      <c r="K189" s="132">
        <f>J189</f>
        <v/>
      </c>
      <c r="L189" s="148" t="n"/>
      <c r="M189" s="148" t="n"/>
      <c r="N189" s="148" t="n"/>
      <c r="O189" s="87" t="n"/>
      <c r="P189" s="81" t="n"/>
      <c r="Q189" s="81" t="n"/>
      <c r="R189" s="81" t="n"/>
      <c r="S189" s="81" t="n"/>
      <c r="T189" s="136">
        <f>IF(AND(E189&gt;0,U189=0),1,"")</f>
        <v/>
      </c>
      <c r="U189" s="136">
        <f>SUM(X189:AR189)</f>
        <v/>
      </c>
      <c r="V189" s="136">
        <f>IF(E189=$Q$16,0,SUM(X189:AI189))</f>
        <v/>
      </c>
      <c r="W189" s="136">
        <f>SUM(AK189:AR189)</f>
        <v/>
      </c>
      <c r="X189" s="136">
        <f>IF(E189=$X$6,1,"")</f>
        <v/>
      </c>
      <c r="Y189" s="136">
        <f>IF(E189=$Y$6,1,"")</f>
        <v/>
      </c>
      <c r="Z189" s="136">
        <f>IF(E189=$Z$6,1,"")</f>
        <v/>
      </c>
      <c r="AA189" s="136">
        <f>IF(E189=$AA$6,1,"")</f>
        <v/>
      </c>
      <c r="AB189" s="136">
        <f>IF(E189=$AB$6,1,"")</f>
        <v/>
      </c>
      <c r="AC189" s="136">
        <f>IF(E189=$AC$6,1,"")</f>
        <v/>
      </c>
      <c r="AD189" s="136">
        <f>IF(E189=$AD$6,1,"")</f>
        <v/>
      </c>
      <c r="AE189" s="136">
        <f>IF(E189=$AE$6,1,"")</f>
        <v/>
      </c>
      <c r="AF189" s="136">
        <f>IF(E189=$AF$6,1,"")</f>
        <v/>
      </c>
      <c r="AG189" s="136">
        <f>IF(E189=$AG$6,1,"")</f>
        <v/>
      </c>
      <c r="AH189" s="136">
        <f>IF(E189=$AH$6,1,"")</f>
        <v/>
      </c>
      <c r="AI189" s="136">
        <f>IF(E189=$AI$6,1,"")</f>
        <v/>
      </c>
      <c r="AJ189" s="136">
        <f>IF(E189=$AJ$6,1,"")</f>
        <v/>
      </c>
      <c r="AK189" s="81">
        <f>IF(E189=$AK$6,1,"")</f>
        <v/>
      </c>
      <c r="AL189" s="81">
        <f>IF(E189=$AL$6,1,"")</f>
        <v/>
      </c>
      <c r="AM189" s="81">
        <f>IF(E189=$AM$6,1,"")</f>
        <v/>
      </c>
      <c r="AN189" s="81">
        <f>IF(E189=$AN$6,1,"")</f>
        <v/>
      </c>
      <c r="AO189" s="81">
        <f>IF(E189=$AO$6,1,"")</f>
        <v/>
      </c>
      <c r="AP189" s="81">
        <f>IF(E189=$AP$6,1,"")</f>
        <v/>
      </c>
      <c r="AQ189" s="81">
        <f>IF(E189=$AQ$6,1,"")</f>
        <v/>
      </c>
      <c r="AR189" s="81">
        <f>IF(E189=$AR$6,1,"")</f>
        <v/>
      </c>
      <c r="AS189" s="81" t="n"/>
    </row>
    <row r="190" ht="15.75" customHeight="1" s="80">
      <c r="A190" s="157" t="n"/>
      <c r="B190" s="124" t="n"/>
      <c r="C190" s="125" t="n"/>
      <c r="D190" s="126" t="n"/>
      <c r="E190" s="127" t="n"/>
      <c r="F190" s="128" t="n"/>
      <c r="G190" s="129">
        <f>IF(F190="","",ROUND(F190/60,2))</f>
        <v/>
      </c>
      <c r="H190" s="130" t="n"/>
      <c r="I190" s="131" t="n"/>
      <c r="J190" s="131">
        <f>IF(COUNTIF(B190:E190,"*")=0,"",IF(T190=1,"Invalid Service",IF(AND(V190=1,F190=""),"Add Session Mins",IF(AND(E190&gt;0,H190="",T190=""),"Enter Contract Rate",IF(AND(E190="IEP mtg, prep, rept",F190&gt;0),(G190*H190),IF(AND(E190&gt;0,F190&gt;0,H190&gt;0,I190=""),"Enter Travel",IF(AND(F190&gt;0,I190="Y"),(G190*H190)+$M$10,IF(AND(F190&gt;0,I190="N"),(G190*H190),H190))))))))</f>
        <v/>
      </c>
      <c r="K190" s="132">
        <f>J190</f>
        <v/>
      </c>
      <c r="L190" s="148" t="n"/>
      <c r="M190" s="148" t="n"/>
      <c r="N190" s="148" t="n"/>
      <c r="O190" s="87" t="n"/>
      <c r="P190" s="81" t="n"/>
      <c r="Q190" s="81" t="n"/>
      <c r="R190" s="81" t="n"/>
      <c r="S190" s="81" t="n"/>
      <c r="T190" s="136">
        <f>IF(AND(E190&gt;0,U190=0),1,"")</f>
        <v/>
      </c>
      <c r="U190" s="136">
        <f>SUM(X190:AR190)</f>
        <v/>
      </c>
      <c r="V190" s="136">
        <f>IF(E190=$Q$16,0,SUM(X190:AI190))</f>
        <v/>
      </c>
      <c r="W190" s="136">
        <f>SUM(AK190:AR190)</f>
        <v/>
      </c>
      <c r="X190" s="136">
        <f>IF(E190=$X$6,1,"")</f>
        <v/>
      </c>
      <c r="Y190" s="136">
        <f>IF(E190=$Y$6,1,"")</f>
        <v/>
      </c>
      <c r="Z190" s="136">
        <f>IF(E190=$Z$6,1,"")</f>
        <v/>
      </c>
      <c r="AA190" s="136">
        <f>IF(E190=$AA$6,1,"")</f>
        <v/>
      </c>
      <c r="AB190" s="136">
        <f>IF(E190=$AB$6,1,"")</f>
        <v/>
      </c>
      <c r="AC190" s="136">
        <f>IF(E190=$AC$6,1,"")</f>
        <v/>
      </c>
      <c r="AD190" s="136">
        <f>IF(E190=$AD$6,1,"")</f>
        <v/>
      </c>
      <c r="AE190" s="136">
        <f>IF(E190=$AE$6,1,"")</f>
        <v/>
      </c>
      <c r="AF190" s="136">
        <f>IF(E190=$AF$6,1,"")</f>
        <v/>
      </c>
      <c r="AG190" s="136">
        <f>IF(E190=$AG$6,1,"")</f>
        <v/>
      </c>
      <c r="AH190" s="136">
        <f>IF(E190=$AH$6,1,"")</f>
        <v/>
      </c>
      <c r="AI190" s="136">
        <f>IF(E190=$AI$6,1,"")</f>
        <v/>
      </c>
      <c r="AJ190" s="136">
        <f>IF(E190=$AJ$6,1,"")</f>
        <v/>
      </c>
      <c r="AK190" s="81">
        <f>IF(E190=$AK$6,1,"")</f>
        <v/>
      </c>
      <c r="AL190" s="81">
        <f>IF(E190=$AL$6,1,"")</f>
        <v/>
      </c>
      <c r="AM190" s="81">
        <f>IF(E190=$AM$6,1,"")</f>
        <v/>
      </c>
      <c r="AN190" s="81">
        <f>IF(E190=$AN$6,1,"")</f>
        <v/>
      </c>
      <c r="AO190" s="81">
        <f>IF(E190=$AO$6,1,"")</f>
        <v/>
      </c>
      <c r="AP190" s="81">
        <f>IF(E190=$AP$6,1,"")</f>
        <v/>
      </c>
      <c r="AQ190" s="81">
        <f>IF(E190=$AQ$6,1,"")</f>
        <v/>
      </c>
      <c r="AR190" s="81">
        <f>IF(E190=$AR$6,1,"")</f>
        <v/>
      </c>
      <c r="AS190" s="81" t="n"/>
    </row>
    <row r="191" ht="15.75" customHeight="1" s="80">
      <c r="A191" s="157" t="n"/>
      <c r="B191" s="124" t="n"/>
      <c r="C191" s="125" t="n"/>
      <c r="D191" s="126" t="n"/>
      <c r="E191" s="127" t="n"/>
      <c r="F191" s="128" t="n"/>
      <c r="G191" s="129">
        <f>IF(F191="","",ROUND(F191/60,2))</f>
        <v/>
      </c>
      <c r="H191" s="130" t="n"/>
      <c r="I191" s="131" t="n"/>
      <c r="J191" s="131">
        <f>IF(COUNTIF(B191:E191,"*")=0,"",IF(T191=1,"Invalid Service",IF(AND(V191=1,F191=""),"Add Session Mins",IF(AND(E191&gt;0,H191="",T191=""),"Enter Contract Rate",IF(AND(E191="IEP mtg, prep, rept",F191&gt;0),(G191*H191),IF(AND(E191&gt;0,F191&gt;0,H191&gt;0,I191=""),"Enter Travel",IF(AND(F191&gt;0,I191="Y"),(G191*H191)+$M$10,IF(AND(F191&gt;0,I191="N"),(G191*H191),H191))))))))</f>
        <v/>
      </c>
      <c r="K191" s="132">
        <f>J191</f>
        <v/>
      </c>
      <c r="L191" s="148" t="n"/>
      <c r="M191" s="148" t="n"/>
      <c r="N191" s="148" t="n"/>
      <c r="O191" s="87" t="n"/>
      <c r="P191" s="81" t="n"/>
      <c r="Q191" s="81" t="n"/>
      <c r="R191" s="81" t="n"/>
      <c r="S191" s="81" t="n"/>
      <c r="T191" s="136">
        <f>IF(AND(E191&gt;0,U191=0),1,"")</f>
        <v/>
      </c>
      <c r="U191" s="136">
        <f>SUM(X191:AR191)</f>
        <v/>
      </c>
      <c r="V191" s="136">
        <f>IF(E191=$Q$16,0,SUM(X191:AI191))</f>
        <v/>
      </c>
      <c r="W191" s="136">
        <f>SUM(AK191:AR191)</f>
        <v/>
      </c>
      <c r="X191" s="136">
        <f>IF(E191=$X$6,1,"")</f>
        <v/>
      </c>
      <c r="Y191" s="136">
        <f>IF(E191=$Y$6,1,"")</f>
        <v/>
      </c>
      <c r="Z191" s="136">
        <f>IF(E191=$Z$6,1,"")</f>
        <v/>
      </c>
      <c r="AA191" s="136">
        <f>IF(E191=$AA$6,1,"")</f>
        <v/>
      </c>
      <c r="AB191" s="136">
        <f>IF(E191=$AB$6,1,"")</f>
        <v/>
      </c>
      <c r="AC191" s="136">
        <f>IF(E191=$AC$6,1,"")</f>
        <v/>
      </c>
      <c r="AD191" s="136">
        <f>IF(E191=$AD$6,1,"")</f>
        <v/>
      </c>
      <c r="AE191" s="136">
        <f>IF(E191=$AE$6,1,"")</f>
        <v/>
      </c>
      <c r="AF191" s="136">
        <f>IF(E191=$AF$6,1,"")</f>
        <v/>
      </c>
      <c r="AG191" s="136">
        <f>IF(E191=$AG$6,1,"")</f>
        <v/>
      </c>
      <c r="AH191" s="136">
        <f>IF(E191=$AH$6,1,"")</f>
        <v/>
      </c>
      <c r="AI191" s="136">
        <f>IF(E191=$AI$6,1,"")</f>
        <v/>
      </c>
      <c r="AJ191" s="136">
        <f>IF(E191=$AJ$6,1,"")</f>
        <v/>
      </c>
      <c r="AK191" s="81">
        <f>IF(E191=$AK$6,1,"")</f>
        <v/>
      </c>
      <c r="AL191" s="81">
        <f>IF(E191=$AL$6,1,"")</f>
        <v/>
      </c>
      <c r="AM191" s="81">
        <f>IF(E191=$AM$6,1,"")</f>
        <v/>
      </c>
      <c r="AN191" s="81">
        <f>IF(E191=$AN$6,1,"")</f>
        <v/>
      </c>
      <c r="AO191" s="81">
        <f>IF(E191=$AO$6,1,"")</f>
        <v/>
      </c>
      <c r="AP191" s="81">
        <f>IF(E191=$AP$6,1,"")</f>
        <v/>
      </c>
      <c r="AQ191" s="81">
        <f>IF(E191=$AQ$6,1,"")</f>
        <v/>
      </c>
      <c r="AR191" s="81">
        <f>IF(E191=$AR$6,1,"")</f>
        <v/>
      </c>
      <c r="AS191" s="81" t="n"/>
    </row>
    <row r="192" ht="15.75" customHeight="1" s="80">
      <c r="A192" s="157" t="n"/>
      <c r="B192" s="124" t="n"/>
      <c r="C192" s="125" t="n"/>
      <c r="D192" s="126" t="n"/>
      <c r="E192" s="127" t="n"/>
      <c r="F192" s="128" t="n"/>
      <c r="G192" s="129">
        <f>IF(F192="","",ROUND(F192/60,2))</f>
        <v/>
      </c>
      <c r="H192" s="130" t="n"/>
      <c r="I192" s="131" t="n"/>
      <c r="J192" s="131">
        <f>IF(COUNTIF(B192:E192,"*")=0,"",IF(T192=1,"Invalid Service",IF(AND(V192=1,F192=""),"Add Session Mins",IF(AND(E192&gt;0,H192="",T192=""),"Enter Contract Rate",IF(AND(E192="IEP mtg, prep, rept",F192&gt;0),(G192*H192),IF(AND(E192&gt;0,F192&gt;0,H192&gt;0,I192=""),"Enter Travel",IF(AND(F192&gt;0,I192="Y"),(G192*H192)+$M$10,IF(AND(F192&gt;0,I192="N"),(G192*H192),H192))))))))</f>
        <v/>
      </c>
      <c r="K192" s="132">
        <f>J192</f>
        <v/>
      </c>
      <c r="L192" s="148" t="n"/>
      <c r="M192" s="148" t="n"/>
      <c r="N192" s="148" t="n"/>
      <c r="O192" s="87" t="n"/>
      <c r="P192" s="81" t="n"/>
      <c r="Q192" s="81" t="n"/>
      <c r="R192" s="81" t="n"/>
      <c r="S192" s="81" t="n"/>
      <c r="T192" s="136">
        <f>IF(AND(E192&gt;0,U192=0),1,"")</f>
        <v/>
      </c>
      <c r="U192" s="136">
        <f>SUM(X192:AR192)</f>
        <v/>
      </c>
      <c r="V192" s="136">
        <f>IF(E192=$Q$16,0,SUM(X192:AI192))</f>
        <v/>
      </c>
      <c r="W192" s="136">
        <f>SUM(AK192:AR192)</f>
        <v/>
      </c>
      <c r="X192" s="136">
        <f>IF(E192=$X$6,1,"")</f>
        <v/>
      </c>
      <c r="Y192" s="136">
        <f>IF(E192=$Y$6,1,"")</f>
        <v/>
      </c>
      <c r="Z192" s="136">
        <f>IF(E192=$Z$6,1,"")</f>
        <v/>
      </c>
      <c r="AA192" s="136">
        <f>IF(E192=$AA$6,1,"")</f>
        <v/>
      </c>
      <c r="AB192" s="136">
        <f>IF(E192=$AB$6,1,"")</f>
        <v/>
      </c>
      <c r="AC192" s="136">
        <f>IF(E192=$AC$6,1,"")</f>
        <v/>
      </c>
      <c r="AD192" s="136">
        <f>IF(E192=$AD$6,1,"")</f>
        <v/>
      </c>
      <c r="AE192" s="136">
        <f>IF(E192=$AE$6,1,"")</f>
        <v/>
      </c>
      <c r="AF192" s="136">
        <f>IF(E192=$AF$6,1,"")</f>
        <v/>
      </c>
      <c r="AG192" s="136">
        <f>IF(E192=$AG$6,1,"")</f>
        <v/>
      </c>
      <c r="AH192" s="136">
        <f>IF(E192=$AH$6,1,"")</f>
        <v/>
      </c>
      <c r="AI192" s="136">
        <f>IF(E192=$AI$6,1,"")</f>
        <v/>
      </c>
      <c r="AJ192" s="136">
        <f>IF(E192=$AJ$6,1,"")</f>
        <v/>
      </c>
      <c r="AK192" s="81">
        <f>IF(E192=$AK$6,1,"")</f>
        <v/>
      </c>
      <c r="AL192" s="81">
        <f>IF(E192=$AL$6,1,"")</f>
        <v/>
      </c>
      <c r="AM192" s="81">
        <f>IF(E192=$AM$6,1,"")</f>
        <v/>
      </c>
      <c r="AN192" s="81">
        <f>IF(E192=$AN$6,1,"")</f>
        <v/>
      </c>
      <c r="AO192" s="81">
        <f>IF(E192=$AO$6,1,"")</f>
        <v/>
      </c>
      <c r="AP192" s="81">
        <f>IF(E192=$AP$6,1,"")</f>
        <v/>
      </c>
      <c r="AQ192" s="81">
        <f>IF(E192=$AQ$6,1,"")</f>
        <v/>
      </c>
      <c r="AR192" s="81">
        <f>IF(E192=$AR$6,1,"")</f>
        <v/>
      </c>
      <c r="AS192" s="81" t="n"/>
    </row>
    <row r="193" ht="15.75" customHeight="1" s="80">
      <c r="A193" s="157" t="n"/>
      <c r="B193" s="124" t="n"/>
      <c r="C193" s="125" t="n"/>
      <c r="D193" s="126" t="n"/>
      <c r="E193" s="127" t="n"/>
      <c r="F193" s="128" t="n"/>
      <c r="G193" s="129">
        <f>IF(F193="","",ROUND(F193/60,2))</f>
        <v/>
      </c>
      <c r="H193" s="130" t="n"/>
      <c r="I193" s="131" t="n"/>
      <c r="J193" s="131">
        <f>IF(COUNTIF(B193:E193,"*")=0,"",IF(T193=1,"Invalid Service",IF(AND(V193=1,F193=""),"Add Session Mins",IF(AND(E193&gt;0,H193="",T193=""),"Enter Contract Rate",IF(AND(E193="IEP mtg, prep, rept",F193&gt;0),(G193*H193),IF(AND(E193&gt;0,F193&gt;0,H193&gt;0,I193=""),"Enter Travel",IF(AND(F193&gt;0,I193="Y"),(G193*H193)+$M$10,IF(AND(F193&gt;0,I193="N"),(G193*H193),H193))))))))</f>
        <v/>
      </c>
      <c r="K193" s="132">
        <f>J193</f>
        <v/>
      </c>
      <c r="L193" s="148" t="n"/>
      <c r="M193" s="148" t="n"/>
      <c r="N193" s="148" t="n"/>
      <c r="O193" s="87" t="n"/>
      <c r="P193" s="81" t="n"/>
      <c r="Q193" s="81" t="n"/>
      <c r="R193" s="81" t="n"/>
      <c r="S193" s="81" t="n"/>
      <c r="T193" s="136">
        <f>IF(AND(E193&gt;0,U193=0),1,"")</f>
        <v/>
      </c>
      <c r="U193" s="136">
        <f>SUM(X193:AR193)</f>
        <v/>
      </c>
      <c r="V193" s="136">
        <f>IF(E193=$Q$16,0,SUM(X193:AI193))</f>
        <v/>
      </c>
      <c r="W193" s="136">
        <f>SUM(AK193:AR193)</f>
        <v/>
      </c>
      <c r="X193" s="136">
        <f>IF(E193=$X$6,1,"")</f>
        <v/>
      </c>
      <c r="Y193" s="136">
        <f>IF(E193=$Y$6,1,"")</f>
        <v/>
      </c>
      <c r="Z193" s="136">
        <f>IF(E193=$Z$6,1,"")</f>
        <v/>
      </c>
      <c r="AA193" s="136">
        <f>IF(E193=$AA$6,1,"")</f>
        <v/>
      </c>
      <c r="AB193" s="136">
        <f>IF(E193=$AB$6,1,"")</f>
        <v/>
      </c>
      <c r="AC193" s="136">
        <f>IF(E193=$AC$6,1,"")</f>
        <v/>
      </c>
      <c r="AD193" s="136">
        <f>IF(E193=$AD$6,1,"")</f>
        <v/>
      </c>
      <c r="AE193" s="136">
        <f>IF(E193=$AE$6,1,"")</f>
        <v/>
      </c>
      <c r="AF193" s="136">
        <f>IF(E193=$AF$6,1,"")</f>
        <v/>
      </c>
      <c r="AG193" s="136">
        <f>IF(E193=$AG$6,1,"")</f>
        <v/>
      </c>
      <c r="AH193" s="136">
        <f>IF(E193=$AH$6,1,"")</f>
        <v/>
      </c>
      <c r="AI193" s="136">
        <f>IF(E193=$AI$6,1,"")</f>
        <v/>
      </c>
      <c r="AJ193" s="136">
        <f>IF(E193=$AJ$6,1,"")</f>
        <v/>
      </c>
      <c r="AK193" s="81">
        <f>IF(E193=$AK$6,1,"")</f>
        <v/>
      </c>
      <c r="AL193" s="81">
        <f>IF(E193=$AL$6,1,"")</f>
        <v/>
      </c>
      <c r="AM193" s="81">
        <f>IF(E193=$AM$6,1,"")</f>
        <v/>
      </c>
      <c r="AN193" s="81">
        <f>IF(E193=$AN$6,1,"")</f>
        <v/>
      </c>
      <c r="AO193" s="81">
        <f>IF(E193=$AO$6,1,"")</f>
        <v/>
      </c>
      <c r="AP193" s="81">
        <f>IF(E193=$AP$6,1,"")</f>
        <v/>
      </c>
      <c r="AQ193" s="81">
        <f>IF(E193=$AQ$6,1,"")</f>
        <v/>
      </c>
      <c r="AR193" s="81">
        <f>IF(E193=$AR$6,1,"")</f>
        <v/>
      </c>
      <c r="AS193" s="81" t="n"/>
    </row>
    <row r="194" ht="15.75" customHeight="1" s="80">
      <c r="A194" s="157" t="n"/>
      <c r="B194" s="124" t="n"/>
      <c r="C194" s="125" t="n"/>
      <c r="D194" s="126" t="n"/>
      <c r="E194" s="127" t="n"/>
      <c r="F194" s="128" t="n"/>
      <c r="G194" s="129">
        <f>IF(F194="","",ROUND(F194/60,2))</f>
        <v/>
      </c>
      <c r="H194" s="130" t="n"/>
      <c r="I194" s="131" t="n"/>
      <c r="J194" s="131">
        <f>IF(COUNTIF(B194:E194,"*")=0,"",IF(T194=1,"Invalid Service",IF(AND(V194=1,F194=""),"Add Session Mins",IF(AND(E194&gt;0,H194="",T194=""),"Enter Contract Rate",IF(AND(E194="IEP mtg, prep, rept",F194&gt;0),(G194*H194),IF(AND(E194&gt;0,F194&gt;0,H194&gt;0,I194=""),"Enter Travel",IF(AND(F194&gt;0,I194="Y"),(G194*H194)+$M$10,IF(AND(F194&gt;0,I194="N"),(G194*H194),H194))))))))</f>
        <v/>
      </c>
      <c r="K194" s="132">
        <f>J194</f>
        <v/>
      </c>
      <c r="L194" s="148" t="n"/>
      <c r="M194" s="148" t="n"/>
      <c r="N194" s="148" t="n"/>
      <c r="O194" s="87" t="n"/>
      <c r="P194" s="81" t="n"/>
      <c r="Q194" s="81" t="n"/>
      <c r="R194" s="81" t="n"/>
      <c r="S194" s="81" t="n"/>
      <c r="T194" s="136">
        <f>IF(AND(E194&gt;0,U194=0),1,"")</f>
        <v/>
      </c>
      <c r="U194" s="136">
        <f>SUM(X194:AR194)</f>
        <v/>
      </c>
      <c r="V194" s="136">
        <f>IF(E194=$Q$16,0,SUM(X194:AI194))</f>
        <v/>
      </c>
      <c r="W194" s="136">
        <f>SUM(AK194:AR194)</f>
        <v/>
      </c>
      <c r="X194" s="136">
        <f>IF(E194=$X$6,1,"")</f>
        <v/>
      </c>
      <c r="Y194" s="136">
        <f>IF(E194=$Y$6,1,"")</f>
        <v/>
      </c>
      <c r="Z194" s="136">
        <f>IF(E194=$Z$6,1,"")</f>
        <v/>
      </c>
      <c r="AA194" s="136">
        <f>IF(E194=$AA$6,1,"")</f>
        <v/>
      </c>
      <c r="AB194" s="136">
        <f>IF(E194=$AB$6,1,"")</f>
        <v/>
      </c>
      <c r="AC194" s="136">
        <f>IF(E194=$AC$6,1,"")</f>
        <v/>
      </c>
      <c r="AD194" s="136">
        <f>IF(E194=$AD$6,1,"")</f>
        <v/>
      </c>
      <c r="AE194" s="136">
        <f>IF(E194=$AE$6,1,"")</f>
        <v/>
      </c>
      <c r="AF194" s="136">
        <f>IF(E194=$AF$6,1,"")</f>
        <v/>
      </c>
      <c r="AG194" s="136">
        <f>IF(E194=$AG$6,1,"")</f>
        <v/>
      </c>
      <c r="AH194" s="136">
        <f>IF(E194=$AH$6,1,"")</f>
        <v/>
      </c>
      <c r="AI194" s="136">
        <f>IF(E194=$AI$6,1,"")</f>
        <v/>
      </c>
      <c r="AJ194" s="136">
        <f>IF(E194=$AJ$6,1,"")</f>
        <v/>
      </c>
      <c r="AK194" s="81">
        <f>IF(E194=$AK$6,1,"")</f>
        <v/>
      </c>
      <c r="AL194" s="81">
        <f>IF(E194=$AL$6,1,"")</f>
        <v/>
      </c>
      <c r="AM194" s="81">
        <f>IF(E194=$AM$6,1,"")</f>
        <v/>
      </c>
      <c r="AN194" s="81">
        <f>IF(E194=$AN$6,1,"")</f>
        <v/>
      </c>
      <c r="AO194" s="81">
        <f>IF(E194=$AO$6,1,"")</f>
        <v/>
      </c>
      <c r="AP194" s="81">
        <f>IF(E194=$AP$6,1,"")</f>
        <v/>
      </c>
      <c r="AQ194" s="81">
        <f>IF(E194=$AQ$6,1,"")</f>
        <v/>
      </c>
      <c r="AR194" s="81">
        <f>IF(E194=$AR$6,1,"")</f>
        <v/>
      </c>
      <c r="AS194" s="81" t="n"/>
    </row>
    <row r="195" ht="15.75" customHeight="1" s="80">
      <c r="A195" s="157" t="n"/>
      <c r="B195" s="124" t="n"/>
      <c r="C195" s="125" t="n"/>
      <c r="D195" s="126" t="n"/>
      <c r="E195" s="127" t="n"/>
      <c r="F195" s="128" t="n"/>
      <c r="G195" s="129">
        <f>IF(F195="","",ROUND(F195/60,2))</f>
        <v/>
      </c>
      <c r="H195" s="130" t="n"/>
      <c r="I195" s="131" t="n"/>
      <c r="J195" s="131">
        <f>IF(COUNTIF(B195:E195,"*")=0,"",IF(T195=1,"Invalid Service",IF(AND(V195=1,F195=""),"Add Session Mins",IF(AND(E195&gt;0,H195="",T195=""),"Enter Contract Rate",IF(AND(E195="IEP mtg, prep, rept",F195&gt;0),(G195*H195),IF(AND(E195&gt;0,F195&gt;0,H195&gt;0,I195=""),"Enter Travel",IF(AND(F195&gt;0,I195="Y"),(G195*H195)+$M$10,IF(AND(F195&gt;0,I195="N"),(G195*H195),H195))))))))</f>
        <v/>
      </c>
      <c r="K195" s="132">
        <f>J195</f>
        <v/>
      </c>
      <c r="L195" s="148" t="n"/>
      <c r="M195" s="148" t="n"/>
      <c r="N195" s="148" t="n"/>
      <c r="O195" s="87" t="n"/>
      <c r="P195" s="81" t="n"/>
      <c r="Q195" s="81" t="n"/>
      <c r="R195" s="81" t="n"/>
      <c r="S195" s="81" t="n"/>
      <c r="T195" s="136">
        <f>IF(AND(E195&gt;0,U195=0),1,"")</f>
        <v/>
      </c>
      <c r="U195" s="136">
        <f>SUM(X195:AR195)</f>
        <v/>
      </c>
      <c r="V195" s="136">
        <f>IF(E195=$Q$16,0,SUM(X195:AI195))</f>
        <v/>
      </c>
      <c r="W195" s="136">
        <f>SUM(AK195:AR195)</f>
        <v/>
      </c>
      <c r="X195" s="136">
        <f>IF(E195=$X$6,1,"")</f>
        <v/>
      </c>
      <c r="Y195" s="136">
        <f>IF(E195=$Y$6,1,"")</f>
        <v/>
      </c>
      <c r="Z195" s="136">
        <f>IF(E195=$Z$6,1,"")</f>
        <v/>
      </c>
      <c r="AA195" s="136">
        <f>IF(E195=$AA$6,1,"")</f>
        <v/>
      </c>
      <c r="AB195" s="136">
        <f>IF(E195=$AB$6,1,"")</f>
        <v/>
      </c>
      <c r="AC195" s="136">
        <f>IF(E195=$AC$6,1,"")</f>
        <v/>
      </c>
      <c r="AD195" s="136">
        <f>IF(E195=$AD$6,1,"")</f>
        <v/>
      </c>
      <c r="AE195" s="136">
        <f>IF(E195=$AE$6,1,"")</f>
        <v/>
      </c>
      <c r="AF195" s="136">
        <f>IF(E195=$AF$6,1,"")</f>
        <v/>
      </c>
      <c r="AG195" s="136">
        <f>IF(E195=$AG$6,1,"")</f>
        <v/>
      </c>
      <c r="AH195" s="136">
        <f>IF(E195=$AH$6,1,"")</f>
        <v/>
      </c>
      <c r="AI195" s="136">
        <f>IF(E195=$AI$6,1,"")</f>
        <v/>
      </c>
      <c r="AJ195" s="136">
        <f>IF(E195=$AJ$6,1,"")</f>
        <v/>
      </c>
      <c r="AK195" s="81">
        <f>IF(E195=$AK$6,1,"")</f>
        <v/>
      </c>
      <c r="AL195" s="81">
        <f>IF(E195=$AL$6,1,"")</f>
        <v/>
      </c>
      <c r="AM195" s="81">
        <f>IF(E195=$AM$6,1,"")</f>
        <v/>
      </c>
      <c r="AN195" s="81">
        <f>IF(E195=$AN$6,1,"")</f>
        <v/>
      </c>
      <c r="AO195" s="81">
        <f>IF(E195=$AO$6,1,"")</f>
        <v/>
      </c>
      <c r="AP195" s="81">
        <f>IF(E195=$AP$6,1,"")</f>
        <v/>
      </c>
      <c r="AQ195" s="81">
        <f>IF(E195=$AQ$6,1,"")</f>
        <v/>
      </c>
      <c r="AR195" s="81">
        <f>IF(E195=$AR$6,1,"")</f>
        <v/>
      </c>
      <c r="AS195" s="81" t="n"/>
    </row>
    <row r="196" ht="15.75" customHeight="1" s="80">
      <c r="A196" s="157" t="n"/>
      <c r="B196" s="124" t="n"/>
      <c r="C196" s="125" t="n"/>
      <c r="D196" s="126" t="n"/>
      <c r="E196" s="127" t="n"/>
      <c r="F196" s="128" t="n"/>
      <c r="G196" s="129">
        <f>IF(F196="","",ROUND(F196/60,2))</f>
        <v/>
      </c>
      <c r="H196" s="130" t="n"/>
      <c r="I196" s="131" t="n"/>
      <c r="J196" s="131">
        <f>IF(COUNTIF(B196:E196,"*")=0,"",IF(T196=1,"Invalid Service",IF(AND(V196=1,F196=""),"Add Session Mins",IF(AND(E196&gt;0,H196="",T196=""),"Enter Contract Rate",IF(AND(E196="IEP mtg, prep, rept",F196&gt;0),(G196*H196),IF(AND(E196&gt;0,F196&gt;0,H196&gt;0,I196=""),"Enter Travel",IF(AND(F196&gt;0,I196="Y"),(G196*H196)+$M$10,IF(AND(F196&gt;0,I196="N"),(G196*H196),H196))))))))</f>
        <v/>
      </c>
      <c r="K196" s="132">
        <f>J196</f>
        <v/>
      </c>
      <c r="L196" s="148" t="n"/>
      <c r="M196" s="148" t="n"/>
      <c r="N196" s="148" t="n"/>
      <c r="O196" s="87" t="n"/>
      <c r="P196" s="81" t="n"/>
      <c r="Q196" s="81" t="n"/>
      <c r="R196" s="81" t="n"/>
      <c r="S196" s="81" t="n"/>
      <c r="T196" s="136">
        <f>IF(AND(E196&gt;0,U196=0),1,"")</f>
        <v/>
      </c>
      <c r="U196" s="136">
        <f>SUM(X196:AR196)</f>
        <v/>
      </c>
      <c r="V196" s="136">
        <f>IF(E196=$Q$16,0,SUM(X196:AI196))</f>
        <v/>
      </c>
      <c r="W196" s="136">
        <f>SUM(AK196:AR196)</f>
        <v/>
      </c>
      <c r="X196" s="136">
        <f>IF(E196=$X$6,1,"")</f>
        <v/>
      </c>
      <c r="Y196" s="136">
        <f>IF(E196=$Y$6,1,"")</f>
        <v/>
      </c>
      <c r="Z196" s="136">
        <f>IF(E196=$Z$6,1,"")</f>
        <v/>
      </c>
      <c r="AA196" s="136">
        <f>IF(E196=$AA$6,1,"")</f>
        <v/>
      </c>
      <c r="AB196" s="136">
        <f>IF(E196=$AB$6,1,"")</f>
        <v/>
      </c>
      <c r="AC196" s="136">
        <f>IF(E196=$AC$6,1,"")</f>
        <v/>
      </c>
      <c r="AD196" s="136">
        <f>IF(E196=$AD$6,1,"")</f>
        <v/>
      </c>
      <c r="AE196" s="136">
        <f>IF(E196=$AE$6,1,"")</f>
        <v/>
      </c>
      <c r="AF196" s="136">
        <f>IF(E196=$AF$6,1,"")</f>
        <v/>
      </c>
      <c r="AG196" s="136">
        <f>IF(E196=$AG$6,1,"")</f>
        <v/>
      </c>
      <c r="AH196" s="136">
        <f>IF(E196=$AH$6,1,"")</f>
        <v/>
      </c>
      <c r="AI196" s="136">
        <f>IF(E196=$AI$6,1,"")</f>
        <v/>
      </c>
      <c r="AJ196" s="136">
        <f>IF(E196=$AJ$6,1,"")</f>
        <v/>
      </c>
      <c r="AK196" s="81">
        <f>IF(E196=$AK$6,1,"")</f>
        <v/>
      </c>
      <c r="AL196" s="81">
        <f>IF(E196=$AL$6,1,"")</f>
        <v/>
      </c>
      <c r="AM196" s="81">
        <f>IF(E196=$AM$6,1,"")</f>
        <v/>
      </c>
      <c r="AN196" s="81">
        <f>IF(E196=$AN$6,1,"")</f>
        <v/>
      </c>
      <c r="AO196" s="81">
        <f>IF(E196=$AO$6,1,"")</f>
        <v/>
      </c>
      <c r="AP196" s="81">
        <f>IF(E196=$AP$6,1,"")</f>
        <v/>
      </c>
      <c r="AQ196" s="81">
        <f>IF(E196=$AQ$6,1,"")</f>
        <v/>
      </c>
      <c r="AR196" s="81">
        <f>IF(E196=$AR$6,1,"")</f>
        <v/>
      </c>
      <c r="AS196" s="81" t="n"/>
    </row>
    <row r="197" ht="15.75" customHeight="1" s="80">
      <c r="A197" s="157" t="n"/>
      <c r="B197" s="124" t="n"/>
      <c r="C197" s="125" t="n"/>
      <c r="D197" s="126" t="n"/>
      <c r="E197" s="127" t="n"/>
      <c r="F197" s="128" t="n"/>
      <c r="G197" s="129">
        <f>IF(F197="","",ROUND(F197/60,2))</f>
        <v/>
      </c>
      <c r="H197" s="130" t="n"/>
      <c r="I197" s="131" t="n"/>
      <c r="J197" s="131">
        <f>IF(COUNTIF(B197:E197,"*")=0,"",IF(T197=1,"Invalid Service",IF(AND(V197=1,F197=""),"Add Session Mins",IF(AND(E197&gt;0,H197="",T197=""),"Enter Contract Rate",IF(AND(E197="IEP mtg, prep, rept",F197&gt;0),(G197*H197),IF(AND(E197&gt;0,F197&gt;0,H197&gt;0,I197=""),"Enter Travel",IF(AND(F197&gt;0,I197="Y"),(G197*H197)+$M$10,IF(AND(F197&gt;0,I197="N"),(G197*H197),H197))))))))</f>
        <v/>
      </c>
      <c r="K197" s="132">
        <f>J197</f>
        <v/>
      </c>
      <c r="L197" s="148" t="n"/>
      <c r="M197" s="148" t="n"/>
      <c r="N197" s="148" t="n"/>
      <c r="O197" s="87" t="n"/>
      <c r="P197" s="81" t="n"/>
      <c r="Q197" s="81" t="n"/>
      <c r="R197" s="81" t="n"/>
      <c r="S197" s="81" t="n"/>
      <c r="T197" s="136">
        <f>IF(AND(E197&gt;0,U197=0),1,"")</f>
        <v/>
      </c>
      <c r="U197" s="136">
        <f>SUM(X197:AR197)</f>
        <v/>
      </c>
      <c r="V197" s="136">
        <f>IF(E197=$Q$16,0,SUM(X197:AI197))</f>
        <v/>
      </c>
      <c r="W197" s="136">
        <f>SUM(AK197:AR197)</f>
        <v/>
      </c>
      <c r="X197" s="136">
        <f>IF(E197=$X$6,1,"")</f>
        <v/>
      </c>
      <c r="Y197" s="136">
        <f>IF(E197=$Y$6,1,"")</f>
        <v/>
      </c>
      <c r="Z197" s="136">
        <f>IF(E197=$Z$6,1,"")</f>
        <v/>
      </c>
      <c r="AA197" s="136">
        <f>IF(E197=$AA$6,1,"")</f>
        <v/>
      </c>
      <c r="AB197" s="136">
        <f>IF(E197=$AB$6,1,"")</f>
        <v/>
      </c>
      <c r="AC197" s="136">
        <f>IF(E197=$AC$6,1,"")</f>
        <v/>
      </c>
      <c r="AD197" s="136">
        <f>IF(E197=$AD$6,1,"")</f>
        <v/>
      </c>
      <c r="AE197" s="136">
        <f>IF(E197=$AE$6,1,"")</f>
        <v/>
      </c>
      <c r="AF197" s="136">
        <f>IF(E197=$AF$6,1,"")</f>
        <v/>
      </c>
      <c r="AG197" s="136">
        <f>IF(E197=$AG$6,1,"")</f>
        <v/>
      </c>
      <c r="AH197" s="136">
        <f>IF(E197=$AH$6,1,"")</f>
        <v/>
      </c>
      <c r="AI197" s="136">
        <f>IF(E197=$AI$6,1,"")</f>
        <v/>
      </c>
      <c r="AJ197" s="136">
        <f>IF(E197=$AJ$6,1,"")</f>
        <v/>
      </c>
      <c r="AK197" s="81">
        <f>IF(E197=$AK$6,1,"")</f>
        <v/>
      </c>
      <c r="AL197" s="81">
        <f>IF(E197=$AL$6,1,"")</f>
        <v/>
      </c>
      <c r="AM197" s="81">
        <f>IF(E197=$AM$6,1,"")</f>
        <v/>
      </c>
      <c r="AN197" s="81">
        <f>IF(E197=$AN$6,1,"")</f>
        <v/>
      </c>
      <c r="AO197" s="81">
        <f>IF(E197=$AO$6,1,"")</f>
        <v/>
      </c>
      <c r="AP197" s="81">
        <f>IF(E197=$AP$6,1,"")</f>
        <v/>
      </c>
      <c r="AQ197" s="81">
        <f>IF(E197=$AQ$6,1,"")</f>
        <v/>
      </c>
      <c r="AR197" s="81">
        <f>IF(E197=$AR$6,1,"")</f>
        <v/>
      </c>
      <c r="AS197" s="81" t="n"/>
    </row>
    <row r="198" ht="15.75" customHeight="1" s="80">
      <c r="A198" s="157" t="n"/>
      <c r="B198" s="124" t="n"/>
      <c r="C198" s="125" t="n"/>
      <c r="D198" s="126" t="n"/>
      <c r="E198" s="127" t="n"/>
      <c r="F198" s="128" t="n"/>
      <c r="G198" s="129">
        <f>IF(F198="","",ROUND(F198/60,2))</f>
        <v/>
      </c>
      <c r="H198" s="130" t="n"/>
      <c r="I198" s="131" t="n"/>
      <c r="J198" s="131">
        <f>IF(COUNTIF(B198:E198,"*")=0,"",IF(T198=1,"Invalid Service",IF(AND(V198=1,F198=""),"Add Session Mins",IF(AND(E198&gt;0,H198="",T198=""),"Enter Contract Rate",IF(AND(E198="IEP mtg, prep, rept",F198&gt;0),(G198*H198),IF(AND(E198&gt;0,F198&gt;0,H198&gt;0,I198=""),"Enter Travel",IF(AND(F198&gt;0,I198="Y"),(G198*H198)+$M$10,IF(AND(F198&gt;0,I198="N"),(G198*H198),H198))))))))</f>
        <v/>
      </c>
      <c r="K198" s="132">
        <f>J198</f>
        <v/>
      </c>
      <c r="L198" s="148" t="n"/>
      <c r="M198" s="148" t="n"/>
      <c r="N198" s="148" t="n"/>
      <c r="O198" s="87" t="n"/>
      <c r="P198" s="81" t="n"/>
      <c r="Q198" s="81" t="n"/>
      <c r="R198" s="81" t="n"/>
      <c r="S198" s="81" t="n"/>
      <c r="T198" s="136">
        <f>IF(AND(E198&gt;0,U198=0),1,"")</f>
        <v/>
      </c>
      <c r="U198" s="136">
        <f>SUM(X198:AR198)</f>
        <v/>
      </c>
      <c r="V198" s="136">
        <f>IF(E198=$Q$16,0,SUM(X198:AI198))</f>
        <v/>
      </c>
      <c r="W198" s="136">
        <f>SUM(AK198:AR198)</f>
        <v/>
      </c>
      <c r="X198" s="136">
        <f>IF(E198=$X$6,1,"")</f>
        <v/>
      </c>
      <c r="Y198" s="136">
        <f>IF(E198=$Y$6,1,"")</f>
        <v/>
      </c>
      <c r="Z198" s="136">
        <f>IF(E198=$Z$6,1,"")</f>
        <v/>
      </c>
      <c r="AA198" s="136">
        <f>IF(E198=$AA$6,1,"")</f>
        <v/>
      </c>
      <c r="AB198" s="136">
        <f>IF(E198=$AB$6,1,"")</f>
        <v/>
      </c>
      <c r="AC198" s="136">
        <f>IF(E198=$AC$6,1,"")</f>
        <v/>
      </c>
      <c r="AD198" s="136">
        <f>IF(E198=$AD$6,1,"")</f>
        <v/>
      </c>
      <c r="AE198" s="136">
        <f>IF(E198=$AE$6,1,"")</f>
        <v/>
      </c>
      <c r="AF198" s="136">
        <f>IF(E198=$AF$6,1,"")</f>
        <v/>
      </c>
      <c r="AG198" s="136">
        <f>IF(E198=$AG$6,1,"")</f>
        <v/>
      </c>
      <c r="AH198" s="136">
        <f>IF(E198=$AH$6,1,"")</f>
        <v/>
      </c>
      <c r="AI198" s="136">
        <f>IF(E198=$AI$6,1,"")</f>
        <v/>
      </c>
      <c r="AJ198" s="136">
        <f>IF(E198=$AJ$6,1,"")</f>
        <v/>
      </c>
      <c r="AK198" s="81">
        <f>IF(E198=$AK$6,1,"")</f>
        <v/>
      </c>
      <c r="AL198" s="81">
        <f>IF(E198=$AL$6,1,"")</f>
        <v/>
      </c>
      <c r="AM198" s="81">
        <f>IF(E198=$AM$6,1,"")</f>
        <v/>
      </c>
      <c r="AN198" s="81">
        <f>IF(E198=$AN$6,1,"")</f>
        <v/>
      </c>
      <c r="AO198" s="81">
        <f>IF(E198=$AO$6,1,"")</f>
        <v/>
      </c>
      <c r="AP198" s="81">
        <f>IF(E198=$AP$6,1,"")</f>
        <v/>
      </c>
      <c r="AQ198" s="81">
        <f>IF(E198=$AQ$6,1,"")</f>
        <v/>
      </c>
      <c r="AR198" s="81">
        <f>IF(E198=$AR$6,1,"")</f>
        <v/>
      </c>
      <c r="AS198" s="81" t="n"/>
    </row>
    <row r="199" ht="15.75" customHeight="1" s="80">
      <c r="A199" s="157" t="n"/>
      <c r="B199" s="124" t="n"/>
      <c r="C199" s="125" t="n"/>
      <c r="D199" s="126" t="n"/>
      <c r="E199" s="127" t="n"/>
      <c r="F199" s="128" t="n"/>
      <c r="G199" s="129">
        <f>IF(F199="","",ROUND(F199/60,2))</f>
        <v/>
      </c>
      <c r="H199" s="130" t="n"/>
      <c r="I199" s="131" t="n"/>
      <c r="J199" s="131">
        <f>IF(COUNTIF(B199:E199,"*")=0,"",IF(T199=1,"Invalid Service",IF(AND(V199=1,F199=""),"Add Session Mins",IF(AND(E199&gt;0,H199="",T199=""),"Enter Contract Rate",IF(AND(E199="IEP mtg, prep, rept",F199&gt;0),(G199*H199),IF(AND(E199&gt;0,F199&gt;0,H199&gt;0,I199=""),"Enter Travel",IF(AND(F199&gt;0,I199="Y"),(G199*H199)+$M$10,IF(AND(F199&gt;0,I199="N"),(G199*H199),H199))))))))</f>
        <v/>
      </c>
      <c r="K199" s="132">
        <f>J199</f>
        <v/>
      </c>
      <c r="L199" s="148" t="n"/>
      <c r="M199" s="148" t="n"/>
      <c r="N199" s="148" t="n"/>
      <c r="O199" s="87" t="n"/>
      <c r="P199" s="81" t="n"/>
      <c r="Q199" s="81" t="n"/>
      <c r="R199" s="81" t="n"/>
      <c r="S199" s="81" t="n"/>
      <c r="T199" s="136">
        <f>IF(AND(E199&gt;0,U199=0),1,"")</f>
        <v/>
      </c>
      <c r="U199" s="136">
        <f>SUM(X199:AR199)</f>
        <v/>
      </c>
      <c r="V199" s="136">
        <f>IF(E199=$Q$16,0,SUM(X199:AI199))</f>
        <v/>
      </c>
      <c r="W199" s="136">
        <f>SUM(AK199:AR199)</f>
        <v/>
      </c>
      <c r="X199" s="136">
        <f>IF(E199=$X$6,1,"")</f>
        <v/>
      </c>
      <c r="Y199" s="136">
        <f>IF(E199=$Y$6,1,"")</f>
        <v/>
      </c>
      <c r="Z199" s="136">
        <f>IF(E199=$Z$6,1,"")</f>
        <v/>
      </c>
      <c r="AA199" s="136">
        <f>IF(E199=$AA$6,1,"")</f>
        <v/>
      </c>
      <c r="AB199" s="136">
        <f>IF(E199=$AB$6,1,"")</f>
        <v/>
      </c>
      <c r="AC199" s="136">
        <f>IF(E199=$AC$6,1,"")</f>
        <v/>
      </c>
      <c r="AD199" s="136">
        <f>IF(E199=$AD$6,1,"")</f>
        <v/>
      </c>
      <c r="AE199" s="136">
        <f>IF(E199=$AE$6,1,"")</f>
        <v/>
      </c>
      <c r="AF199" s="136">
        <f>IF(E199=$AF$6,1,"")</f>
        <v/>
      </c>
      <c r="AG199" s="136">
        <f>IF(E199=$AG$6,1,"")</f>
        <v/>
      </c>
      <c r="AH199" s="136">
        <f>IF(E199=$AH$6,1,"")</f>
        <v/>
      </c>
      <c r="AI199" s="136">
        <f>IF(E199=$AI$6,1,"")</f>
        <v/>
      </c>
      <c r="AJ199" s="136">
        <f>IF(E199=$AJ$6,1,"")</f>
        <v/>
      </c>
      <c r="AK199" s="81">
        <f>IF(E199=$AK$6,1,"")</f>
        <v/>
      </c>
      <c r="AL199" s="81">
        <f>IF(E199=$AL$6,1,"")</f>
        <v/>
      </c>
      <c r="AM199" s="81">
        <f>IF(E199=$AM$6,1,"")</f>
        <v/>
      </c>
      <c r="AN199" s="81">
        <f>IF(E199=$AN$6,1,"")</f>
        <v/>
      </c>
      <c r="AO199" s="81">
        <f>IF(E199=$AO$6,1,"")</f>
        <v/>
      </c>
      <c r="AP199" s="81">
        <f>IF(E199=$AP$6,1,"")</f>
        <v/>
      </c>
      <c r="AQ199" s="81">
        <f>IF(E199=$AQ$6,1,"")</f>
        <v/>
      </c>
      <c r="AR199" s="81">
        <f>IF(E199=$AR$6,1,"")</f>
        <v/>
      </c>
      <c r="AS199" s="81" t="n"/>
    </row>
    <row r="200" ht="15.75" customHeight="1" s="80">
      <c r="A200" s="157" t="n"/>
      <c r="B200" s="124" t="n"/>
      <c r="C200" s="125" t="n"/>
      <c r="D200" s="126" t="n"/>
      <c r="E200" s="127" t="n"/>
      <c r="F200" s="128" t="n"/>
      <c r="G200" s="129">
        <f>IF(F200="","",ROUND(F200/60,2))</f>
        <v/>
      </c>
      <c r="H200" s="130" t="n"/>
      <c r="I200" s="131" t="n"/>
      <c r="J200" s="131">
        <f>IF(COUNTIF(B200:E200,"*")=0,"",IF(T200=1,"Invalid Service",IF(AND(V200=1,F200=""),"Add Session Mins",IF(AND(E200&gt;0,H200="",T200=""),"Enter Contract Rate",IF(AND(E200="IEP mtg, prep, rept",F200&gt;0),(G200*H200),IF(AND(E200&gt;0,F200&gt;0,H200&gt;0,I200=""),"Enter Travel",IF(AND(F200&gt;0,I200="Y"),(G200*H200)+$M$10,IF(AND(F200&gt;0,I200="N"),(G200*H200),H200))))))))</f>
        <v/>
      </c>
      <c r="K200" s="132">
        <f>J200</f>
        <v/>
      </c>
      <c r="L200" s="148" t="n"/>
      <c r="M200" s="148" t="n"/>
      <c r="N200" s="148" t="n"/>
      <c r="O200" s="87" t="n"/>
      <c r="P200" s="81" t="n"/>
      <c r="Q200" s="81" t="n"/>
      <c r="R200" s="81" t="n"/>
      <c r="S200" s="81" t="n"/>
      <c r="T200" s="136">
        <f>IF(AND(E200&gt;0,U200=0),1,"")</f>
        <v/>
      </c>
      <c r="U200" s="136">
        <f>SUM(X200:AR200)</f>
        <v/>
      </c>
      <c r="V200" s="136">
        <f>IF(E200=$Q$16,0,SUM(X200:AI200))</f>
        <v/>
      </c>
      <c r="W200" s="136">
        <f>SUM(AK200:AR200)</f>
        <v/>
      </c>
      <c r="X200" s="136">
        <f>IF(E200=$X$6,1,"")</f>
        <v/>
      </c>
      <c r="Y200" s="136">
        <f>IF(E200=$Y$6,1,"")</f>
        <v/>
      </c>
      <c r="Z200" s="136">
        <f>IF(E200=$Z$6,1,"")</f>
        <v/>
      </c>
      <c r="AA200" s="136">
        <f>IF(E200=$AA$6,1,"")</f>
        <v/>
      </c>
      <c r="AB200" s="136">
        <f>IF(E200=$AB$6,1,"")</f>
        <v/>
      </c>
      <c r="AC200" s="136">
        <f>IF(E200=$AC$6,1,"")</f>
        <v/>
      </c>
      <c r="AD200" s="136">
        <f>IF(E200=$AD$6,1,"")</f>
        <v/>
      </c>
      <c r="AE200" s="136">
        <f>IF(E200=$AE$6,1,"")</f>
        <v/>
      </c>
      <c r="AF200" s="136">
        <f>IF(E200=$AF$6,1,"")</f>
        <v/>
      </c>
      <c r="AG200" s="136">
        <f>IF(E200=$AG$6,1,"")</f>
        <v/>
      </c>
      <c r="AH200" s="136">
        <f>IF(E200=$AH$6,1,"")</f>
        <v/>
      </c>
      <c r="AI200" s="136">
        <f>IF(E200=$AI$6,1,"")</f>
        <v/>
      </c>
      <c r="AJ200" s="136">
        <f>IF(E200=$AJ$6,1,"")</f>
        <v/>
      </c>
      <c r="AK200" s="81">
        <f>IF(E200=$AK$6,1,"")</f>
        <v/>
      </c>
      <c r="AL200" s="81">
        <f>IF(E200=$AL$6,1,"")</f>
        <v/>
      </c>
      <c r="AM200" s="81">
        <f>IF(E200=$AM$6,1,"")</f>
        <v/>
      </c>
      <c r="AN200" s="81">
        <f>IF(E200=$AN$6,1,"")</f>
        <v/>
      </c>
      <c r="AO200" s="81">
        <f>IF(E200=$AO$6,1,"")</f>
        <v/>
      </c>
      <c r="AP200" s="81">
        <f>IF(E200=$AP$6,1,"")</f>
        <v/>
      </c>
      <c r="AQ200" s="81">
        <f>IF(E200=$AQ$6,1,"")</f>
        <v/>
      </c>
      <c r="AR200" s="81">
        <f>IF(E200=$AR$6,1,"")</f>
        <v/>
      </c>
      <c r="AS200" s="81" t="n"/>
    </row>
    <row r="201" ht="15.75" customHeight="1" s="80">
      <c r="A201" s="157" t="n"/>
      <c r="B201" s="124" t="n"/>
      <c r="C201" s="125" t="n"/>
      <c r="D201" s="126" t="n"/>
      <c r="E201" s="127" t="n"/>
      <c r="F201" s="128" t="n"/>
      <c r="G201" s="129">
        <f>IF(F201="","",ROUND(F201/60,2))</f>
        <v/>
      </c>
      <c r="H201" s="130" t="n"/>
      <c r="I201" s="131" t="n"/>
      <c r="J201" s="131">
        <f>IF(COUNTIF(B201:E201,"*")=0,"",IF(T201=1,"Invalid Service",IF(AND(V201=1,F201=""),"Add Session Mins",IF(AND(E201&gt;0,H201="",T201=""),"Enter Contract Rate",IF(AND(E201="IEP mtg, prep, rept",F201&gt;0),(G201*H201),IF(AND(E201&gt;0,F201&gt;0,H201&gt;0,I201=""),"Enter Travel",IF(AND(F201&gt;0,I201="Y"),(G201*H201)+$M$10,IF(AND(F201&gt;0,I201="N"),(G201*H201),H201))))))))</f>
        <v/>
      </c>
      <c r="K201" s="132">
        <f>J201</f>
        <v/>
      </c>
      <c r="L201" s="148" t="n"/>
      <c r="M201" s="148" t="n"/>
      <c r="N201" s="148" t="n"/>
      <c r="O201" s="87" t="n"/>
      <c r="P201" s="81" t="n"/>
      <c r="Q201" s="81" t="n"/>
      <c r="R201" s="81" t="n"/>
      <c r="S201" s="81" t="n"/>
      <c r="T201" s="136">
        <f>IF(AND(E201&gt;0,U201=0),1,"")</f>
        <v/>
      </c>
      <c r="U201" s="136">
        <f>SUM(X201:AR201)</f>
        <v/>
      </c>
      <c r="V201" s="136">
        <f>IF(E201=$Q$16,0,SUM(X201:AI201))</f>
        <v/>
      </c>
      <c r="W201" s="136">
        <f>SUM(AK201:AR201)</f>
        <v/>
      </c>
      <c r="X201" s="136">
        <f>IF(E201=$X$6,1,"")</f>
        <v/>
      </c>
      <c r="Y201" s="136">
        <f>IF(E201=$Y$6,1,"")</f>
        <v/>
      </c>
      <c r="Z201" s="136">
        <f>IF(E201=$Z$6,1,"")</f>
        <v/>
      </c>
      <c r="AA201" s="136">
        <f>IF(E201=$AA$6,1,"")</f>
        <v/>
      </c>
      <c r="AB201" s="136">
        <f>IF(E201=$AB$6,1,"")</f>
        <v/>
      </c>
      <c r="AC201" s="136">
        <f>IF(E201=$AC$6,1,"")</f>
        <v/>
      </c>
      <c r="AD201" s="136">
        <f>IF(E201=$AD$6,1,"")</f>
        <v/>
      </c>
      <c r="AE201" s="136">
        <f>IF(E201=$AE$6,1,"")</f>
        <v/>
      </c>
      <c r="AF201" s="136">
        <f>IF(E201=$AF$6,1,"")</f>
        <v/>
      </c>
      <c r="AG201" s="136">
        <f>IF(E201=$AG$6,1,"")</f>
        <v/>
      </c>
      <c r="AH201" s="136">
        <f>IF(E201=$AH$6,1,"")</f>
        <v/>
      </c>
      <c r="AI201" s="136">
        <f>IF(E201=$AI$6,1,"")</f>
        <v/>
      </c>
      <c r="AJ201" s="136">
        <f>IF(E201=$AJ$6,1,"")</f>
        <v/>
      </c>
      <c r="AK201" s="81">
        <f>IF(E201=$AK$6,1,"")</f>
        <v/>
      </c>
      <c r="AL201" s="81">
        <f>IF(E201=$AL$6,1,"")</f>
        <v/>
      </c>
      <c r="AM201" s="81">
        <f>IF(E201=$AM$6,1,"")</f>
        <v/>
      </c>
      <c r="AN201" s="81">
        <f>IF(E201=$AN$6,1,"")</f>
        <v/>
      </c>
      <c r="AO201" s="81">
        <f>IF(E201=$AO$6,1,"")</f>
        <v/>
      </c>
      <c r="AP201" s="81">
        <f>IF(E201=$AP$6,1,"")</f>
        <v/>
      </c>
      <c r="AQ201" s="81">
        <f>IF(E201=$AQ$6,1,"")</f>
        <v/>
      </c>
      <c r="AR201" s="81">
        <f>IF(E201=$AR$6,1,"")</f>
        <v/>
      </c>
      <c r="AS201" s="81" t="n"/>
    </row>
    <row r="202" ht="15.75" customHeight="1" s="80">
      <c r="A202" s="157" t="n"/>
      <c r="B202" s="124" t="n"/>
      <c r="C202" s="125" t="n"/>
      <c r="D202" s="126" t="n"/>
      <c r="E202" s="127" t="n"/>
      <c r="F202" s="128" t="n"/>
      <c r="G202" s="129">
        <f>IF(F202="","",ROUND(F202/60,2))</f>
        <v/>
      </c>
      <c r="H202" s="130" t="n"/>
      <c r="I202" s="131" t="n"/>
      <c r="J202" s="131">
        <f>IF(COUNTIF(B202:E202,"*")=0,"",IF(T202=1,"Invalid Service",IF(AND(V202=1,F202=""),"Add Session Mins",IF(AND(E202&gt;0,H202="",T202=""),"Enter Contract Rate",IF(AND(E202="IEP mtg, prep, rept",F202&gt;0),(G202*H202),IF(AND(E202&gt;0,F202&gt;0,H202&gt;0,I202=""),"Enter Travel",IF(AND(F202&gt;0,I202="Y"),(G202*H202)+$M$10,IF(AND(F202&gt;0,I202="N"),(G202*H202),H202))))))))</f>
        <v/>
      </c>
      <c r="K202" s="132">
        <f>J202</f>
        <v/>
      </c>
      <c r="L202" s="148" t="n"/>
      <c r="M202" s="148" t="n"/>
      <c r="N202" s="148" t="n"/>
      <c r="O202" s="87" t="n"/>
      <c r="P202" s="81" t="n"/>
      <c r="Q202" s="81" t="n"/>
      <c r="R202" s="81" t="n"/>
      <c r="S202" s="81" t="n"/>
      <c r="T202" s="136">
        <f>IF(AND(E202&gt;0,U202=0),1,"")</f>
        <v/>
      </c>
      <c r="U202" s="136">
        <f>SUM(X202:AR202)</f>
        <v/>
      </c>
      <c r="V202" s="136">
        <f>IF(E202=$Q$16,0,SUM(X202:AI202))</f>
        <v/>
      </c>
      <c r="W202" s="136">
        <f>SUM(AK202:AR202)</f>
        <v/>
      </c>
      <c r="X202" s="136">
        <f>IF(E202=$X$6,1,"")</f>
        <v/>
      </c>
      <c r="Y202" s="136">
        <f>IF(E202=$Y$6,1,"")</f>
        <v/>
      </c>
      <c r="Z202" s="136">
        <f>IF(E202=$Z$6,1,"")</f>
        <v/>
      </c>
      <c r="AA202" s="136">
        <f>IF(E202=$AA$6,1,"")</f>
        <v/>
      </c>
      <c r="AB202" s="136">
        <f>IF(E202=$AB$6,1,"")</f>
        <v/>
      </c>
      <c r="AC202" s="136">
        <f>IF(E202=$AC$6,1,"")</f>
        <v/>
      </c>
      <c r="AD202" s="136">
        <f>IF(E202=$AD$6,1,"")</f>
        <v/>
      </c>
      <c r="AE202" s="136">
        <f>IF(E202=$AE$6,1,"")</f>
        <v/>
      </c>
      <c r="AF202" s="136">
        <f>IF(E202=$AF$6,1,"")</f>
        <v/>
      </c>
      <c r="AG202" s="136">
        <f>IF(E202=$AG$6,1,"")</f>
        <v/>
      </c>
      <c r="AH202" s="136">
        <f>IF(E202=$AH$6,1,"")</f>
        <v/>
      </c>
      <c r="AI202" s="136">
        <f>IF(E202=$AI$6,1,"")</f>
        <v/>
      </c>
      <c r="AJ202" s="136">
        <f>IF(E202=$AJ$6,1,"")</f>
        <v/>
      </c>
      <c r="AK202" s="81">
        <f>IF(E202=$AK$6,1,"")</f>
        <v/>
      </c>
      <c r="AL202" s="81">
        <f>IF(E202=$AL$6,1,"")</f>
        <v/>
      </c>
      <c r="AM202" s="81">
        <f>IF(E202=$AM$6,1,"")</f>
        <v/>
      </c>
      <c r="AN202" s="81">
        <f>IF(E202=$AN$6,1,"")</f>
        <v/>
      </c>
      <c r="AO202" s="81">
        <f>IF(E202=$AO$6,1,"")</f>
        <v/>
      </c>
      <c r="AP202" s="81">
        <f>IF(E202=$AP$6,1,"")</f>
        <v/>
      </c>
      <c r="AQ202" s="81">
        <f>IF(E202=$AQ$6,1,"")</f>
        <v/>
      </c>
      <c r="AR202" s="81">
        <f>IF(E202=$AR$6,1,"")</f>
        <v/>
      </c>
      <c r="AS202" s="81" t="n"/>
    </row>
    <row r="203" ht="15.75" customHeight="1" s="80">
      <c r="A203" s="157" t="n"/>
      <c r="B203" s="124" t="n"/>
      <c r="C203" s="125" t="n"/>
      <c r="D203" s="126" t="n"/>
      <c r="E203" s="127" t="n"/>
      <c r="F203" s="128" t="n"/>
      <c r="G203" s="129">
        <f>IF(F203="","",ROUND(F203/60,2))</f>
        <v/>
      </c>
      <c r="H203" s="130" t="n"/>
      <c r="I203" s="131" t="n"/>
      <c r="J203" s="131">
        <f>IF(COUNTIF(B203:E203,"*")=0,"",IF(T203=1,"Invalid Service",IF(AND(V203=1,F203=""),"Add Session Mins",IF(AND(E203&gt;0,H203="",T203=""),"Enter Contract Rate",IF(AND(E203="IEP mtg, prep, rept",F203&gt;0),(G203*H203),IF(AND(E203&gt;0,F203&gt;0,H203&gt;0,I203=""),"Enter Travel",IF(AND(F203&gt;0,I203="Y"),(G203*H203)+$M$10,IF(AND(F203&gt;0,I203="N"),(G203*H203),H203))))))))</f>
        <v/>
      </c>
      <c r="K203" s="132">
        <f>J203</f>
        <v/>
      </c>
      <c r="L203" s="148" t="n"/>
      <c r="M203" s="148" t="n"/>
      <c r="N203" s="148" t="n"/>
      <c r="O203" s="87" t="n"/>
      <c r="P203" s="81" t="n"/>
      <c r="Q203" s="81" t="n"/>
      <c r="R203" s="81" t="n"/>
      <c r="S203" s="81" t="n"/>
      <c r="T203" s="136">
        <f>IF(AND(E203&gt;0,U203=0),1,"")</f>
        <v/>
      </c>
      <c r="U203" s="136">
        <f>SUM(X203:AR203)</f>
        <v/>
      </c>
      <c r="V203" s="136">
        <f>IF(E203=$Q$16,0,SUM(X203:AI203))</f>
        <v/>
      </c>
      <c r="W203" s="136">
        <f>SUM(AK203:AR203)</f>
        <v/>
      </c>
      <c r="X203" s="136">
        <f>IF(E203=$X$6,1,"")</f>
        <v/>
      </c>
      <c r="Y203" s="136">
        <f>IF(E203=$Y$6,1,"")</f>
        <v/>
      </c>
      <c r="Z203" s="136">
        <f>IF(E203=$Z$6,1,"")</f>
        <v/>
      </c>
      <c r="AA203" s="136">
        <f>IF(E203=$AA$6,1,"")</f>
        <v/>
      </c>
      <c r="AB203" s="136">
        <f>IF(E203=$AB$6,1,"")</f>
        <v/>
      </c>
      <c r="AC203" s="136">
        <f>IF(E203=$AC$6,1,"")</f>
        <v/>
      </c>
      <c r="AD203" s="136">
        <f>IF(E203=$AD$6,1,"")</f>
        <v/>
      </c>
      <c r="AE203" s="136">
        <f>IF(E203=$AE$6,1,"")</f>
        <v/>
      </c>
      <c r="AF203" s="136">
        <f>IF(E203=$AF$6,1,"")</f>
        <v/>
      </c>
      <c r="AG203" s="136">
        <f>IF(E203=$AG$6,1,"")</f>
        <v/>
      </c>
      <c r="AH203" s="136">
        <f>IF(E203=$AH$6,1,"")</f>
        <v/>
      </c>
      <c r="AI203" s="136">
        <f>IF(E203=$AI$6,1,"")</f>
        <v/>
      </c>
      <c r="AJ203" s="136">
        <f>IF(E203=$AJ$6,1,"")</f>
        <v/>
      </c>
      <c r="AK203" s="81">
        <f>IF(E203=$AK$6,1,"")</f>
        <v/>
      </c>
      <c r="AL203" s="81">
        <f>IF(E203=$AL$6,1,"")</f>
        <v/>
      </c>
      <c r="AM203" s="81">
        <f>IF(E203=$AM$6,1,"")</f>
        <v/>
      </c>
      <c r="AN203" s="81">
        <f>IF(E203=$AN$6,1,"")</f>
        <v/>
      </c>
      <c r="AO203" s="81">
        <f>IF(E203=$AO$6,1,"")</f>
        <v/>
      </c>
      <c r="AP203" s="81">
        <f>IF(E203=$AP$6,1,"")</f>
        <v/>
      </c>
      <c r="AQ203" s="81">
        <f>IF(E203=$AQ$6,1,"")</f>
        <v/>
      </c>
      <c r="AR203" s="81">
        <f>IF(E203=$AR$6,1,"")</f>
        <v/>
      </c>
      <c r="AS203" s="81" t="n"/>
    </row>
    <row r="204" ht="15.75" customHeight="1" s="80">
      <c r="A204" s="157" t="n"/>
      <c r="B204" s="124" t="n"/>
      <c r="C204" s="125" t="n"/>
      <c r="D204" s="126" t="n"/>
      <c r="E204" s="127" t="n"/>
      <c r="F204" s="128" t="n"/>
      <c r="G204" s="129">
        <f>IF(F204="","",ROUND(F204/60,2))</f>
        <v/>
      </c>
      <c r="H204" s="130" t="n"/>
      <c r="I204" s="131" t="n"/>
      <c r="J204" s="131">
        <f>IF(COUNTIF(B204:E204,"*")=0,"",IF(T204=1,"Invalid Service",IF(AND(V204=1,F204=""),"Add Session Mins",IF(AND(E204&gt;0,H204="",T204=""),"Enter Contract Rate",IF(AND(E204="IEP mtg, prep, rept",F204&gt;0),(G204*H204),IF(AND(E204&gt;0,F204&gt;0,H204&gt;0,I204=""),"Enter Travel",IF(AND(F204&gt;0,I204="Y"),(G204*H204)+$M$10,IF(AND(F204&gt;0,I204="N"),(G204*H204),H204))))))))</f>
        <v/>
      </c>
      <c r="K204" s="132">
        <f>J204</f>
        <v/>
      </c>
      <c r="L204" s="148" t="n"/>
      <c r="M204" s="148" t="n"/>
      <c r="N204" s="148" t="n"/>
      <c r="O204" s="87" t="n"/>
      <c r="P204" s="81" t="n"/>
      <c r="Q204" s="81" t="n"/>
      <c r="R204" s="81" t="n"/>
      <c r="S204" s="81" t="n"/>
      <c r="T204" s="136">
        <f>IF(AND(E204&gt;0,U204=0),1,"")</f>
        <v/>
      </c>
      <c r="U204" s="136">
        <f>SUM(X204:AR204)</f>
        <v/>
      </c>
      <c r="V204" s="136">
        <f>IF(E204=$Q$16,0,SUM(X204:AI204))</f>
        <v/>
      </c>
      <c r="W204" s="136">
        <f>SUM(AK204:AR204)</f>
        <v/>
      </c>
      <c r="X204" s="136">
        <f>IF(E204=$X$6,1,"")</f>
        <v/>
      </c>
      <c r="Y204" s="136">
        <f>IF(E204=$Y$6,1,"")</f>
        <v/>
      </c>
      <c r="Z204" s="136">
        <f>IF(E204=$Z$6,1,"")</f>
        <v/>
      </c>
      <c r="AA204" s="136">
        <f>IF(E204=$AA$6,1,"")</f>
        <v/>
      </c>
      <c r="AB204" s="136">
        <f>IF(E204=$AB$6,1,"")</f>
        <v/>
      </c>
      <c r="AC204" s="136">
        <f>IF(E204=$AC$6,1,"")</f>
        <v/>
      </c>
      <c r="AD204" s="136">
        <f>IF(E204=$AD$6,1,"")</f>
        <v/>
      </c>
      <c r="AE204" s="136">
        <f>IF(E204=$AE$6,1,"")</f>
        <v/>
      </c>
      <c r="AF204" s="136">
        <f>IF(E204=$AF$6,1,"")</f>
        <v/>
      </c>
      <c r="AG204" s="136">
        <f>IF(E204=$AG$6,1,"")</f>
        <v/>
      </c>
      <c r="AH204" s="136">
        <f>IF(E204=$AH$6,1,"")</f>
        <v/>
      </c>
      <c r="AI204" s="136">
        <f>IF(E204=$AI$6,1,"")</f>
        <v/>
      </c>
      <c r="AJ204" s="136">
        <f>IF(E204=$AJ$6,1,"")</f>
        <v/>
      </c>
      <c r="AK204" s="81">
        <f>IF(E204=$AK$6,1,"")</f>
        <v/>
      </c>
      <c r="AL204" s="81">
        <f>IF(E204=$AL$6,1,"")</f>
        <v/>
      </c>
      <c r="AM204" s="81">
        <f>IF(E204=$AM$6,1,"")</f>
        <v/>
      </c>
      <c r="AN204" s="81">
        <f>IF(E204=$AN$6,1,"")</f>
        <v/>
      </c>
      <c r="AO204" s="81">
        <f>IF(E204=$AO$6,1,"")</f>
        <v/>
      </c>
      <c r="AP204" s="81">
        <f>IF(E204=$AP$6,1,"")</f>
        <v/>
      </c>
      <c r="AQ204" s="81">
        <f>IF(E204=$AQ$6,1,"")</f>
        <v/>
      </c>
      <c r="AR204" s="81">
        <f>IF(E204=$AR$6,1,"")</f>
        <v/>
      </c>
      <c r="AS204" s="81" t="n"/>
    </row>
    <row r="205" ht="15.75" customHeight="1" s="80">
      <c r="A205" s="157" t="n"/>
      <c r="B205" s="124" t="n"/>
      <c r="C205" s="125" t="n"/>
      <c r="D205" s="126" t="n"/>
      <c r="E205" s="127" t="n"/>
      <c r="F205" s="128" t="n"/>
      <c r="G205" s="129">
        <f>IF(F205="","",ROUND(F205/60,2))</f>
        <v/>
      </c>
      <c r="H205" s="130" t="n"/>
      <c r="I205" s="131" t="n"/>
      <c r="J205" s="131">
        <f>IF(COUNTIF(B205:E205,"*")=0,"",IF(T205=1,"Invalid Service",IF(AND(V205=1,F205=""),"Add Session Mins",IF(AND(E205&gt;0,H205="",T205=""),"Enter Contract Rate",IF(AND(E205="IEP mtg, prep, rept",F205&gt;0),(G205*H205),IF(AND(E205&gt;0,F205&gt;0,H205&gt;0,I205=""),"Enter Travel",IF(AND(F205&gt;0,I205="Y"),(G205*H205)+$M$10,IF(AND(F205&gt;0,I205="N"),(G205*H205),H205))))))))</f>
        <v/>
      </c>
      <c r="K205" s="132">
        <f>J205</f>
        <v/>
      </c>
      <c r="L205" s="148" t="n"/>
      <c r="M205" s="148" t="n"/>
      <c r="N205" s="148" t="n"/>
      <c r="O205" s="87" t="n"/>
      <c r="P205" s="81" t="n"/>
      <c r="Q205" s="81" t="n"/>
      <c r="R205" s="81" t="n"/>
      <c r="S205" s="81" t="n"/>
      <c r="T205" s="136">
        <f>IF(AND(E205&gt;0,U205=0),1,"")</f>
        <v/>
      </c>
      <c r="U205" s="136">
        <f>SUM(X205:AR205)</f>
        <v/>
      </c>
      <c r="V205" s="136">
        <f>IF(E205=$Q$16,0,SUM(X205:AI205))</f>
        <v/>
      </c>
      <c r="W205" s="136">
        <f>SUM(AK205:AR205)</f>
        <v/>
      </c>
      <c r="X205" s="136">
        <f>IF(E205=$X$6,1,"")</f>
        <v/>
      </c>
      <c r="Y205" s="136">
        <f>IF(E205=$Y$6,1,"")</f>
        <v/>
      </c>
      <c r="Z205" s="136">
        <f>IF(E205=$Z$6,1,"")</f>
        <v/>
      </c>
      <c r="AA205" s="136">
        <f>IF(E205=$AA$6,1,"")</f>
        <v/>
      </c>
      <c r="AB205" s="136">
        <f>IF(E205=$AB$6,1,"")</f>
        <v/>
      </c>
      <c r="AC205" s="136">
        <f>IF(E205=$AC$6,1,"")</f>
        <v/>
      </c>
      <c r="AD205" s="136">
        <f>IF(E205=$AD$6,1,"")</f>
        <v/>
      </c>
      <c r="AE205" s="136">
        <f>IF(E205=$AE$6,1,"")</f>
        <v/>
      </c>
      <c r="AF205" s="136">
        <f>IF(E205=$AF$6,1,"")</f>
        <v/>
      </c>
      <c r="AG205" s="136">
        <f>IF(E205=$AG$6,1,"")</f>
        <v/>
      </c>
      <c r="AH205" s="136">
        <f>IF(E205=$AH$6,1,"")</f>
        <v/>
      </c>
      <c r="AI205" s="136">
        <f>IF(E205=$AI$6,1,"")</f>
        <v/>
      </c>
      <c r="AJ205" s="136">
        <f>IF(E205=$AJ$6,1,"")</f>
        <v/>
      </c>
      <c r="AK205" s="81">
        <f>IF(E205=$AK$6,1,"")</f>
        <v/>
      </c>
      <c r="AL205" s="81">
        <f>IF(E205=$AL$6,1,"")</f>
        <v/>
      </c>
      <c r="AM205" s="81">
        <f>IF(E205=$AM$6,1,"")</f>
        <v/>
      </c>
      <c r="AN205" s="81">
        <f>IF(E205=$AN$6,1,"")</f>
        <v/>
      </c>
      <c r="AO205" s="81">
        <f>IF(E205=$AO$6,1,"")</f>
        <v/>
      </c>
      <c r="AP205" s="81">
        <f>IF(E205=$AP$6,1,"")</f>
        <v/>
      </c>
      <c r="AQ205" s="81">
        <f>IF(E205=$AQ$6,1,"")</f>
        <v/>
      </c>
      <c r="AR205" s="81">
        <f>IF(E205=$AR$6,1,"")</f>
        <v/>
      </c>
      <c r="AS205" s="81" t="n"/>
    </row>
    <row r="206" ht="15.75" customHeight="1" s="80">
      <c r="A206" s="157" t="n"/>
      <c r="B206" s="124" t="n"/>
      <c r="C206" s="125" t="n"/>
      <c r="D206" s="126" t="n"/>
      <c r="E206" s="127" t="n"/>
      <c r="F206" s="128" t="n"/>
      <c r="G206" s="129">
        <f>IF(F206="","",ROUND(F206/60,2))</f>
        <v/>
      </c>
      <c r="H206" s="130" t="n"/>
      <c r="I206" s="131" t="n"/>
      <c r="J206" s="131">
        <f>IF(COUNTIF(B206:E206,"*")=0,"",IF(T206=1,"Invalid Service",IF(AND(V206=1,F206=""),"Add Session Mins",IF(AND(E206&gt;0,H206="",T206=""),"Enter Contract Rate",IF(AND(E206="IEP mtg, prep, rept",F206&gt;0),(G206*H206),IF(AND(E206&gt;0,F206&gt;0,H206&gt;0,I206=""),"Enter Travel",IF(AND(F206&gt;0,I206="Y"),(G206*H206)+$M$10,IF(AND(F206&gt;0,I206="N"),(G206*H206),H206))))))))</f>
        <v/>
      </c>
      <c r="K206" s="132">
        <f>J206</f>
        <v/>
      </c>
      <c r="L206" s="148" t="n"/>
      <c r="M206" s="148" t="n"/>
      <c r="N206" s="148" t="n"/>
      <c r="O206" s="87" t="n"/>
      <c r="P206" s="81" t="n"/>
      <c r="Q206" s="81" t="n"/>
      <c r="R206" s="81" t="n"/>
      <c r="S206" s="81" t="n"/>
      <c r="T206" s="136">
        <f>IF(AND(E206&gt;0,U206=0),1,"")</f>
        <v/>
      </c>
      <c r="U206" s="136">
        <f>SUM(X206:AR206)</f>
        <v/>
      </c>
      <c r="V206" s="136">
        <f>IF(E206=$Q$16,0,SUM(X206:AI206))</f>
        <v/>
      </c>
      <c r="W206" s="136">
        <f>SUM(AK206:AR206)</f>
        <v/>
      </c>
      <c r="X206" s="136">
        <f>IF(E206=$X$6,1,"")</f>
        <v/>
      </c>
      <c r="Y206" s="136">
        <f>IF(E206=$Y$6,1,"")</f>
        <v/>
      </c>
      <c r="Z206" s="136">
        <f>IF(E206=$Z$6,1,"")</f>
        <v/>
      </c>
      <c r="AA206" s="136">
        <f>IF(E206=$AA$6,1,"")</f>
        <v/>
      </c>
      <c r="AB206" s="136">
        <f>IF(E206=$AB$6,1,"")</f>
        <v/>
      </c>
      <c r="AC206" s="136">
        <f>IF(E206=$AC$6,1,"")</f>
        <v/>
      </c>
      <c r="AD206" s="136">
        <f>IF(E206=$AD$6,1,"")</f>
        <v/>
      </c>
      <c r="AE206" s="136">
        <f>IF(E206=$AE$6,1,"")</f>
        <v/>
      </c>
      <c r="AF206" s="136">
        <f>IF(E206=$AF$6,1,"")</f>
        <v/>
      </c>
      <c r="AG206" s="136">
        <f>IF(E206=$AG$6,1,"")</f>
        <v/>
      </c>
      <c r="AH206" s="136">
        <f>IF(E206=$AH$6,1,"")</f>
        <v/>
      </c>
      <c r="AI206" s="136">
        <f>IF(E206=$AI$6,1,"")</f>
        <v/>
      </c>
      <c r="AJ206" s="136">
        <f>IF(E206=$AJ$6,1,"")</f>
        <v/>
      </c>
      <c r="AK206" s="81">
        <f>IF(E206=$AK$6,1,"")</f>
        <v/>
      </c>
      <c r="AL206" s="81">
        <f>IF(E206=$AL$6,1,"")</f>
        <v/>
      </c>
      <c r="AM206" s="81">
        <f>IF(E206=$AM$6,1,"")</f>
        <v/>
      </c>
      <c r="AN206" s="81">
        <f>IF(E206=$AN$6,1,"")</f>
        <v/>
      </c>
      <c r="AO206" s="81">
        <f>IF(E206=$AO$6,1,"")</f>
        <v/>
      </c>
      <c r="AP206" s="81">
        <f>IF(E206=$AP$6,1,"")</f>
        <v/>
      </c>
      <c r="AQ206" s="81">
        <f>IF(E206=$AQ$6,1,"")</f>
        <v/>
      </c>
      <c r="AR206" s="81">
        <f>IF(E206=$AR$6,1,"")</f>
        <v/>
      </c>
      <c r="AS206" s="81" t="n"/>
    </row>
    <row r="207" ht="15.75" customHeight="1" s="80">
      <c r="A207" s="157" t="n"/>
      <c r="B207" s="124" t="n"/>
      <c r="C207" s="125" t="n"/>
      <c r="D207" s="126" t="n"/>
      <c r="E207" s="127" t="n"/>
      <c r="F207" s="128" t="n"/>
      <c r="G207" s="129">
        <f>IF(F207="","",ROUND(F207/60,2))</f>
        <v/>
      </c>
      <c r="H207" s="130" t="n"/>
      <c r="I207" s="131" t="n"/>
      <c r="J207" s="131">
        <f>IF(COUNTIF(B207:E207,"*")=0,"",IF(T207=1,"Invalid Service",IF(AND(V207=1,F207=""),"Add Session Mins",IF(AND(E207&gt;0,H207="",T207=""),"Enter Contract Rate",IF(AND(E207="IEP mtg, prep, rept",F207&gt;0),(G207*H207),IF(AND(E207&gt;0,F207&gt;0,H207&gt;0,I207=""),"Enter Travel",IF(AND(F207&gt;0,I207="Y"),(G207*H207)+$M$10,IF(AND(F207&gt;0,I207="N"),(G207*H207),H207))))))))</f>
        <v/>
      </c>
      <c r="K207" s="132">
        <f>J207</f>
        <v/>
      </c>
      <c r="L207" s="148" t="n"/>
      <c r="M207" s="148" t="n"/>
      <c r="N207" s="148" t="n"/>
      <c r="O207" s="87" t="n"/>
      <c r="P207" s="81" t="n"/>
      <c r="Q207" s="81" t="n"/>
      <c r="R207" s="81" t="n"/>
      <c r="S207" s="81" t="n"/>
      <c r="T207" s="136">
        <f>IF(AND(E207&gt;0,U207=0),1,"")</f>
        <v/>
      </c>
      <c r="U207" s="136">
        <f>SUM(X207:AR207)</f>
        <v/>
      </c>
      <c r="V207" s="136">
        <f>IF(E207=$Q$16,0,SUM(X207:AI207))</f>
        <v/>
      </c>
      <c r="W207" s="136">
        <f>SUM(AK207:AR207)</f>
        <v/>
      </c>
      <c r="X207" s="136">
        <f>IF(E207=$X$6,1,"")</f>
        <v/>
      </c>
      <c r="Y207" s="136">
        <f>IF(E207=$Y$6,1,"")</f>
        <v/>
      </c>
      <c r="Z207" s="136">
        <f>IF(E207=$Z$6,1,"")</f>
        <v/>
      </c>
      <c r="AA207" s="136">
        <f>IF(E207=$AA$6,1,"")</f>
        <v/>
      </c>
      <c r="AB207" s="136">
        <f>IF(E207=$AB$6,1,"")</f>
        <v/>
      </c>
      <c r="AC207" s="136">
        <f>IF(E207=$AC$6,1,"")</f>
        <v/>
      </c>
      <c r="AD207" s="136">
        <f>IF(E207=$AD$6,1,"")</f>
        <v/>
      </c>
      <c r="AE207" s="136">
        <f>IF(E207=$AE$6,1,"")</f>
        <v/>
      </c>
      <c r="AF207" s="136">
        <f>IF(E207=$AF$6,1,"")</f>
        <v/>
      </c>
      <c r="AG207" s="136">
        <f>IF(E207=$AG$6,1,"")</f>
        <v/>
      </c>
      <c r="AH207" s="136">
        <f>IF(E207=$AH$6,1,"")</f>
        <v/>
      </c>
      <c r="AI207" s="136">
        <f>IF(E207=$AI$6,1,"")</f>
        <v/>
      </c>
      <c r="AJ207" s="136">
        <f>IF(E207=$AJ$6,1,"")</f>
        <v/>
      </c>
      <c r="AK207" s="81">
        <f>IF(E207=$AK$6,1,"")</f>
        <v/>
      </c>
      <c r="AL207" s="81">
        <f>IF(E207=$AL$6,1,"")</f>
        <v/>
      </c>
      <c r="AM207" s="81">
        <f>IF(E207=$AM$6,1,"")</f>
        <v/>
      </c>
      <c r="AN207" s="81">
        <f>IF(E207=$AN$6,1,"")</f>
        <v/>
      </c>
      <c r="AO207" s="81">
        <f>IF(E207=$AO$6,1,"")</f>
        <v/>
      </c>
      <c r="AP207" s="81">
        <f>IF(E207=$AP$6,1,"")</f>
        <v/>
      </c>
      <c r="AQ207" s="81">
        <f>IF(E207=$AQ$6,1,"")</f>
        <v/>
      </c>
      <c r="AR207" s="81">
        <f>IF(E207=$AR$6,1,"")</f>
        <v/>
      </c>
      <c r="AS207" s="81" t="n"/>
    </row>
    <row r="208" ht="15.75" customHeight="1" s="80">
      <c r="A208" s="157" t="n"/>
      <c r="B208" s="124" t="n"/>
      <c r="C208" s="125" t="n"/>
      <c r="D208" s="126" t="n"/>
      <c r="E208" s="127" t="n"/>
      <c r="F208" s="128" t="n"/>
      <c r="G208" s="129">
        <f>IF(F208="","",ROUND(F208/60,2))</f>
        <v/>
      </c>
      <c r="H208" s="130" t="n"/>
      <c r="I208" s="131" t="n"/>
      <c r="J208" s="131">
        <f>IF(COUNTIF(B208:E208,"*")=0,"",IF(T208=1,"Invalid Service",IF(AND(V208=1,F208=""),"Add Session Mins",IF(AND(E208&gt;0,H208="",T208=""),"Enter Contract Rate",IF(AND(E208="IEP mtg, prep, rept",F208&gt;0),(G208*H208),IF(AND(E208&gt;0,F208&gt;0,H208&gt;0,I208=""),"Enter Travel",IF(AND(F208&gt;0,I208="Y"),(G208*H208)+$M$10,IF(AND(F208&gt;0,I208="N"),(G208*H208),H208))))))))</f>
        <v/>
      </c>
      <c r="K208" s="132">
        <f>J208</f>
        <v/>
      </c>
      <c r="L208" s="148" t="n"/>
      <c r="M208" s="148" t="n"/>
      <c r="N208" s="148" t="n"/>
      <c r="O208" s="87" t="n"/>
      <c r="P208" s="81" t="n"/>
      <c r="Q208" s="81" t="n"/>
      <c r="R208" s="81" t="n"/>
      <c r="S208" s="81" t="n"/>
      <c r="T208" s="136">
        <f>IF(AND(E208&gt;0,U208=0),1,"")</f>
        <v/>
      </c>
      <c r="U208" s="136">
        <f>SUM(X208:AR208)</f>
        <v/>
      </c>
      <c r="V208" s="136">
        <f>IF(E208=$Q$16,0,SUM(X208:AI208))</f>
        <v/>
      </c>
      <c r="W208" s="136">
        <f>SUM(AK208:AR208)</f>
        <v/>
      </c>
      <c r="X208" s="136">
        <f>IF(E208=$X$6,1,"")</f>
        <v/>
      </c>
      <c r="Y208" s="136">
        <f>IF(E208=$Y$6,1,"")</f>
        <v/>
      </c>
      <c r="Z208" s="136">
        <f>IF(E208=$Z$6,1,"")</f>
        <v/>
      </c>
      <c r="AA208" s="136">
        <f>IF(E208=$AA$6,1,"")</f>
        <v/>
      </c>
      <c r="AB208" s="136">
        <f>IF(E208=$AB$6,1,"")</f>
        <v/>
      </c>
      <c r="AC208" s="136">
        <f>IF(E208=$AC$6,1,"")</f>
        <v/>
      </c>
      <c r="AD208" s="136">
        <f>IF(E208=$AD$6,1,"")</f>
        <v/>
      </c>
      <c r="AE208" s="136">
        <f>IF(E208=$AE$6,1,"")</f>
        <v/>
      </c>
      <c r="AF208" s="136">
        <f>IF(E208=$AF$6,1,"")</f>
        <v/>
      </c>
      <c r="AG208" s="136">
        <f>IF(E208=$AG$6,1,"")</f>
        <v/>
      </c>
      <c r="AH208" s="136">
        <f>IF(E208=$AH$6,1,"")</f>
        <v/>
      </c>
      <c r="AI208" s="136">
        <f>IF(E208=$AI$6,1,"")</f>
        <v/>
      </c>
      <c r="AJ208" s="136">
        <f>IF(E208=$AJ$6,1,"")</f>
        <v/>
      </c>
      <c r="AK208" s="81">
        <f>IF(E208=$AK$6,1,"")</f>
        <v/>
      </c>
      <c r="AL208" s="81">
        <f>IF(E208=$AL$6,1,"")</f>
        <v/>
      </c>
      <c r="AM208" s="81">
        <f>IF(E208=$AM$6,1,"")</f>
        <v/>
      </c>
      <c r="AN208" s="81">
        <f>IF(E208=$AN$6,1,"")</f>
        <v/>
      </c>
      <c r="AO208" s="81">
        <f>IF(E208=$AO$6,1,"")</f>
        <v/>
      </c>
      <c r="AP208" s="81">
        <f>IF(E208=$AP$6,1,"")</f>
        <v/>
      </c>
      <c r="AQ208" s="81">
        <f>IF(E208=$AQ$6,1,"")</f>
        <v/>
      </c>
      <c r="AR208" s="81">
        <f>IF(E208=$AR$6,1,"")</f>
        <v/>
      </c>
      <c r="AS208" s="81" t="n"/>
    </row>
    <row r="209" ht="15.75" customHeight="1" s="80">
      <c r="A209" s="157" t="n"/>
      <c r="B209" s="124" t="n"/>
      <c r="C209" s="125" t="n"/>
      <c r="D209" s="126" t="n"/>
      <c r="E209" s="127" t="n"/>
      <c r="F209" s="128" t="n"/>
      <c r="G209" s="129">
        <f>IF(F209="","",ROUND(F209/60,2))</f>
        <v/>
      </c>
      <c r="H209" s="130" t="n"/>
      <c r="I209" s="131" t="n"/>
      <c r="J209" s="131">
        <f>IF(COUNTIF(B209:E209,"*")=0,"",IF(T209=1,"Invalid Service",IF(AND(V209=1,F209=""),"Add Session Mins",IF(AND(E209&gt;0,H209="",T209=""),"Enter Contract Rate",IF(AND(E209="IEP mtg, prep, rept",F209&gt;0),(G209*H209),IF(AND(E209&gt;0,F209&gt;0,H209&gt;0,I209=""),"Enter Travel",IF(AND(F209&gt;0,I209="Y"),(G209*H209)+$M$10,IF(AND(F209&gt;0,I209="N"),(G209*H209),H209))))))))</f>
        <v/>
      </c>
      <c r="K209" s="132">
        <f>J209</f>
        <v/>
      </c>
      <c r="L209" s="148" t="n"/>
      <c r="M209" s="148" t="n"/>
      <c r="N209" s="148" t="n"/>
      <c r="O209" s="87" t="n"/>
      <c r="P209" s="81" t="n"/>
      <c r="Q209" s="81" t="n"/>
      <c r="R209" s="81" t="n"/>
      <c r="S209" s="81" t="n"/>
      <c r="T209" s="136">
        <f>IF(AND(E209&gt;0,U209=0),1,"")</f>
        <v/>
      </c>
      <c r="U209" s="136">
        <f>SUM(X209:AR209)</f>
        <v/>
      </c>
      <c r="V209" s="136">
        <f>IF(E209=$Q$16,0,SUM(X209:AI209))</f>
        <v/>
      </c>
      <c r="W209" s="136">
        <f>SUM(AK209:AR209)</f>
        <v/>
      </c>
      <c r="X209" s="136">
        <f>IF(E209=$X$6,1,"")</f>
        <v/>
      </c>
      <c r="Y209" s="136">
        <f>IF(E209=$Y$6,1,"")</f>
        <v/>
      </c>
      <c r="Z209" s="136">
        <f>IF(E209=$Z$6,1,"")</f>
        <v/>
      </c>
      <c r="AA209" s="136">
        <f>IF(E209=$AA$6,1,"")</f>
        <v/>
      </c>
      <c r="AB209" s="136">
        <f>IF(E209=$AB$6,1,"")</f>
        <v/>
      </c>
      <c r="AC209" s="136">
        <f>IF(E209=$AC$6,1,"")</f>
        <v/>
      </c>
      <c r="AD209" s="136">
        <f>IF(E209=$AD$6,1,"")</f>
        <v/>
      </c>
      <c r="AE209" s="136">
        <f>IF(E209=$AE$6,1,"")</f>
        <v/>
      </c>
      <c r="AF209" s="136">
        <f>IF(E209=$AF$6,1,"")</f>
        <v/>
      </c>
      <c r="AG209" s="136">
        <f>IF(E209=$AG$6,1,"")</f>
        <v/>
      </c>
      <c r="AH209" s="136">
        <f>IF(E209=$AH$6,1,"")</f>
        <v/>
      </c>
      <c r="AI209" s="136">
        <f>IF(E209=$AI$6,1,"")</f>
        <v/>
      </c>
      <c r="AJ209" s="136">
        <f>IF(E209=$AJ$6,1,"")</f>
        <v/>
      </c>
      <c r="AK209" s="81">
        <f>IF(E209=$AK$6,1,"")</f>
        <v/>
      </c>
      <c r="AL209" s="81">
        <f>IF(E209=$AL$6,1,"")</f>
        <v/>
      </c>
      <c r="AM209" s="81">
        <f>IF(E209=$AM$6,1,"")</f>
        <v/>
      </c>
      <c r="AN209" s="81">
        <f>IF(E209=$AN$6,1,"")</f>
        <v/>
      </c>
      <c r="AO209" s="81">
        <f>IF(E209=$AO$6,1,"")</f>
        <v/>
      </c>
      <c r="AP209" s="81">
        <f>IF(E209=$AP$6,1,"")</f>
        <v/>
      </c>
      <c r="AQ209" s="81">
        <f>IF(E209=$AQ$6,1,"")</f>
        <v/>
      </c>
      <c r="AR209" s="81">
        <f>IF(E209=$AR$6,1,"")</f>
        <v/>
      </c>
      <c r="AS209" s="81" t="n"/>
    </row>
    <row r="210" ht="15.75" customHeight="1" s="80">
      <c r="A210" s="157" t="n"/>
      <c r="B210" s="124" t="n"/>
      <c r="C210" s="125" t="n"/>
      <c r="D210" s="126" t="n"/>
      <c r="E210" s="127" t="n"/>
      <c r="F210" s="128" t="n"/>
      <c r="G210" s="129">
        <f>IF(F210="","",ROUND(F210/60,2))</f>
        <v/>
      </c>
      <c r="H210" s="130" t="n"/>
      <c r="I210" s="131" t="n"/>
      <c r="J210" s="131">
        <f>IF(COUNTIF(B210:E210,"*")=0,"",IF(T210=1,"Invalid Service",IF(AND(V210=1,F210=""),"Add Session Mins",IF(AND(E210&gt;0,H210="",T210=""),"Enter Contract Rate",IF(AND(E210="IEP mtg, prep, rept",F210&gt;0),(G210*H210),IF(AND(E210&gt;0,F210&gt;0,H210&gt;0,I210=""),"Enter Travel",IF(AND(F210&gt;0,I210="Y"),(G210*H210)+$M$10,IF(AND(F210&gt;0,I210="N"),(G210*H210),H210))))))))</f>
        <v/>
      </c>
      <c r="K210" s="132">
        <f>J210</f>
        <v/>
      </c>
      <c r="L210" s="148" t="n"/>
      <c r="M210" s="148" t="n"/>
      <c r="N210" s="148" t="n"/>
      <c r="O210" s="87" t="n"/>
      <c r="P210" s="81" t="n"/>
      <c r="Q210" s="81" t="n"/>
      <c r="R210" s="81" t="n"/>
      <c r="S210" s="81" t="n"/>
      <c r="T210" s="136">
        <f>IF(AND(E210&gt;0,U210=0),1,"")</f>
        <v/>
      </c>
      <c r="U210" s="136">
        <f>SUM(X210:AR210)</f>
        <v/>
      </c>
      <c r="V210" s="136">
        <f>IF(E210=$Q$16,0,SUM(X210:AI210))</f>
        <v/>
      </c>
      <c r="W210" s="136">
        <f>SUM(AK210:AR210)</f>
        <v/>
      </c>
      <c r="X210" s="136">
        <f>IF(E210=$X$6,1,"")</f>
        <v/>
      </c>
      <c r="Y210" s="136">
        <f>IF(E210=$Y$6,1,"")</f>
        <v/>
      </c>
      <c r="Z210" s="136">
        <f>IF(E210=$Z$6,1,"")</f>
        <v/>
      </c>
      <c r="AA210" s="136">
        <f>IF(E210=$AA$6,1,"")</f>
        <v/>
      </c>
      <c r="AB210" s="136">
        <f>IF(E210=$AB$6,1,"")</f>
        <v/>
      </c>
      <c r="AC210" s="136">
        <f>IF(E210=$AC$6,1,"")</f>
        <v/>
      </c>
      <c r="AD210" s="136">
        <f>IF(E210=$AD$6,1,"")</f>
        <v/>
      </c>
      <c r="AE210" s="136">
        <f>IF(E210=$AE$6,1,"")</f>
        <v/>
      </c>
      <c r="AF210" s="136">
        <f>IF(E210=$AF$6,1,"")</f>
        <v/>
      </c>
      <c r="AG210" s="136">
        <f>IF(E210=$AG$6,1,"")</f>
        <v/>
      </c>
      <c r="AH210" s="136">
        <f>IF(E210=$AH$6,1,"")</f>
        <v/>
      </c>
      <c r="AI210" s="136">
        <f>IF(E210=$AI$6,1,"")</f>
        <v/>
      </c>
      <c r="AJ210" s="136">
        <f>IF(E210=$AJ$6,1,"")</f>
        <v/>
      </c>
      <c r="AK210" s="81">
        <f>IF(E210=$AK$6,1,"")</f>
        <v/>
      </c>
      <c r="AL210" s="81">
        <f>IF(E210=$AL$6,1,"")</f>
        <v/>
      </c>
      <c r="AM210" s="81">
        <f>IF(E210=$AM$6,1,"")</f>
        <v/>
      </c>
      <c r="AN210" s="81">
        <f>IF(E210=$AN$6,1,"")</f>
        <v/>
      </c>
      <c r="AO210" s="81">
        <f>IF(E210=$AO$6,1,"")</f>
        <v/>
      </c>
      <c r="AP210" s="81">
        <f>IF(E210=$AP$6,1,"")</f>
        <v/>
      </c>
      <c r="AQ210" s="81">
        <f>IF(E210=$AQ$6,1,"")</f>
        <v/>
      </c>
      <c r="AR210" s="81">
        <f>IF(E210=$AR$6,1,"")</f>
        <v/>
      </c>
      <c r="AS210" s="81" t="n"/>
    </row>
    <row r="211" ht="15.75" customHeight="1" s="80">
      <c r="A211" s="157" t="n"/>
      <c r="B211" s="124" t="n"/>
      <c r="C211" s="125" t="n"/>
      <c r="D211" s="126" t="n"/>
      <c r="E211" s="127" t="n"/>
      <c r="F211" s="128" t="n"/>
      <c r="G211" s="129">
        <f>IF(F211="","",ROUND(F211/60,2))</f>
        <v/>
      </c>
      <c r="H211" s="130" t="n"/>
      <c r="I211" s="131" t="n"/>
      <c r="J211" s="131">
        <f>IF(COUNTIF(B211:E211,"*")=0,"",IF(T211=1,"Invalid Service",IF(AND(V211=1,F211=""),"Add Session Mins",IF(AND(E211&gt;0,H211="",T211=""),"Enter Contract Rate",IF(AND(E211="IEP mtg, prep, rept",F211&gt;0),(G211*H211),IF(AND(E211&gt;0,F211&gt;0,H211&gt;0,I211=""),"Enter Travel",IF(AND(F211&gt;0,I211="Y"),(G211*H211)+$M$10,IF(AND(F211&gt;0,I211="N"),(G211*H211),H211))))))))</f>
        <v/>
      </c>
      <c r="K211" s="132">
        <f>J211</f>
        <v/>
      </c>
      <c r="L211" s="148" t="n"/>
      <c r="M211" s="148" t="n"/>
      <c r="N211" s="148" t="n"/>
      <c r="O211" s="87" t="n"/>
      <c r="P211" s="81" t="n"/>
      <c r="Q211" s="81" t="n"/>
      <c r="R211" s="81" t="n"/>
      <c r="S211" s="81" t="n"/>
      <c r="T211" s="136">
        <f>IF(AND(E211&gt;0,U211=0),1,"")</f>
        <v/>
      </c>
      <c r="U211" s="136">
        <f>SUM(X211:AR211)</f>
        <v/>
      </c>
      <c r="V211" s="136">
        <f>IF(E211=$Q$16,0,SUM(X211:AI211))</f>
        <v/>
      </c>
      <c r="W211" s="136">
        <f>SUM(AK211:AR211)</f>
        <v/>
      </c>
      <c r="X211" s="136">
        <f>IF(E211=$X$6,1,"")</f>
        <v/>
      </c>
      <c r="Y211" s="136">
        <f>IF(E211=$Y$6,1,"")</f>
        <v/>
      </c>
      <c r="Z211" s="136">
        <f>IF(E211=$Z$6,1,"")</f>
        <v/>
      </c>
      <c r="AA211" s="136">
        <f>IF(E211=$AA$6,1,"")</f>
        <v/>
      </c>
      <c r="AB211" s="136">
        <f>IF(E211=$AB$6,1,"")</f>
        <v/>
      </c>
      <c r="AC211" s="136">
        <f>IF(E211=$AC$6,1,"")</f>
        <v/>
      </c>
      <c r="AD211" s="136">
        <f>IF(E211=$AD$6,1,"")</f>
        <v/>
      </c>
      <c r="AE211" s="136">
        <f>IF(E211=$AE$6,1,"")</f>
        <v/>
      </c>
      <c r="AF211" s="136">
        <f>IF(E211=$AF$6,1,"")</f>
        <v/>
      </c>
      <c r="AG211" s="136">
        <f>IF(E211=$AG$6,1,"")</f>
        <v/>
      </c>
      <c r="AH211" s="136">
        <f>IF(E211=$AH$6,1,"")</f>
        <v/>
      </c>
      <c r="AI211" s="136">
        <f>IF(E211=$AI$6,1,"")</f>
        <v/>
      </c>
      <c r="AJ211" s="136">
        <f>IF(E211=$AJ$6,1,"")</f>
        <v/>
      </c>
      <c r="AK211" s="81">
        <f>IF(E211=$AK$6,1,"")</f>
        <v/>
      </c>
      <c r="AL211" s="81">
        <f>IF(E211=$AL$6,1,"")</f>
        <v/>
      </c>
      <c r="AM211" s="81">
        <f>IF(E211=$AM$6,1,"")</f>
        <v/>
      </c>
      <c r="AN211" s="81">
        <f>IF(E211=$AN$6,1,"")</f>
        <v/>
      </c>
      <c r="AO211" s="81">
        <f>IF(E211=$AO$6,1,"")</f>
        <v/>
      </c>
      <c r="AP211" s="81">
        <f>IF(E211=$AP$6,1,"")</f>
        <v/>
      </c>
      <c r="AQ211" s="81">
        <f>IF(E211=$AQ$6,1,"")</f>
        <v/>
      </c>
      <c r="AR211" s="81">
        <f>IF(E211=$AR$6,1,"")</f>
        <v/>
      </c>
      <c r="AS211" s="81" t="n"/>
    </row>
    <row r="212" ht="15.75" customHeight="1" s="80">
      <c r="A212" s="157" t="n"/>
      <c r="B212" s="124" t="n"/>
      <c r="C212" s="125" t="n"/>
      <c r="D212" s="126" t="n"/>
      <c r="E212" s="127" t="n"/>
      <c r="F212" s="128" t="n"/>
      <c r="G212" s="129">
        <f>IF(F212="","",ROUND(F212/60,2))</f>
        <v/>
      </c>
      <c r="H212" s="130" t="n"/>
      <c r="I212" s="131" t="n"/>
      <c r="J212" s="131">
        <f>IF(COUNTIF(B212:E212,"*")=0,"",IF(T212=1,"Invalid Service",IF(AND(V212=1,F212=""),"Add Session Mins",IF(AND(E212&gt;0,H212="",T212=""),"Enter Contract Rate",IF(AND(E212="IEP mtg, prep, rept",F212&gt;0),(G212*H212),IF(AND(E212&gt;0,F212&gt;0,H212&gt;0,I212=""),"Enter Travel",IF(AND(F212&gt;0,I212="Y"),(G212*H212)+$M$10,IF(AND(F212&gt;0,I212="N"),(G212*H212),H212))))))))</f>
        <v/>
      </c>
      <c r="K212" s="132">
        <f>J212</f>
        <v/>
      </c>
      <c r="L212" s="148" t="n"/>
      <c r="M212" s="148" t="n"/>
      <c r="N212" s="148" t="n"/>
      <c r="O212" s="87" t="n"/>
      <c r="P212" s="81" t="n"/>
      <c r="Q212" s="81" t="n"/>
      <c r="R212" s="81" t="n"/>
      <c r="S212" s="81" t="n"/>
      <c r="T212" s="136">
        <f>IF(AND(E212&gt;0,U212=0),1,"")</f>
        <v/>
      </c>
      <c r="U212" s="136">
        <f>SUM(X212:AR212)</f>
        <v/>
      </c>
      <c r="V212" s="136">
        <f>IF(E212=$Q$16,0,SUM(X212:AI212))</f>
        <v/>
      </c>
      <c r="W212" s="136">
        <f>SUM(AK212:AR212)</f>
        <v/>
      </c>
      <c r="X212" s="136">
        <f>IF(E212=$X$6,1,"")</f>
        <v/>
      </c>
      <c r="Y212" s="136">
        <f>IF(E212=$Y$6,1,"")</f>
        <v/>
      </c>
      <c r="Z212" s="136">
        <f>IF(E212=$Z$6,1,"")</f>
        <v/>
      </c>
      <c r="AA212" s="136">
        <f>IF(E212=$AA$6,1,"")</f>
        <v/>
      </c>
      <c r="AB212" s="136">
        <f>IF(E212=$AB$6,1,"")</f>
        <v/>
      </c>
      <c r="AC212" s="136">
        <f>IF(E212=$AC$6,1,"")</f>
        <v/>
      </c>
      <c r="AD212" s="136">
        <f>IF(E212=$AD$6,1,"")</f>
        <v/>
      </c>
      <c r="AE212" s="136">
        <f>IF(E212=$AE$6,1,"")</f>
        <v/>
      </c>
      <c r="AF212" s="136">
        <f>IF(E212=$AF$6,1,"")</f>
        <v/>
      </c>
      <c r="AG212" s="136">
        <f>IF(E212=$AG$6,1,"")</f>
        <v/>
      </c>
      <c r="AH212" s="136">
        <f>IF(E212=$AH$6,1,"")</f>
        <v/>
      </c>
      <c r="AI212" s="136">
        <f>IF(E212=$AI$6,1,"")</f>
        <v/>
      </c>
      <c r="AJ212" s="136">
        <f>IF(E212=$AJ$6,1,"")</f>
        <v/>
      </c>
      <c r="AK212" s="81">
        <f>IF(E212=$AK$6,1,"")</f>
        <v/>
      </c>
      <c r="AL212" s="81">
        <f>IF(E212=$AL$6,1,"")</f>
        <v/>
      </c>
      <c r="AM212" s="81">
        <f>IF(E212=$AM$6,1,"")</f>
        <v/>
      </c>
      <c r="AN212" s="81">
        <f>IF(E212=$AN$6,1,"")</f>
        <v/>
      </c>
      <c r="AO212" s="81">
        <f>IF(E212=$AO$6,1,"")</f>
        <v/>
      </c>
      <c r="AP212" s="81">
        <f>IF(E212=$AP$6,1,"")</f>
        <v/>
      </c>
      <c r="AQ212" s="81">
        <f>IF(E212=$AQ$6,1,"")</f>
        <v/>
      </c>
      <c r="AR212" s="81">
        <f>IF(E212=$AR$6,1,"")</f>
        <v/>
      </c>
      <c r="AS212" s="81" t="n"/>
    </row>
    <row r="213" ht="15.75" customHeight="1" s="80">
      <c r="A213" s="157" t="n"/>
      <c r="B213" s="124" t="n"/>
      <c r="C213" s="125" t="n"/>
      <c r="D213" s="126" t="n"/>
      <c r="E213" s="127" t="n"/>
      <c r="F213" s="128" t="n"/>
      <c r="G213" s="129">
        <f>IF(F213="","",ROUND(F213/60,2))</f>
        <v/>
      </c>
      <c r="H213" s="130" t="n"/>
      <c r="I213" s="131" t="n"/>
      <c r="J213" s="131">
        <f>IF(COUNTIF(B213:E213,"*")=0,"",IF(T213=1,"Invalid Service",IF(AND(V213=1,F213=""),"Add Session Mins",IF(AND(E213&gt;0,H213="",T213=""),"Enter Contract Rate",IF(AND(E213="IEP mtg, prep, rept",F213&gt;0),(G213*H213),IF(AND(E213&gt;0,F213&gt;0,H213&gt;0,I213=""),"Enter Travel",IF(AND(F213&gt;0,I213="Y"),(G213*H213)+$M$10,IF(AND(F213&gt;0,I213="N"),(G213*H213),H213))))))))</f>
        <v/>
      </c>
      <c r="K213" s="132">
        <f>J213</f>
        <v/>
      </c>
      <c r="L213" s="148" t="n"/>
      <c r="M213" s="148" t="n"/>
      <c r="N213" s="148" t="n"/>
      <c r="O213" s="87" t="n"/>
      <c r="P213" s="81" t="n"/>
      <c r="Q213" s="81" t="n"/>
      <c r="R213" s="81" t="n"/>
      <c r="S213" s="81" t="n"/>
      <c r="T213" s="136">
        <f>IF(AND(E213&gt;0,U213=0),1,"")</f>
        <v/>
      </c>
      <c r="U213" s="136">
        <f>SUM(X213:AR213)</f>
        <v/>
      </c>
      <c r="V213" s="136">
        <f>IF(E213=$Q$16,0,SUM(X213:AI213))</f>
        <v/>
      </c>
      <c r="W213" s="136">
        <f>SUM(AK213:AR213)</f>
        <v/>
      </c>
      <c r="X213" s="136">
        <f>IF(E213=$X$6,1,"")</f>
        <v/>
      </c>
      <c r="Y213" s="136">
        <f>IF(E213=$Y$6,1,"")</f>
        <v/>
      </c>
      <c r="Z213" s="136">
        <f>IF(E213=$Z$6,1,"")</f>
        <v/>
      </c>
      <c r="AA213" s="136">
        <f>IF(E213=$AA$6,1,"")</f>
        <v/>
      </c>
      <c r="AB213" s="136">
        <f>IF(E213=$AB$6,1,"")</f>
        <v/>
      </c>
      <c r="AC213" s="136">
        <f>IF(E213=$AC$6,1,"")</f>
        <v/>
      </c>
      <c r="AD213" s="136">
        <f>IF(E213=$AD$6,1,"")</f>
        <v/>
      </c>
      <c r="AE213" s="136">
        <f>IF(E213=$AE$6,1,"")</f>
        <v/>
      </c>
      <c r="AF213" s="136">
        <f>IF(E213=$AF$6,1,"")</f>
        <v/>
      </c>
      <c r="AG213" s="136">
        <f>IF(E213=$AG$6,1,"")</f>
        <v/>
      </c>
      <c r="AH213" s="136">
        <f>IF(E213=$AH$6,1,"")</f>
        <v/>
      </c>
      <c r="AI213" s="136">
        <f>IF(E213=$AI$6,1,"")</f>
        <v/>
      </c>
      <c r="AJ213" s="136">
        <f>IF(E213=$AJ$6,1,"")</f>
        <v/>
      </c>
      <c r="AK213" s="81">
        <f>IF(E213=$AK$6,1,"")</f>
        <v/>
      </c>
      <c r="AL213" s="81">
        <f>IF(E213=$AL$6,1,"")</f>
        <v/>
      </c>
      <c r="AM213" s="81">
        <f>IF(E213=$AM$6,1,"")</f>
        <v/>
      </c>
      <c r="AN213" s="81">
        <f>IF(E213=$AN$6,1,"")</f>
        <v/>
      </c>
      <c r="AO213" s="81">
        <f>IF(E213=$AO$6,1,"")</f>
        <v/>
      </c>
      <c r="AP213" s="81">
        <f>IF(E213=$AP$6,1,"")</f>
        <v/>
      </c>
      <c r="AQ213" s="81">
        <f>IF(E213=$AQ$6,1,"")</f>
        <v/>
      </c>
      <c r="AR213" s="81">
        <f>IF(E213=$AR$6,1,"")</f>
        <v/>
      </c>
      <c r="AS213" s="81" t="n"/>
    </row>
    <row r="214" ht="15.75" customHeight="1" s="80">
      <c r="A214" s="157" t="n"/>
      <c r="B214" s="124" t="n"/>
      <c r="C214" s="125" t="n"/>
      <c r="D214" s="126" t="n"/>
      <c r="E214" s="127" t="n"/>
      <c r="F214" s="128" t="n"/>
      <c r="G214" s="129">
        <f>IF(F214="","",ROUND(F214/60,2))</f>
        <v/>
      </c>
      <c r="H214" s="130" t="n"/>
      <c r="I214" s="131" t="n"/>
      <c r="J214" s="131">
        <f>IF(COUNTIF(B214:E214,"*")=0,"",IF(T214=1,"Invalid Service",IF(AND(V214=1,F214=""),"Add Session Mins",IF(AND(E214&gt;0,H214="",T214=""),"Enter Contract Rate",IF(AND(E214="IEP mtg, prep, rept",F214&gt;0),(G214*H214),IF(AND(E214&gt;0,F214&gt;0,H214&gt;0,I214=""),"Enter Travel",IF(AND(F214&gt;0,I214="Y"),(G214*H214)+$M$10,IF(AND(F214&gt;0,I214="N"),(G214*H214),H214))))))))</f>
        <v/>
      </c>
      <c r="K214" s="132">
        <f>J214</f>
        <v/>
      </c>
      <c r="L214" s="148" t="n"/>
      <c r="M214" s="148" t="n"/>
      <c r="N214" s="148" t="n"/>
      <c r="O214" s="87" t="n"/>
      <c r="P214" s="81" t="n"/>
      <c r="Q214" s="81" t="n"/>
      <c r="R214" s="81" t="n"/>
      <c r="S214" s="81" t="n"/>
      <c r="T214" s="136">
        <f>IF(AND(E214&gt;0,U214=0),1,"")</f>
        <v/>
      </c>
      <c r="U214" s="136">
        <f>SUM(X214:AR214)</f>
        <v/>
      </c>
      <c r="V214" s="136">
        <f>IF(E214=$Q$16,0,SUM(X214:AI214))</f>
        <v/>
      </c>
      <c r="W214" s="136">
        <f>SUM(AK214:AR214)</f>
        <v/>
      </c>
      <c r="X214" s="136">
        <f>IF(E214=$X$6,1,"")</f>
        <v/>
      </c>
      <c r="Y214" s="136">
        <f>IF(E214=$Y$6,1,"")</f>
        <v/>
      </c>
      <c r="Z214" s="136">
        <f>IF(E214=$Z$6,1,"")</f>
        <v/>
      </c>
      <c r="AA214" s="136">
        <f>IF(E214=$AA$6,1,"")</f>
        <v/>
      </c>
      <c r="AB214" s="136">
        <f>IF(E214=$AB$6,1,"")</f>
        <v/>
      </c>
      <c r="AC214" s="136">
        <f>IF(E214=$AC$6,1,"")</f>
        <v/>
      </c>
      <c r="AD214" s="136">
        <f>IF(E214=$AD$6,1,"")</f>
        <v/>
      </c>
      <c r="AE214" s="136">
        <f>IF(E214=$AE$6,1,"")</f>
        <v/>
      </c>
      <c r="AF214" s="136">
        <f>IF(E214=$AF$6,1,"")</f>
        <v/>
      </c>
      <c r="AG214" s="136">
        <f>IF(E214=$AG$6,1,"")</f>
        <v/>
      </c>
      <c r="AH214" s="136">
        <f>IF(E214=$AH$6,1,"")</f>
        <v/>
      </c>
      <c r="AI214" s="136">
        <f>IF(E214=$AI$6,1,"")</f>
        <v/>
      </c>
      <c r="AJ214" s="136">
        <f>IF(E214=$AJ$6,1,"")</f>
        <v/>
      </c>
      <c r="AK214" s="81">
        <f>IF(E214=$AK$6,1,"")</f>
        <v/>
      </c>
      <c r="AL214" s="81">
        <f>IF(E214=$AL$6,1,"")</f>
        <v/>
      </c>
      <c r="AM214" s="81">
        <f>IF(E214=$AM$6,1,"")</f>
        <v/>
      </c>
      <c r="AN214" s="81">
        <f>IF(E214=$AN$6,1,"")</f>
        <v/>
      </c>
      <c r="AO214" s="81">
        <f>IF(E214=$AO$6,1,"")</f>
        <v/>
      </c>
      <c r="AP214" s="81">
        <f>IF(E214=$AP$6,1,"")</f>
        <v/>
      </c>
      <c r="AQ214" s="81">
        <f>IF(E214=$AQ$6,1,"")</f>
        <v/>
      </c>
      <c r="AR214" s="81">
        <f>IF(E214=$AR$6,1,"")</f>
        <v/>
      </c>
      <c r="AS214" s="81" t="n"/>
    </row>
    <row r="215" ht="15.75" customHeight="1" s="80">
      <c r="A215" s="157" t="n"/>
      <c r="B215" s="124" t="n"/>
      <c r="C215" s="125" t="n"/>
      <c r="D215" s="126" t="n"/>
      <c r="E215" s="127" t="n"/>
      <c r="F215" s="128" t="n"/>
      <c r="G215" s="129">
        <f>IF(F215="","",ROUND(F215/60,2))</f>
        <v/>
      </c>
      <c r="H215" s="130" t="n"/>
      <c r="I215" s="131" t="n"/>
      <c r="J215" s="131">
        <f>IF(COUNTIF(B215:E215,"*")=0,"",IF(T215=1,"Invalid Service",IF(AND(V215=1,F215=""),"Add Session Mins",IF(AND(E215&gt;0,H215="",T215=""),"Enter Contract Rate",IF(AND(E215="IEP mtg, prep, rept",F215&gt;0),(G215*H215),IF(AND(E215&gt;0,F215&gt;0,H215&gt;0,I215=""),"Enter Travel",IF(AND(F215&gt;0,I215="Y"),(G215*H215)+$M$10,IF(AND(F215&gt;0,I215="N"),(G215*H215),H215))))))))</f>
        <v/>
      </c>
      <c r="K215" s="132">
        <f>J215</f>
        <v/>
      </c>
      <c r="L215" s="148" t="n"/>
      <c r="M215" s="148" t="n"/>
      <c r="N215" s="148" t="n"/>
      <c r="O215" s="87" t="n"/>
      <c r="P215" s="81" t="n"/>
      <c r="Q215" s="81" t="n"/>
      <c r="R215" s="81" t="n"/>
      <c r="S215" s="81" t="n"/>
      <c r="T215" s="136">
        <f>IF(AND(E215&gt;0,U215=0),1,"")</f>
        <v/>
      </c>
      <c r="U215" s="136">
        <f>SUM(X215:AR215)</f>
        <v/>
      </c>
      <c r="V215" s="136">
        <f>IF(E215=$Q$16,0,SUM(X215:AI215))</f>
        <v/>
      </c>
      <c r="W215" s="136">
        <f>SUM(AK215:AR215)</f>
        <v/>
      </c>
      <c r="X215" s="136">
        <f>IF(E215=$X$6,1,"")</f>
        <v/>
      </c>
      <c r="Y215" s="136">
        <f>IF(E215=$Y$6,1,"")</f>
        <v/>
      </c>
      <c r="Z215" s="136">
        <f>IF(E215=$Z$6,1,"")</f>
        <v/>
      </c>
      <c r="AA215" s="136">
        <f>IF(E215=$AA$6,1,"")</f>
        <v/>
      </c>
      <c r="AB215" s="136">
        <f>IF(E215=$AB$6,1,"")</f>
        <v/>
      </c>
      <c r="AC215" s="136">
        <f>IF(E215=$AC$6,1,"")</f>
        <v/>
      </c>
      <c r="AD215" s="136">
        <f>IF(E215=$AD$6,1,"")</f>
        <v/>
      </c>
      <c r="AE215" s="136">
        <f>IF(E215=$AE$6,1,"")</f>
        <v/>
      </c>
      <c r="AF215" s="136">
        <f>IF(E215=$AF$6,1,"")</f>
        <v/>
      </c>
      <c r="AG215" s="136">
        <f>IF(E215=$AG$6,1,"")</f>
        <v/>
      </c>
      <c r="AH215" s="136">
        <f>IF(E215=$AH$6,1,"")</f>
        <v/>
      </c>
      <c r="AI215" s="136">
        <f>IF(E215=$AI$6,1,"")</f>
        <v/>
      </c>
      <c r="AJ215" s="136">
        <f>IF(E215=$AJ$6,1,"")</f>
        <v/>
      </c>
      <c r="AK215" s="81">
        <f>IF(E215=$AK$6,1,"")</f>
        <v/>
      </c>
      <c r="AL215" s="81">
        <f>IF(E215=$AL$6,1,"")</f>
        <v/>
      </c>
      <c r="AM215" s="81">
        <f>IF(E215=$AM$6,1,"")</f>
        <v/>
      </c>
      <c r="AN215" s="81">
        <f>IF(E215=$AN$6,1,"")</f>
        <v/>
      </c>
      <c r="AO215" s="81">
        <f>IF(E215=$AO$6,1,"")</f>
        <v/>
      </c>
      <c r="AP215" s="81">
        <f>IF(E215=$AP$6,1,"")</f>
        <v/>
      </c>
      <c r="AQ215" s="81">
        <f>IF(E215=$AQ$6,1,"")</f>
        <v/>
      </c>
      <c r="AR215" s="81">
        <f>IF(E215=$AR$6,1,"")</f>
        <v/>
      </c>
      <c r="AS215" s="81" t="n"/>
    </row>
    <row r="216" ht="15.75" customHeight="1" s="80">
      <c r="A216" s="157" t="n"/>
      <c r="B216" s="124" t="n"/>
      <c r="C216" s="125" t="n"/>
      <c r="D216" s="126" t="n"/>
      <c r="E216" s="127" t="n"/>
      <c r="F216" s="128" t="n"/>
      <c r="G216" s="129">
        <f>IF(F216="","",ROUND(F216/60,2))</f>
        <v/>
      </c>
      <c r="H216" s="130" t="n"/>
      <c r="I216" s="131" t="n"/>
      <c r="J216" s="131">
        <f>IF(COUNTIF(B216:E216,"*")=0,"",IF(T216=1,"Invalid Service",IF(AND(V216=1,F216=""),"Add Session Mins",IF(AND(E216&gt;0,H216="",T216=""),"Enter Contract Rate",IF(AND(E216="IEP mtg, prep, rept",F216&gt;0),(G216*H216),IF(AND(E216&gt;0,F216&gt;0,H216&gt;0,I216=""),"Enter Travel",IF(AND(F216&gt;0,I216="Y"),(G216*H216)+$M$10,IF(AND(F216&gt;0,I216="N"),(G216*H216),H216))))))))</f>
        <v/>
      </c>
      <c r="K216" s="132">
        <f>J216</f>
        <v/>
      </c>
      <c r="L216" s="148" t="n"/>
      <c r="M216" s="148" t="n"/>
      <c r="N216" s="148" t="n"/>
      <c r="O216" s="87" t="n"/>
      <c r="P216" s="81" t="n"/>
      <c r="Q216" s="81" t="n"/>
      <c r="R216" s="81" t="n"/>
      <c r="S216" s="81" t="n"/>
      <c r="T216" s="136">
        <f>IF(AND(E216&gt;0,U216=0),1,"")</f>
        <v/>
      </c>
      <c r="U216" s="136">
        <f>SUM(X216:AR216)</f>
        <v/>
      </c>
      <c r="V216" s="136">
        <f>IF(E216=$Q$16,0,SUM(X216:AI216))</f>
        <v/>
      </c>
      <c r="W216" s="136">
        <f>SUM(AK216:AR216)</f>
        <v/>
      </c>
      <c r="X216" s="136">
        <f>IF(E216=$X$6,1,"")</f>
        <v/>
      </c>
      <c r="Y216" s="136">
        <f>IF(E216=$Y$6,1,"")</f>
        <v/>
      </c>
      <c r="Z216" s="136">
        <f>IF(E216=$Z$6,1,"")</f>
        <v/>
      </c>
      <c r="AA216" s="136">
        <f>IF(E216=$AA$6,1,"")</f>
        <v/>
      </c>
      <c r="AB216" s="136">
        <f>IF(E216=$AB$6,1,"")</f>
        <v/>
      </c>
      <c r="AC216" s="136">
        <f>IF(E216=$AC$6,1,"")</f>
        <v/>
      </c>
      <c r="AD216" s="136">
        <f>IF(E216=$AD$6,1,"")</f>
        <v/>
      </c>
      <c r="AE216" s="136">
        <f>IF(E216=$AE$6,1,"")</f>
        <v/>
      </c>
      <c r="AF216" s="136">
        <f>IF(E216=$AF$6,1,"")</f>
        <v/>
      </c>
      <c r="AG216" s="136">
        <f>IF(E216=$AG$6,1,"")</f>
        <v/>
      </c>
      <c r="AH216" s="136">
        <f>IF(E216=$AH$6,1,"")</f>
        <v/>
      </c>
      <c r="AI216" s="136">
        <f>IF(E216=$AI$6,1,"")</f>
        <v/>
      </c>
      <c r="AJ216" s="136">
        <f>IF(E216=$AJ$6,1,"")</f>
        <v/>
      </c>
      <c r="AK216" s="81">
        <f>IF(E216=$AK$6,1,"")</f>
        <v/>
      </c>
      <c r="AL216" s="81">
        <f>IF(E216=$AL$6,1,"")</f>
        <v/>
      </c>
      <c r="AM216" s="81">
        <f>IF(E216=$AM$6,1,"")</f>
        <v/>
      </c>
      <c r="AN216" s="81">
        <f>IF(E216=$AN$6,1,"")</f>
        <v/>
      </c>
      <c r="AO216" s="81">
        <f>IF(E216=$AO$6,1,"")</f>
        <v/>
      </c>
      <c r="AP216" s="81">
        <f>IF(E216=$AP$6,1,"")</f>
        <v/>
      </c>
      <c r="AQ216" s="81">
        <f>IF(E216=$AQ$6,1,"")</f>
        <v/>
      </c>
      <c r="AR216" s="81">
        <f>IF(E216=$AR$6,1,"")</f>
        <v/>
      </c>
      <c r="AS216" s="81" t="n"/>
    </row>
    <row r="217" ht="15.75" customHeight="1" s="80">
      <c r="A217" s="157" t="n"/>
      <c r="B217" s="124" t="n"/>
      <c r="C217" s="125" t="n"/>
      <c r="D217" s="126" t="n"/>
      <c r="E217" s="127" t="n"/>
      <c r="F217" s="128" t="n"/>
      <c r="G217" s="129">
        <f>IF(F217="","",ROUND(F217/60,2))</f>
        <v/>
      </c>
      <c r="H217" s="130" t="n"/>
      <c r="I217" s="131" t="n"/>
      <c r="J217" s="131">
        <f>IF(COUNTIF(B217:E217,"*")=0,"",IF(T217=1,"Invalid Service",IF(AND(V217=1,F217=""),"Add Session Mins",IF(AND(E217&gt;0,H217="",T217=""),"Enter Contract Rate",IF(AND(E217="IEP mtg, prep, rept",F217&gt;0),(G217*H217),IF(AND(E217&gt;0,F217&gt;0,H217&gt;0,I217=""),"Enter Travel",IF(AND(F217&gt;0,I217="Y"),(G217*H217)+$M$10,IF(AND(F217&gt;0,I217="N"),(G217*H217),H217))))))))</f>
        <v/>
      </c>
      <c r="K217" s="132">
        <f>J217</f>
        <v/>
      </c>
      <c r="L217" s="148" t="n"/>
      <c r="M217" s="148" t="n"/>
      <c r="N217" s="148" t="n"/>
      <c r="O217" s="87" t="n"/>
      <c r="P217" s="81" t="n"/>
      <c r="Q217" s="81" t="n"/>
      <c r="R217" s="81" t="n"/>
      <c r="S217" s="81" t="n"/>
      <c r="T217" s="136">
        <f>IF(AND(E217&gt;0,U217=0),1,"")</f>
        <v/>
      </c>
      <c r="U217" s="136">
        <f>SUM(X217:AR217)</f>
        <v/>
      </c>
      <c r="V217" s="136">
        <f>IF(E217=$Q$16,0,SUM(X217:AI217))</f>
        <v/>
      </c>
      <c r="W217" s="136">
        <f>SUM(AK217:AR217)</f>
        <v/>
      </c>
      <c r="X217" s="136">
        <f>IF(E217=$X$6,1,"")</f>
        <v/>
      </c>
      <c r="Y217" s="136">
        <f>IF(E217=$Y$6,1,"")</f>
        <v/>
      </c>
      <c r="Z217" s="136">
        <f>IF(E217=$Z$6,1,"")</f>
        <v/>
      </c>
      <c r="AA217" s="136">
        <f>IF(E217=$AA$6,1,"")</f>
        <v/>
      </c>
      <c r="AB217" s="136">
        <f>IF(E217=$AB$6,1,"")</f>
        <v/>
      </c>
      <c r="AC217" s="136">
        <f>IF(E217=$AC$6,1,"")</f>
        <v/>
      </c>
      <c r="AD217" s="136">
        <f>IF(E217=$AD$6,1,"")</f>
        <v/>
      </c>
      <c r="AE217" s="136">
        <f>IF(E217=$AE$6,1,"")</f>
        <v/>
      </c>
      <c r="AF217" s="136">
        <f>IF(E217=$AF$6,1,"")</f>
        <v/>
      </c>
      <c r="AG217" s="136">
        <f>IF(E217=$AG$6,1,"")</f>
        <v/>
      </c>
      <c r="AH217" s="136">
        <f>IF(E217=$AH$6,1,"")</f>
        <v/>
      </c>
      <c r="AI217" s="136">
        <f>IF(E217=$AI$6,1,"")</f>
        <v/>
      </c>
      <c r="AJ217" s="136">
        <f>IF(E217=$AJ$6,1,"")</f>
        <v/>
      </c>
      <c r="AK217" s="81">
        <f>IF(E217=$AK$6,1,"")</f>
        <v/>
      </c>
      <c r="AL217" s="81">
        <f>IF(E217=$AL$6,1,"")</f>
        <v/>
      </c>
      <c r="AM217" s="81">
        <f>IF(E217=$AM$6,1,"")</f>
        <v/>
      </c>
      <c r="AN217" s="81">
        <f>IF(E217=$AN$6,1,"")</f>
        <v/>
      </c>
      <c r="AO217" s="81">
        <f>IF(E217=$AO$6,1,"")</f>
        <v/>
      </c>
      <c r="AP217" s="81">
        <f>IF(E217=$AP$6,1,"")</f>
        <v/>
      </c>
      <c r="AQ217" s="81">
        <f>IF(E217=$AQ$6,1,"")</f>
        <v/>
      </c>
      <c r="AR217" s="81">
        <f>IF(E217=$AR$6,1,"")</f>
        <v/>
      </c>
      <c r="AS217" s="81" t="n"/>
    </row>
    <row r="218" ht="15.75" customHeight="1" s="80">
      <c r="A218" s="157" t="n"/>
      <c r="B218" s="124" t="n"/>
      <c r="C218" s="125" t="n"/>
      <c r="D218" s="126" t="n"/>
      <c r="E218" s="127" t="n"/>
      <c r="F218" s="128" t="n"/>
      <c r="G218" s="129">
        <f>IF(F218="","",ROUND(F218/60,2))</f>
        <v/>
      </c>
      <c r="H218" s="130" t="n"/>
      <c r="I218" s="131" t="n"/>
      <c r="J218" s="131">
        <f>IF(COUNTIF(B218:E218,"*")=0,"",IF(T218=1,"Invalid Service",IF(AND(V218=1,F218=""),"Add Session Mins",IF(AND(E218&gt;0,H218="",T218=""),"Enter Contract Rate",IF(AND(E218="IEP mtg, prep, rept",F218&gt;0),(G218*H218),IF(AND(E218&gt;0,F218&gt;0,H218&gt;0,I218=""),"Enter Travel",IF(AND(F218&gt;0,I218="Y"),(G218*H218)+$M$10,IF(AND(F218&gt;0,I218="N"),(G218*H218),H218))))))))</f>
        <v/>
      </c>
      <c r="K218" s="132">
        <f>J218</f>
        <v/>
      </c>
      <c r="L218" s="148" t="n"/>
      <c r="M218" s="148" t="n"/>
      <c r="N218" s="148" t="n"/>
      <c r="O218" s="87" t="n"/>
      <c r="P218" s="81" t="n"/>
      <c r="Q218" s="81" t="n"/>
      <c r="R218" s="81" t="n"/>
      <c r="S218" s="81" t="n"/>
      <c r="T218" s="136">
        <f>IF(AND(E218&gt;0,U218=0),1,"")</f>
        <v/>
      </c>
      <c r="U218" s="136">
        <f>SUM(X218:AR218)</f>
        <v/>
      </c>
      <c r="V218" s="136">
        <f>IF(E218=$Q$16,0,SUM(X218:AI218))</f>
        <v/>
      </c>
      <c r="W218" s="136">
        <f>SUM(AK218:AR218)</f>
        <v/>
      </c>
      <c r="X218" s="136">
        <f>IF(E218=$X$6,1,"")</f>
        <v/>
      </c>
      <c r="Y218" s="136">
        <f>IF(E218=$Y$6,1,"")</f>
        <v/>
      </c>
      <c r="Z218" s="136">
        <f>IF(E218=$Z$6,1,"")</f>
        <v/>
      </c>
      <c r="AA218" s="136">
        <f>IF(E218=$AA$6,1,"")</f>
        <v/>
      </c>
      <c r="AB218" s="136">
        <f>IF(E218=$AB$6,1,"")</f>
        <v/>
      </c>
      <c r="AC218" s="136">
        <f>IF(E218=$AC$6,1,"")</f>
        <v/>
      </c>
      <c r="AD218" s="136">
        <f>IF(E218=$AD$6,1,"")</f>
        <v/>
      </c>
      <c r="AE218" s="136">
        <f>IF(E218=$AE$6,1,"")</f>
        <v/>
      </c>
      <c r="AF218" s="136">
        <f>IF(E218=$AF$6,1,"")</f>
        <v/>
      </c>
      <c r="AG218" s="136">
        <f>IF(E218=$AG$6,1,"")</f>
        <v/>
      </c>
      <c r="AH218" s="136">
        <f>IF(E218=$AH$6,1,"")</f>
        <v/>
      </c>
      <c r="AI218" s="136">
        <f>IF(E218=$AI$6,1,"")</f>
        <v/>
      </c>
      <c r="AJ218" s="136">
        <f>IF(E218=$AJ$6,1,"")</f>
        <v/>
      </c>
      <c r="AK218" s="81">
        <f>IF(E218=$AK$6,1,"")</f>
        <v/>
      </c>
      <c r="AL218" s="81">
        <f>IF(E218=$AL$6,1,"")</f>
        <v/>
      </c>
      <c r="AM218" s="81">
        <f>IF(E218=$AM$6,1,"")</f>
        <v/>
      </c>
      <c r="AN218" s="81">
        <f>IF(E218=$AN$6,1,"")</f>
        <v/>
      </c>
      <c r="AO218" s="81">
        <f>IF(E218=$AO$6,1,"")</f>
        <v/>
      </c>
      <c r="AP218" s="81">
        <f>IF(E218=$AP$6,1,"")</f>
        <v/>
      </c>
      <c r="AQ218" s="81">
        <f>IF(E218=$AQ$6,1,"")</f>
        <v/>
      </c>
      <c r="AR218" s="81">
        <f>IF(E218=$AR$6,1,"")</f>
        <v/>
      </c>
      <c r="AS218" s="81" t="n"/>
    </row>
    <row r="219" ht="15.75" customHeight="1" s="80">
      <c r="A219" s="157" t="n"/>
      <c r="B219" s="124" t="n"/>
      <c r="C219" s="125" t="n"/>
      <c r="D219" s="126" t="n"/>
      <c r="E219" s="127" t="n"/>
      <c r="F219" s="128" t="n"/>
      <c r="G219" s="129">
        <f>IF(F219="","",ROUND(F219/60,2))</f>
        <v/>
      </c>
      <c r="H219" s="130" t="n"/>
      <c r="I219" s="131" t="n"/>
      <c r="J219" s="131">
        <f>IF(COUNTIF(B219:E219,"*")=0,"",IF(T219=1,"Invalid Service",IF(AND(V219=1,F219=""),"Add Session Mins",IF(AND(E219&gt;0,H219="",T219=""),"Enter Contract Rate",IF(AND(E219="IEP mtg, prep, rept",F219&gt;0),(G219*H219),IF(AND(E219&gt;0,F219&gt;0,H219&gt;0,I219=""),"Enter Travel",IF(AND(F219&gt;0,I219="Y"),(G219*H219)+$M$10,IF(AND(F219&gt;0,I219="N"),(G219*H219),H219))))))))</f>
        <v/>
      </c>
      <c r="K219" s="132">
        <f>J219</f>
        <v/>
      </c>
      <c r="L219" s="148" t="n"/>
      <c r="M219" s="148" t="n"/>
      <c r="N219" s="148" t="n"/>
      <c r="O219" s="87" t="n"/>
      <c r="P219" s="81" t="n"/>
      <c r="Q219" s="81" t="n"/>
      <c r="R219" s="81" t="n"/>
      <c r="S219" s="81" t="n"/>
      <c r="T219" s="136">
        <f>IF(AND(E219&gt;0,U219=0),1,"")</f>
        <v/>
      </c>
      <c r="U219" s="136">
        <f>SUM(X219:AR219)</f>
        <v/>
      </c>
      <c r="V219" s="136">
        <f>IF(E219=$Q$16,0,SUM(X219:AI219))</f>
        <v/>
      </c>
      <c r="W219" s="136">
        <f>SUM(AK219:AR219)</f>
        <v/>
      </c>
      <c r="X219" s="136">
        <f>IF(E219=$X$6,1,"")</f>
        <v/>
      </c>
      <c r="Y219" s="136">
        <f>IF(E219=$Y$6,1,"")</f>
        <v/>
      </c>
      <c r="Z219" s="136">
        <f>IF(E219=$Z$6,1,"")</f>
        <v/>
      </c>
      <c r="AA219" s="136">
        <f>IF(E219=$AA$6,1,"")</f>
        <v/>
      </c>
      <c r="AB219" s="136">
        <f>IF(E219=$AB$6,1,"")</f>
        <v/>
      </c>
      <c r="AC219" s="136">
        <f>IF(E219=$AC$6,1,"")</f>
        <v/>
      </c>
      <c r="AD219" s="136">
        <f>IF(E219=$AD$6,1,"")</f>
        <v/>
      </c>
      <c r="AE219" s="136">
        <f>IF(E219=$AE$6,1,"")</f>
        <v/>
      </c>
      <c r="AF219" s="136">
        <f>IF(E219=$AF$6,1,"")</f>
        <v/>
      </c>
      <c r="AG219" s="136">
        <f>IF(E219=$AG$6,1,"")</f>
        <v/>
      </c>
      <c r="AH219" s="136">
        <f>IF(E219=$AH$6,1,"")</f>
        <v/>
      </c>
      <c r="AI219" s="136">
        <f>IF(E219=$AI$6,1,"")</f>
        <v/>
      </c>
      <c r="AJ219" s="136">
        <f>IF(E219=$AJ$6,1,"")</f>
        <v/>
      </c>
      <c r="AK219" s="81">
        <f>IF(E219=$AK$6,1,"")</f>
        <v/>
      </c>
      <c r="AL219" s="81">
        <f>IF(E219=$AL$6,1,"")</f>
        <v/>
      </c>
      <c r="AM219" s="81">
        <f>IF(E219=$AM$6,1,"")</f>
        <v/>
      </c>
      <c r="AN219" s="81">
        <f>IF(E219=$AN$6,1,"")</f>
        <v/>
      </c>
      <c r="AO219" s="81">
        <f>IF(E219=$AO$6,1,"")</f>
        <v/>
      </c>
      <c r="AP219" s="81">
        <f>IF(E219=$AP$6,1,"")</f>
        <v/>
      </c>
      <c r="AQ219" s="81">
        <f>IF(E219=$AQ$6,1,"")</f>
        <v/>
      </c>
      <c r="AR219" s="81">
        <f>IF(E219=$AR$6,1,"")</f>
        <v/>
      </c>
      <c r="AS219" s="81" t="n"/>
    </row>
    <row r="220" ht="15.75" customHeight="1" s="80">
      <c r="A220" s="157" t="n"/>
      <c r="B220" s="124" t="n"/>
      <c r="C220" s="125" t="n"/>
      <c r="D220" s="126" t="n"/>
      <c r="E220" s="127" t="n"/>
      <c r="F220" s="128" t="n"/>
      <c r="G220" s="129">
        <f>IF(F220="","",ROUND(F220/60,2))</f>
        <v/>
      </c>
      <c r="H220" s="130" t="n"/>
      <c r="I220" s="131" t="n"/>
      <c r="J220" s="131">
        <f>IF(COUNTIF(B220:E220,"*")=0,"",IF(T220=1,"Invalid Service",IF(AND(V220=1,F220=""),"Add Session Mins",IF(AND(E220&gt;0,H220="",T220=""),"Enter Contract Rate",IF(AND(E220="IEP mtg, prep, rept",F220&gt;0),(G220*H220),IF(AND(E220&gt;0,F220&gt;0,H220&gt;0,I220=""),"Enter Travel",IF(AND(F220&gt;0,I220="Y"),(G220*H220)+$M$10,IF(AND(F220&gt;0,I220="N"),(G220*H220),H220))))))))</f>
        <v/>
      </c>
      <c r="K220" s="132">
        <f>J220</f>
        <v/>
      </c>
      <c r="L220" s="148" t="n"/>
      <c r="M220" s="148" t="n"/>
      <c r="N220" s="148" t="n"/>
      <c r="O220" s="87" t="n"/>
      <c r="P220" s="81" t="n"/>
      <c r="Q220" s="81" t="n"/>
      <c r="R220" s="81" t="n"/>
      <c r="S220" s="81" t="n"/>
      <c r="T220" s="136">
        <f>IF(AND(E220&gt;0,U220=0),1,"")</f>
        <v/>
      </c>
      <c r="U220" s="136">
        <f>SUM(X220:AR220)</f>
        <v/>
      </c>
      <c r="V220" s="136">
        <f>IF(E220=$Q$16,0,SUM(X220:AI220))</f>
        <v/>
      </c>
      <c r="W220" s="136">
        <f>SUM(AK220:AR220)</f>
        <v/>
      </c>
      <c r="X220" s="136">
        <f>IF(E220=$X$6,1,"")</f>
        <v/>
      </c>
      <c r="Y220" s="136">
        <f>IF(E220=$Y$6,1,"")</f>
        <v/>
      </c>
      <c r="Z220" s="136">
        <f>IF(E220=$Z$6,1,"")</f>
        <v/>
      </c>
      <c r="AA220" s="136">
        <f>IF(E220=$AA$6,1,"")</f>
        <v/>
      </c>
      <c r="AB220" s="136">
        <f>IF(E220=$AB$6,1,"")</f>
        <v/>
      </c>
      <c r="AC220" s="136">
        <f>IF(E220=$AC$6,1,"")</f>
        <v/>
      </c>
      <c r="AD220" s="136">
        <f>IF(E220=$AD$6,1,"")</f>
        <v/>
      </c>
      <c r="AE220" s="136">
        <f>IF(E220=$AE$6,1,"")</f>
        <v/>
      </c>
      <c r="AF220" s="136">
        <f>IF(E220=$AF$6,1,"")</f>
        <v/>
      </c>
      <c r="AG220" s="136">
        <f>IF(E220=$AG$6,1,"")</f>
        <v/>
      </c>
      <c r="AH220" s="136">
        <f>IF(E220=$AH$6,1,"")</f>
        <v/>
      </c>
      <c r="AI220" s="136">
        <f>IF(E220=$AI$6,1,"")</f>
        <v/>
      </c>
      <c r="AJ220" s="136">
        <f>IF(E220=$AJ$6,1,"")</f>
        <v/>
      </c>
      <c r="AK220" s="81">
        <f>IF(E220=$AK$6,1,"")</f>
        <v/>
      </c>
      <c r="AL220" s="81">
        <f>IF(E220=$AL$6,1,"")</f>
        <v/>
      </c>
      <c r="AM220" s="81">
        <f>IF(E220=$AM$6,1,"")</f>
        <v/>
      </c>
      <c r="AN220" s="81">
        <f>IF(E220=$AN$6,1,"")</f>
        <v/>
      </c>
      <c r="AO220" s="81">
        <f>IF(E220=$AO$6,1,"")</f>
        <v/>
      </c>
      <c r="AP220" s="81">
        <f>IF(E220=$AP$6,1,"")</f>
        <v/>
      </c>
      <c r="AQ220" s="81">
        <f>IF(E220=$AQ$6,1,"")</f>
        <v/>
      </c>
      <c r="AR220" s="81">
        <f>IF(E220=$AR$6,1,"")</f>
        <v/>
      </c>
      <c r="AS220" s="81" t="n"/>
    </row>
    <row r="221" ht="15.75" customHeight="1" s="80">
      <c r="A221" s="157" t="n"/>
      <c r="B221" s="124" t="n"/>
      <c r="C221" s="125" t="n"/>
      <c r="D221" s="126" t="n"/>
      <c r="E221" s="127" t="n"/>
      <c r="F221" s="128" t="n"/>
      <c r="G221" s="129">
        <f>IF(F221="","",ROUND(F221/60,2))</f>
        <v/>
      </c>
      <c r="H221" s="130" t="n"/>
      <c r="I221" s="131" t="n"/>
      <c r="J221" s="131">
        <f>IF(COUNTIF(B221:E221,"*")=0,"",IF(T221=1,"Invalid Service",IF(AND(V221=1,F221=""),"Add Session Mins",IF(AND(E221&gt;0,H221="",T221=""),"Enter Contract Rate",IF(AND(E221="IEP mtg, prep, rept",F221&gt;0),(G221*H221),IF(AND(E221&gt;0,F221&gt;0,H221&gt;0,I221=""),"Enter Travel",IF(AND(F221&gt;0,I221="Y"),(G221*H221)+$M$10,IF(AND(F221&gt;0,I221="N"),(G221*H221),H221))))))))</f>
        <v/>
      </c>
      <c r="K221" s="132">
        <f>J221</f>
        <v/>
      </c>
      <c r="L221" s="148" t="n"/>
      <c r="M221" s="148" t="n"/>
      <c r="N221" s="148" t="n"/>
      <c r="O221" s="87" t="n"/>
      <c r="P221" s="81" t="n"/>
      <c r="Q221" s="81" t="n"/>
      <c r="R221" s="81" t="n"/>
      <c r="S221" s="81" t="n"/>
      <c r="T221" s="136">
        <f>IF(AND(E221&gt;0,U221=0),1,"")</f>
        <v/>
      </c>
      <c r="U221" s="136">
        <f>SUM(X221:AR221)</f>
        <v/>
      </c>
      <c r="V221" s="136">
        <f>IF(E221=$Q$16,0,SUM(X221:AI221))</f>
        <v/>
      </c>
      <c r="W221" s="136">
        <f>SUM(AK221:AR221)</f>
        <v/>
      </c>
      <c r="X221" s="136">
        <f>IF(E221=$X$6,1,"")</f>
        <v/>
      </c>
      <c r="Y221" s="136">
        <f>IF(E221=$Y$6,1,"")</f>
        <v/>
      </c>
      <c r="Z221" s="136">
        <f>IF(E221=$Z$6,1,"")</f>
        <v/>
      </c>
      <c r="AA221" s="136">
        <f>IF(E221=$AA$6,1,"")</f>
        <v/>
      </c>
      <c r="AB221" s="136">
        <f>IF(E221=$AB$6,1,"")</f>
        <v/>
      </c>
      <c r="AC221" s="136">
        <f>IF(E221=$AC$6,1,"")</f>
        <v/>
      </c>
      <c r="AD221" s="136">
        <f>IF(E221=$AD$6,1,"")</f>
        <v/>
      </c>
      <c r="AE221" s="136">
        <f>IF(E221=$AE$6,1,"")</f>
        <v/>
      </c>
      <c r="AF221" s="136">
        <f>IF(E221=$AF$6,1,"")</f>
        <v/>
      </c>
      <c r="AG221" s="136">
        <f>IF(E221=$AG$6,1,"")</f>
        <v/>
      </c>
      <c r="AH221" s="136">
        <f>IF(E221=$AH$6,1,"")</f>
        <v/>
      </c>
      <c r="AI221" s="136">
        <f>IF(E221=$AI$6,1,"")</f>
        <v/>
      </c>
      <c r="AJ221" s="136">
        <f>IF(E221=$AJ$6,1,"")</f>
        <v/>
      </c>
      <c r="AK221" s="81">
        <f>IF(E221=$AK$6,1,"")</f>
        <v/>
      </c>
      <c r="AL221" s="81">
        <f>IF(E221=$AL$6,1,"")</f>
        <v/>
      </c>
      <c r="AM221" s="81">
        <f>IF(E221=$AM$6,1,"")</f>
        <v/>
      </c>
      <c r="AN221" s="81">
        <f>IF(E221=$AN$6,1,"")</f>
        <v/>
      </c>
      <c r="AO221" s="81">
        <f>IF(E221=$AO$6,1,"")</f>
        <v/>
      </c>
      <c r="AP221" s="81">
        <f>IF(E221=$AP$6,1,"")</f>
        <v/>
      </c>
      <c r="AQ221" s="81">
        <f>IF(E221=$AQ$6,1,"")</f>
        <v/>
      </c>
      <c r="AR221" s="81">
        <f>IF(E221=$AR$6,1,"")</f>
        <v/>
      </c>
      <c r="AS221" s="81" t="n"/>
    </row>
    <row r="222" ht="15.75" customHeight="1" s="80">
      <c r="A222" s="157" t="n"/>
      <c r="B222" s="124" t="n"/>
      <c r="C222" s="125" t="n"/>
      <c r="D222" s="126" t="n"/>
      <c r="E222" s="127" t="n"/>
      <c r="F222" s="128" t="n"/>
      <c r="G222" s="129">
        <f>IF(F222="","",ROUND(F222/60,2))</f>
        <v/>
      </c>
      <c r="H222" s="130" t="n"/>
      <c r="I222" s="131" t="n"/>
      <c r="J222" s="131">
        <f>IF(COUNTIF(B222:E222,"*")=0,"",IF(T222=1,"Invalid Service",IF(AND(V222=1,F222=""),"Add Session Mins",IF(AND(E222&gt;0,H222="",T222=""),"Enter Contract Rate",IF(AND(E222="IEP mtg, prep, rept",F222&gt;0),(G222*H222),IF(AND(E222&gt;0,F222&gt;0,H222&gt;0,I222=""),"Enter Travel",IF(AND(F222&gt;0,I222="Y"),(G222*H222)+$M$10,IF(AND(F222&gt;0,I222="N"),(G222*H222),H222))))))))</f>
        <v/>
      </c>
      <c r="K222" s="132">
        <f>J222</f>
        <v/>
      </c>
      <c r="L222" s="148" t="n"/>
      <c r="M222" s="148" t="n"/>
      <c r="N222" s="148" t="n"/>
      <c r="O222" s="87" t="n"/>
      <c r="P222" s="81" t="n"/>
      <c r="Q222" s="81" t="n"/>
      <c r="R222" s="81" t="n"/>
      <c r="S222" s="81" t="n"/>
      <c r="T222" s="136">
        <f>IF(AND(E222&gt;0,U222=0),1,"")</f>
        <v/>
      </c>
      <c r="U222" s="136">
        <f>SUM(X222:AR222)</f>
        <v/>
      </c>
      <c r="V222" s="136">
        <f>IF(E222=$Q$16,0,SUM(X222:AI222))</f>
        <v/>
      </c>
      <c r="W222" s="136">
        <f>SUM(AK222:AR222)</f>
        <v/>
      </c>
      <c r="X222" s="136">
        <f>IF(E222=$X$6,1,"")</f>
        <v/>
      </c>
      <c r="Y222" s="136">
        <f>IF(E222=$Y$6,1,"")</f>
        <v/>
      </c>
      <c r="Z222" s="136">
        <f>IF(E222=$Z$6,1,"")</f>
        <v/>
      </c>
      <c r="AA222" s="136">
        <f>IF(E222=$AA$6,1,"")</f>
        <v/>
      </c>
      <c r="AB222" s="136">
        <f>IF(E222=$AB$6,1,"")</f>
        <v/>
      </c>
      <c r="AC222" s="136">
        <f>IF(E222=$AC$6,1,"")</f>
        <v/>
      </c>
      <c r="AD222" s="136">
        <f>IF(E222=$AD$6,1,"")</f>
        <v/>
      </c>
      <c r="AE222" s="136">
        <f>IF(E222=$AE$6,1,"")</f>
        <v/>
      </c>
      <c r="AF222" s="136">
        <f>IF(E222=$AF$6,1,"")</f>
        <v/>
      </c>
      <c r="AG222" s="136">
        <f>IF(E222=$AG$6,1,"")</f>
        <v/>
      </c>
      <c r="AH222" s="136">
        <f>IF(E222=$AH$6,1,"")</f>
        <v/>
      </c>
      <c r="AI222" s="136">
        <f>IF(E222=$AI$6,1,"")</f>
        <v/>
      </c>
      <c r="AJ222" s="136">
        <f>IF(E222=$AJ$6,1,"")</f>
        <v/>
      </c>
      <c r="AK222" s="81">
        <f>IF(E222=$AK$6,1,"")</f>
        <v/>
      </c>
      <c r="AL222" s="81">
        <f>IF(E222=$AL$6,1,"")</f>
        <v/>
      </c>
      <c r="AM222" s="81">
        <f>IF(E222=$AM$6,1,"")</f>
        <v/>
      </c>
      <c r="AN222" s="81">
        <f>IF(E222=$AN$6,1,"")</f>
        <v/>
      </c>
      <c r="AO222" s="81">
        <f>IF(E222=$AO$6,1,"")</f>
        <v/>
      </c>
      <c r="AP222" s="81">
        <f>IF(E222=$AP$6,1,"")</f>
        <v/>
      </c>
      <c r="AQ222" s="81">
        <f>IF(E222=$AQ$6,1,"")</f>
        <v/>
      </c>
      <c r="AR222" s="81">
        <f>IF(E222=$AR$6,1,"")</f>
        <v/>
      </c>
      <c r="AS222" s="81" t="n"/>
    </row>
    <row r="223" ht="15.75" customHeight="1" s="80">
      <c r="A223" s="157" t="n"/>
      <c r="B223" s="124" t="n"/>
      <c r="C223" s="125" t="n"/>
      <c r="D223" s="126" t="n"/>
      <c r="E223" s="127" t="n"/>
      <c r="F223" s="128" t="n"/>
      <c r="G223" s="129">
        <f>IF(F223="","",ROUND(F223/60,2))</f>
        <v/>
      </c>
      <c r="H223" s="130" t="n"/>
      <c r="I223" s="131" t="n"/>
      <c r="J223" s="131">
        <f>IF(COUNTIF(B223:E223,"*")=0,"",IF(T223=1,"Invalid Service",IF(AND(V223=1,F223=""),"Add Session Mins",IF(AND(E223&gt;0,H223="",T223=""),"Enter Contract Rate",IF(AND(E223="IEP mtg, prep, rept",F223&gt;0),(G223*H223),IF(AND(E223&gt;0,F223&gt;0,H223&gt;0,I223=""),"Enter Travel",IF(AND(F223&gt;0,I223="Y"),(G223*H223)+$M$10,IF(AND(F223&gt;0,I223="N"),(G223*H223),H223))))))))</f>
        <v/>
      </c>
      <c r="K223" s="132">
        <f>J223</f>
        <v/>
      </c>
      <c r="L223" s="148" t="n"/>
      <c r="M223" s="148" t="n"/>
      <c r="N223" s="148" t="n"/>
      <c r="O223" s="87" t="n"/>
      <c r="P223" s="81" t="n"/>
      <c r="Q223" s="81" t="n"/>
      <c r="R223" s="81" t="n"/>
      <c r="S223" s="81" t="n"/>
      <c r="T223" s="136">
        <f>IF(AND(E223&gt;0,U223=0),1,"")</f>
        <v/>
      </c>
      <c r="U223" s="136">
        <f>SUM(X223:AR223)</f>
        <v/>
      </c>
      <c r="V223" s="136">
        <f>IF(E223=$Q$16,0,SUM(X223:AI223))</f>
        <v/>
      </c>
      <c r="W223" s="136">
        <f>SUM(AK223:AR223)</f>
        <v/>
      </c>
      <c r="X223" s="136">
        <f>IF(E223=$X$6,1,"")</f>
        <v/>
      </c>
      <c r="Y223" s="136">
        <f>IF(E223=$Y$6,1,"")</f>
        <v/>
      </c>
      <c r="Z223" s="136">
        <f>IF(E223=$Z$6,1,"")</f>
        <v/>
      </c>
      <c r="AA223" s="136">
        <f>IF(E223=$AA$6,1,"")</f>
        <v/>
      </c>
      <c r="AB223" s="136">
        <f>IF(E223=$AB$6,1,"")</f>
        <v/>
      </c>
      <c r="AC223" s="136">
        <f>IF(E223=$AC$6,1,"")</f>
        <v/>
      </c>
      <c r="AD223" s="136">
        <f>IF(E223=$AD$6,1,"")</f>
        <v/>
      </c>
      <c r="AE223" s="136">
        <f>IF(E223=$AE$6,1,"")</f>
        <v/>
      </c>
      <c r="AF223" s="136">
        <f>IF(E223=$AF$6,1,"")</f>
        <v/>
      </c>
      <c r="AG223" s="136">
        <f>IF(E223=$AG$6,1,"")</f>
        <v/>
      </c>
      <c r="AH223" s="136">
        <f>IF(E223=$AH$6,1,"")</f>
        <v/>
      </c>
      <c r="AI223" s="136">
        <f>IF(E223=$AI$6,1,"")</f>
        <v/>
      </c>
      <c r="AJ223" s="136">
        <f>IF(E223=$AJ$6,1,"")</f>
        <v/>
      </c>
      <c r="AK223" s="81">
        <f>IF(E223=$AK$6,1,"")</f>
        <v/>
      </c>
      <c r="AL223" s="81">
        <f>IF(E223=$AL$6,1,"")</f>
        <v/>
      </c>
      <c r="AM223" s="81">
        <f>IF(E223=$AM$6,1,"")</f>
        <v/>
      </c>
      <c r="AN223" s="81">
        <f>IF(E223=$AN$6,1,"")</f>
        <v/>
      </c>
      <c r="AO223" s="81">
        <f>IF(E223=$AO$6,1,"")</f>
        <v/>
      </c>
      <c r="AP223" s="81">
        <f>IF(E223=$AP$6,1,"")</f>
        <v/>
      </c>
      <c r="AQ223" s="81">
        <f>IF(E223=$AQ$6,1,"")</f>
        <v/>
      </c>
      <c r="AR223" s="81">
        <f>IF(E223=$AR$6,1,"")</f>
        <v/>
      </c>
      <c r="AS223" s="81" t="n"/>
    </row>
    <row r="224" ht="15.75" customHeight="1" s="80">
      <c r="A224" s="157" t="n"/>
      <c r="B224" s="124" t="n"/>
      <c r="C224" s="125" t="n"/>
      <c r="D224" s="126" t="n"/>
      <c r="E224" s="127" t="n"/>
      <c r="F224" s="128" t="n"/>
      <c r="G224" s="129">
        <f>IF(F224="","",ROUND(F224/60,2))</f>
        <v/>
      </c>
      <c r="H224" s="130" t="n"/>
      <c r="I224" s="131" t="n"/>
      <c r="J224" s="131">
        <f>IF(COUNTIF(B224:E224,"*")=0,"",IF(T224=1,"Invalid Service",IF(AND(V224=1,F224=""),"Add Session Mins",IF(AND(E224&gt;0,H224="",T224=""),"Enter Contract Rate",IF(AND(E224="IEP mtg, prep, rept",F224&gt;0),(G224*H224),IF(AND(E224&gt;0,F224&gt;0,H224&gt;0,I224=""),"Enter Travel",IF(AND(F224&gt;0,I224="Y"),(G224*H224)+$M$10,IF(AND(F224&gt;0,I224="N"),(G224*H224),H224))))))))</f>
        <v/>
      </c>
      <c r="K224" s="132">
        <f>J224</f>
        <v/>
      </c>
      <c r="L224" s="148" t="n"/>
      <c r="M224" s="148" t="n"/>
      <c r="N224" s="148" t="n"/>
      <c r="O224" s="87" t="n"/>
      <c r="P224" s="81" t="n"/>
      <c r="Q224" s="81" t="n"/>
      <c r="R224" s="81" t="n"/>
      <c r="S224" s="81" t="n"/>
      <c r="T224" s="136">
        <f>IF(AND(E224&gt;0,U224=0),1,"")</f>
        <v/>
      </c>
      <c r="U224" s="136">
        <f>SUM(X224:AR224)</f>
        <v/>
      </c>
      <c r="V224" s="136">
        <f>IF(E224=$Q$16,0,SUM(X224:AI224))</f>
        <v/>
      </c>
      <c r="W224" s="136">
        <f>SUM(AK224:AR224)</f>
        <v/>
      </c>
      <c r="X224" s="136">
        <f>IF(E224=$X$6,1,"")</f>
        <v/>
      </c>
      <c r="Y224" s="136">
        <f>IF(E224=$Y$6,1,"")</f>
        <v/>
      </c>
      <c r="Z224" s="136">
        <f>IF(E224=$Z$6,1,"")</f>
        <v/>
      </c>
      <c r="AA224" s="136">
        <f>IF(E224=$AA$6,1,"")</f>
        <v/>
      </c>
      <c r="AB224" s="136">
        <f>IF(E224=$AB$6,1,"")</f>
        <v/>
      </c>
      <c r="AC224" s="136">
        <f>IF(E224=$AC$6,1,"")</f>
        <v/>
      </c>
      <c r="AD224" s="136">
        <f>IF(E224=$AD$6,1,"")</f>
        <v/>
      </c>
      <c r="AE224" s="136">
        <f>IF(E224=$AE$6,1,"")</f>
        <v/>
      </c>
      <c r="AF224" s="136">
        <f>IF(E224=$AF$6,1,"")</f>
        <v/>
      </c>
      <c r="AG224" s="136">
        <f>IF(E224=$AG$6,1,"")</f>
        <v/>
      </c>
      <c r="AH224" s="136">
        <f>IF(E224=$AH$6,1,"")</f>
        <v/>
      </c>
      <c r="AI224" s="136">
        <f>IF(E224=$AI$6,1,"")</f>
        <v/>
      </c>
      <c r="AJ224" s="136">
        <f>IF(E224=$AJ$6,1,"")</f>
        <v/>
      </c>
      <c r="AK224" s="81">
        <f>IF(E224=$AK$6,1,"")</f>
        <v/>
      </c>
      <c r="AL224" s="81">
        <f>IF(E224=$AL$6,1,"")</f>
        <v/>
      </c>
      <c r="AM224" s="81">
        <f>IF(E224=$AM$6,1,"")</f>
        <v/>
      </c>
      <c r="AN224" s="81">
        <f>IF(E224=$AN$6,1,"")</f>
        <v/>
      </c>
      <c r="AO224" s="81">
        <f>IF(E224=$AO$6,1,"")</f>
        <v/>
      </c>
      <c r="AP224" s="81">
        <f>IF(E224=$AP$6,1,"")</f>
        <v/>
      </c>
      <c r="AQ224" s="81">
        <f>IF(E224=$AQ$6,1,"")</f>
        <v/>
      </c>
      <c r="AR224" s="81">
        <f>IF(E224=$AR$6,1,"")</f>
        <v/>
      </c>
      <c r="AS224" s="81" t="n"/>
    </row>
    <row r="225" ht="15.75" customHeight="1" s="80">
      <c r="A225" s="157" t="n"/>
      <c r="B225" s="124" t="n"/>
      <c r="C225" s="125" t="n"/>
      <c r="D225" s="126" t="n"/>
      <c r="E225" s="127" t="n"/>
      <c r="F225" s="128" t="n"/>
      <c r="G225" s="129">
        <f>IF(F225="","",ROUND(F225/60,2))</f>
        <v/>
      </c>
      <c r="H225" s="130" t="n"/>
      <c r="I225" s="131" t="n"/>
      <c r="J225" s="131">
        <f>IF(COUNTIF(B225:E225,"*")=0,"",IF(T225=1,"Invalid Service",IF(AND(V225=1,F225=""),"Add Session Mins",IF(AND(E225&gt;0,H225="",T225=""),"Enter Contract Rate",IF(AND(E225="IEP mtg, prep, rept",F225&gt;0),(G225*H225),IF(AND(E225&gt;0,F225&gt;0,H225&gt;0,I225=""),"Enter Travel",IF(AND(F225&gt;0,I225="Y"),(G225*H225)+$M$10,IF(AND(F225&gt;0,I225="N"),(G225*H225),H225))))))))</f>
        <v/>
      </c>
      <c r="K225" s="132">
        <f>J225</f>
        <v/>
      </c>
      <c r="L225" s="148" t="n"/>
      <c r="M225" s="148" t="n"/>
      <c r="N225" s="148" t="n"/>
      <c r="O225" s="87" t="n"/>
      <c r="P225" s="81" t="n"/>
      <c r="Q225" s="81" t="n"/>
      <c r="R225" s="81" t="n"/>
      <c r="S225" s="81" t="n"/>
      <c r="T225" s="136">
        <f>IF(AND(E225&gt;0,U225=0),1,"")</f>
        <v/>
      </c>
      <c r="U225" s="136">
        <f>SUM(X225:AR225)</f>
        <v/>
      </c>
      <c r="V225" s="136">
        <f>IF(E225=$Q$16,0,SUM(X225:AI225))</f>
        <v/>
      </c>
      <c r="W225" s="136">
        <f>SUM(AK225:AR225)</f>
        <v/>
      </c>
      <c r="X225" s="136">
        <f>IF(E225=$X$6,1,"")</f>
        <v/>
      </c>
      <c r="Y225" s="136">
        <f>IF(E225=$Y$6,1,"")</f>
        <v/>
      </c>
      <c r="Z225" s="136">
        <f>IF(E225=$Z$6,1,"")</f>
        <v/>
      </c>
      <c r="AA225" s="136">
        <f>IF(E225=$AA$6,1,"")</f>
        <v/>
      </c>
      <c r="AB225" s="136">
        <f>IF(E225=$AB$6,1,"")</f>
        <v/>
      </c>
      <c r="AC225" s="136">
        <f>IF(E225=$AC$6,1,"")</f>
        <v/>
      </c>
      <c r="AD225" s="136">
        <f>IF(E225=$AD$6,1,"")</f>
        <v/>
      </c>
      <c r="AE225" s="136">
        <f>IF(E225=$AE$6,1,"")</f>
        <v/>
      </c>
      <c r="AF225" s="136">
        <f>IF(E225=$AF$6,1,"")</f>
        <v/>
      </c>
      <c r="AG225" s="136">
        <f>IF(E225=$AG$6,1,"")</f>
        <v/>
      </c>
      <c r="AH225" s="136">
        <f>IF(E225=$AH$6,1,"")</f>
        <v/>
      </c>
      <c r="AI225" s="136">
        <f>IF(E225=$AI$6,1,"")</f>
        <v/>
      </c>
      <c r="AJ225" s="136">
        <f>IF(E225=$AJ$6,1,"")</f>
        <v/>
      </c>
      <c r="AK225" s="81">
        <f>IF(E225=$AK$6,1,"")</f>
        <v/>
      </c>
      <c r="AL225" s="81">
        <f>IF(E225=$AL$6,1,"")</f>
        <v/>
      </c>
      <c r="AM225" s="81">
        <f>IF(E225=$AM$6,1,"")</f>
        <v/>
      </c>
      <c r="AN225" s="81">
        <f>IF(E225=$AN$6,1,"")</f>
        <v/>
      </c>
      <c r="AO225" s="81">
        <f>IF(E225=$AO$6,1,"")</f>
        <v/>
      </c>
      <c r="AP225" s="81">
        <f>IF(E225=$AP$6,1,"")</f>
        <v/>
      </c>
      <c r="AQ225" s="81">
        <f>IF(E225=$AQ$6,1,"")</f>
        <v/>
      </c>
      <c r="AR225" s="81">
        <f>IF(E225=$AR$6,1,"")</f>
        <v/>
      </c>
      <c r="AS225" s="81" t="n"/>
    </row>
    <row r="226" ht="15.75" customHeight="1" s="80">
      <c r="A226" s="157" t="n"/>
      <c r="B226" s="124" t="n"/>
      <c r="C226" s="125" t="n"/>
      <c r="D226" s="126" t="n"/>
      <c r="E226" s="127" t="n"/>
      <c r="F226" s="128" t="n"/>
      <c r="G226" s="129">
        <f>IF(F226="","",ROUND(F226/60,2))</f>
        <v/>
      </c>
      <c r="H226" s="130" t="n"/>
      <c r="I226" s="131" t="n"/>
      <c r="J226" s="131">
        <f>IF(COUNTIF(B226:E226,"*")=0,"",IF(T226=1,"Invalid Service",IF(AND(V226=1,F226=""),"Add Session Mins",IF(AND(E226&gt;0,H226="",T226=""),"Enter Contract Rate",IF(AND(E226="IEP mtg, prep, rept",F226&gt;0),(G226*H226),IF(AND(E226&gt;0,F226&gt;0,H226&gt;0,I226=""),"Enter Travel",IF(AND(F226&gt;0,I226="Y"),(G226*H226)+$M$10,IF(AND(F226&gt;0,I226="N"),(G226*H226),H226))))))))</f>
        <v/>
      </c>
      <c r="K226" s="132">
        <f>J226</f>
        <v/>
      </c>
      <c r="L226" s="148" t="n"/>
      <c r="M226" s="148" t="n"/>
      <c r="N226" s="148" t="n"/>
      <c r="O226" s="87" t="n"/>
      <c r="P226" s="81" t="n"/>
      <c r="Q226" s="81" t="n"/>
      <c r="R226" s="81" t="n"/>
      <c r="S226" s="81" t="n"/>
      <c r="T226" s="136">
        <f>IF(AND(E226&gt;0,U226=0),1,"")</f>
        <v/>
      </c>
      <c r="U226" s="136">
        <f>SUM(X226:AR226)</f>
        <v/>
      </c>
      <c r="V226" s="136">
        <f>IF(E226=$Q$16,0,SUM(X226:AI226))</f>
        <v/>
      </c>
      <c r="W226" s="136">
        <f>SUM(AK226:AR226)</f>
        <v/>
      </c>
      <c r="X226" s="136">
        <f>IF(E226=$X$6,1,"")</f>
        <v/>
      </c>
      <c r="Y226" s="136">
        <f>IF(E226=$Y$6,1,"")</f>
        <v/>
      </c>
      <c r="Z226" s="136">
        <f>IF(E226=$Z$6,1,"")</f>
        <v/>
      </c>
      <c r="AA226" s="136">
        <f>IF(E226=$AA$6,1,"")</f>
        <v/>
      </c>
      <c r="AB226" s="136">
        <f>IF(E226=$AB$6,1,"")</f>
        <v/>
      </c>
      <c r="AC226" s="136">
        <f>IF(E226=$AC$6,1,"")</f>
        <v/>
      </c>
      <c r="AD226" s="136">
        <f>IF(E226=$AD$6,1,"")</f>
        <v/>
      </c>
      <c r="AE226" s="136">
        <f>IF(E226=$AE$6,1,"")</f>
        <v/>
      </c>
      <c r="AF226" s="136">
        <f>IF(E226=$AF$6,1,"")</f>
        <v/>
      </c>
      <c r="AG226" s="136">
        <f>IF(E226=$AG$6,1,"")</f>
        <v/>
      </c>
      <c r="AH226" s="136">
        <f>IF(E226=$AH$6,1,"")</f>
        <v/>
      </c>
      <c r="AI226" s="136">
        <f>IF(E226=$AI$6,1,"")</f>
        <v/>
      </c>
      <c r="AJ226" s="136">
        <f>IF(E226=$AJ$6,1,"")</f>
        <v/>
      </c>
      <c r="AK226" s="81">
        <f>IF(E226=$AK$6,1,"")</f>
        <v/>
      </c>
      <c r="AL226" s="81">
        <f>IF(E226=$AL$6,1,"")</f>
        <v/>
      </c>
      <c r="AM226" s="81">
        <f>IF(E226=$AM$6,1,"")</f>
        <v/>
      </c>
      <c r="AN226" s="81">
        <f>IF(E226=$AN$6,1,"")</f>
        <v/>
      </c>
      <c r="AO226" s="81">
        <f>IF(E226=$AO$6,1,"")</f>
        <v/>
      </c>
      <c r="AP226" s="81">
        <f>IF(E226=$AP$6,1,"")</f>
        <v/>
      </c>
      <c r="AQ226" s="81">
        <f>IF(E226=$AQ$6,1,"")</f>
        <v/>
      </c>
      <c r="AR226" s="81">
        <f>IF(E226=$AR$6,1,"")</f>
        <v/>
      </c>
      <c r="AS226" s="81" t="n"/>
    </row>
    <row r="227" ht="15.75" customHeight="1" s="80">
      <c r="A227" s="157" t="n"/>
      <c r="B227" s="124" t="n"/>
      <c r="C227" s="125" t="n"/>
      <c r="D227" s="126" t="n"/>
      <c r="E227" s="127" t="n"/>
      <c r="F227" s="128" t="n"/>
      <c r="G227" s="129">
        <f>IF(F227="","",ROUND(F227/60,2))</f>
        <v/>
      </c>
      <c r="H227" s="130" t="n"/>
      <c r="I227" s="131" t="n"/>
      <c r="J227" s="131">
        <f>IF(COUNTIF(B227:E227,"*")=0,"",IF(T227=1,"Invalid Service",IF(AND(V227=1,F227=""),"Add Session Mins",IF(AND(E227&gt;0,H227="",T227=""),"Enter Contract Rate",IF(AND(E227="IEP mtg, prep, rept",F227&gt;0),(G227*H227),IF(AND(E227&gt;0,F227&gt;0,H227&gt;0,I227=""),"Enter Travel",IF(AND(F227&gt;0,I227="Y"),(G227*H227)+$M$10,IF(AND(F227&gt;0,I227="N"),(G227*H227),H227))))))))</f>
        <v/>
      </c>
      <c r="K227" s="132">
        <f>J227</f>
        <v/>
      </c>
      <c r="L227" s="148" t="n"/>
      <c r="M227" s="148" t="n"/>
      <c r="N227" s="148" t="n"/>
      <c r="O227" s="87" t="n"/>
      <c r="P227" s="81" t="n"/>
      <c r="Q227" s="81" t="n"/>
      <c r="R227" s="81" t="n"/>
      <c r="S227" s="81" t="n"/>
      <c r="T227" s="136">
        <f>IF(AND(E227&gt;0,U227=0),1,"")</f>
        <v/>
      </c>
      <c r="U227" s="136">
        <f>SUM(X227:AR227)</f>
        <v/>
      </c>
      <c r="V227" s="136">
        <f>IF(E227=$Q$16,0,SUM(X227:AI227))</f>
        <v/>
      </c>
      <c r="W227" s="136">
        <f>SUM(AK227:AR227)</f>
        <v/>
      </c>
      <c r="X227" s="136">
        <f>IF(E227=$X$6,1,"")</f>
        <v/>
      </c>
      <c r="Y227" s="136">
        <f>IF(E227=$Y$6,1,"")</f>
        <v/>
      </c>
      <c r="Z227" s="136">
        <f>IF(E227=$Z$6,1,"")</f>
        <v/>
      </c>
      <c r="AA227" s="136">
        <f>IF(E227=$AA$6,1,"")</f>
        <v/>
      </c>
      <c r="AB227" s="136">
        <f>IF(E227=$AB$6,1,"")</f>
        <v/>
      </c>
      <c r="AC227" s="136">
        <f>IF(E227=$AC$6,1,"")</f>
        <v/>
      </c>
      <c r="AD227" s="136">
        <f>IF(E227=$AD$6,1,"")</f>
        <v/>
      </c>
      <c r="AE227" s="136">
        <f>IF(E227=$AE$6,1,"")</f>
        <v/>
      </c>
      <c r="AF227" s="136">
        <f>IF(E227=$AF$6,1,"")</f>
        <v/>
      </c>
      <c r="AG227" s="136">
        <f>IF(E227=$AG$6,1,"")</f>
        <v/>
      </c>
      <c r="AH227" s="136">
        <f>IF(E227=$AH$6,1,"")</f>
        <v/>
      </c>
      <c r="AI227" s="136">
        <f>IF(E227=$AI$6,1,"")</f>
        <v/>
      </c>
      <c r="AJ227" s="136">
        <f>IF(E227=$AJ$6,1,"")</f>
        <v/>
      </c>
      <c r="AK227" s="81">
        <f>IF(E227=$AK$6,1,"")</f>
        <v/>
      </c>
      <c r="AL227" s="81">
        <f>IF(E227=$AL$6,1,"")</f>
        <v/>
      </c>
      <c r="AM227" s="81">
        <f>IF(E227=$AM$6,1,"")</f>
        <v/>
      </c>
      <c r="AN227" s="81">
        <f>IF(E227=$AN$6,1,"")</f>
        <v/>
      </c>
      <c r="AO227" s="81">
        <f>IF(E227=$AO$6,1,"")</f>
        <v/>
      </c>
      <c r="AP227" s="81">
        <f>IF(E227=$AP$6,1,"")</f>
        <v/>
      </c>
      <c r="AQ227" s="81">
        <f>IF(E227=$AQ$6,1,"")</f>
        <v/>
      </c>
      <c r="AR227" s="81">
        <f>IF(E227=$AR$6,1,"")</f>
        <v/>
      </c>
      <c r="AS227" s="81" t="n"/>
    </row>
    <row r="228" ht="15.75" customHeight="1" s="80">
      <c r="A228" s="157" t="n"/>
      <c r="B228" s="124" t="n"/>
      <c r="C228" s="125" t="n"/>
      <c r="D228" s="126" t="n"/>
      <c r="E228" s="127" t="n"/>
      <c r="F228" s="128" t="n"/>
      <c r="G228" s="129">
        <f>IF(F228="","",ROUND(F228/60,2))</f>
        <v/>
      </c>
      <c r="H228" s="130" t="n"/>
      <c r="I228" s="131" t="n"/>
      <c r="J228" s="131">
        <f>IF(COUNTIF(B228:E228,"*")=0,"",IF(T228=1,"Invalid Service",IF(AND(V228=1,F228=""),"Add Session Mins",IF(AND(E228&gt;0,H228="",T228=""),"Enter Contract Rate",IF(AND(E228="IEP mtg, prep, rept",F228&gt;0),(G228*H228),IF(AND(E228&gt;0,F228&gt;0,H228&gt;0,I228=""),"Enter Travel",IF(AND(F228&gt;0,I228="Y"),(G228*H228)+$M$10,IF(AND(F228&gt;0,I228="N"),(G228*H228),H228))))))))</f>
        <v/>
      </c>
      <c r="K228" s="132">
        <f>J228</f>
        <v/>
      </c>
      <c r="L228" s="148" t="n"/>
      <c r="M228" s="148" t="n"/>
      <c r="N228" s="148" t="n"/>
      <c r="O228" s="87" t="n"/>
      <c r="P228" s="81" t="n"/>
      <c r="Q228" s="81" t="n"/>
      <c r="R228" s="81" t="n"/>
      <c r="S228" s="81" t="n"/>
      <c r="T228" s="136">
        <f>IF(AND(E228&gt;0,U228=0),1,"")</f>
        <v/>
      </c>
      <c r="U228" s="136">
        <f>SUM(X228:AR228)</f>
        <v/>
      </c>
      <c r="V228" s="136">
        <f>IF(E228=$Q$16,0,SUM(X228:AI228))</f>
        <v/>
      </c>
      <c r="W228" s="136">
        <f>SUM(AK228:AR228)</f>
        <v/>
      </c>
      <c r="X228" s="136">
        <f>IF(E228=$X$6,1,"")</f>
        <v/>
      </c>
      <c r="Y228" s="136">
        <f>IF(E228=$Y$6,1,"")</f>
        <v/>
      </c>
      <c r="Z228" s="136">
        <f>IF(E228=$Z$6,1,"")</f>
        <v/>
      </c>
      <c r="AA228" s="136">
        <f>IF(E228=$AA$6,1,"")</f>
        <v/>
      </c>
      <c r="AB228" s="136">
        <f>IF(E228=$AB$6,1,"")</f>
        <v/>
      </c>
      <c r="AC228" s="136">
        <f>IF(E228=$AC$6,1,"")</f>
        <v/>
      </c>
      <c r="AD228" s="136">
        <f>IF(E228=$AD$6,1,"")</f>
        <v/>
      </c>
      <c r="AE228" s="136">
        <f>IF(E228=$AE$6,1,"")</f>
        <v/>
      </c>
      <c r="AF228" s="136">
        <f>IF(E228=$AF$6,1,"")</f>
        <v/>
      </c>
      <c r="AG228" s="136">
        <f>IF(E228=$AG$6,1,"")</f>
        <v/>
      </c>
      <c r="AH228" s="136">
        <f>IF(E228=$AH$6,1,"")</f>
        <v/>
      </c>
      <c r="AI228" s="136">
        <f>IF(E228=$AI$6,1,"")</f>
        <v/>
      </c>
      <c r="AJ228" s="136">
        <f>IF(E228=$AJ$6,1,"")</f>
        <v/>
      </c>
      <c r="AK228" s="81">
        <f>IF(E228=$AK$6,1,"")</f>
        <v/>
      </c>
      <c r="AL228" s="81">
        <f>IF(E228=$AL$6,1,"")</f>
        <v/>
      </c>
      <c r="AM228" s="81">
        <f>IF(E228=$AM$6,1,"")</f>
        <v/>
      </c>
      <c r="AN228" s="81">
        <f>IF(E228=$AN$6,1,"")</f>
        <v/>
      </c>
      <c r="AO228" s="81">
        <f>IF(E228=$AO$6,1,"")</f>
        <v/>
      </c>
      <c r="AP228" s="81">
        <f>IF(E228=$AP$6,1,"")</f>
        <v/>
      </c>
      <c r="AQ228" s="81">
        <f>IF(E228=$AQ$6,1,"")</f>
        <v/>
      </c>
      <c r="AR228" s="81">
        <f>IF(E228=$AR$6,1,"")</f>
        <v/>
      </c>
      <c r="AS228" s="81" t="n"/>
    </row>
    <row r="229" ht="15.75" customHeight="1" s="80">
      <c r="A229" s="157" t="n"/>
      <c r="B229" s="124" t="n"/>
      <c r="C229" s="125" t="n"/>
      <c r="D229" s="126" t="n"/>
      <c r="E229" s="127" t="n"/>
      <c r="F229" s="128" t="n"/>
      <c r="G229" s="129">
        <f>IF(F229="","",ROUND(F229/60,2))</f>
        <v/>
      </c>
      <c r="H229" s="130" t="n"/>
      <c r="I229" s="131" t="n"/>
      <c r="J229" s="131">
        <f>IF(COUNTIF(B229:E229,"*")=0,"",IF(T229=1,"Invalid Service",IF(AND(V229=1,F229=""),"Add Session Mins",IF(AND(E229&gt;0,H229="",T229=""),"Enter Contract Rate",IF(AND(E229="IEP mtg, prep, rept",F229&gt;0),(G229*H229),IF(AND(E229&gt;0,F229&gt;0,H229&gt;0,I229=""),"Enter Travel",IF(AND(F229&gt;0,I229="Y"),(G229*H229)+$M$10,IF(AND(F229&gt;0,I229="N"),(G229*H229),H229))))))))</f>
        <v/>
      </c>
      <c r="K229" s="132">
        <f>J229</f>
        <v/>
      </c>
      <c r="L229" s="148" t="n"/>
      <c r="M229" s="148" t="n"/>
      <c r="N229" s="148" t="n"/>
      <c r="O229" s="87" t="n"/>
      <c r="P229" s="81" t="n"/>
      <c r="Q229" s="81" t="n"/>
      <c r="R229" s="81" t="n"/>
      <c r="S229" s="81" t="n"/>
      <c r="T229" s="136">
        <f>IF(AND(E229&gt;0,U229=0),1,"")</f>
        <v/>
      </c>
      <c r="U229" s="136">
        <f>SUM(X229:AR229)</f>
        <v/>
      </c>
      <c r="V229" s="136">
        <f>IF(E229=$Q$16,0,SUM(X229:AI229))</f>
        <v/>
      </c>
      <c r="W229" s="136">
        <f>SUM(AK229:AR229)</f>
        <v/>
      </c>
      <c r="X229" s="136">
        <f>IF(E229=$X$6,1,"")</f>
        <v/>
      </c>
      <c r="Y229" s="136">
        <f>IF(E229=$Y$6,1,"")</f>
        <v/>
      </c>
      <c r="Z229" s="136">
        <f>IF(E229=$Z$6,1,"")</f>
        <v/>
      </c>
      <c r="AA229" s="136">
        <f>IF(E229=$AA$6,1,"")</f>
        <v/>
      </c>
      <c r="AB229" s="136">
        <f>IF(E229=$AB$6,1,"")</f>
        <v/>
      </c>
      <c r="AC229" s="136">
        <f>IF(E229=$AC$6,1,"")</f>
        <v/>
      </c>
      <c r="AD229" s="136">
        <f>IF(E229=$AD$6,1,"")</f>
        <v/>
      </c>
      <c r="AE229" s="136">
        <f>IF(E229=$AE$6,1,"")</f>
        <v/>
      </c>
      <c r="AF229" s="136">
        <f>IF(E229=$AF$6,1,"")</f>
        <v/>
      </c>
      <c r="AG229" s="136">
        <f>IF(E229=$AG$6,1,"")</f>
        <v/>
      </c>
      <c r="AH229" s="136">
        <f>IF(E229=$AH$6,1,"")</f>
        <v/>
      </c>
      <c r="AI229" s="136">
        <f>IF(E229=$AI$6,1,"")</f>
        <v/>
      </c>
      <c r="AJ229" s="136">
        <f>IF(E229=$AJ$6,1,"")</f>
        <v/>
      </c>
      <c r="AK229" s="81">
        <f>IF(E229=$AK$6,1,"")</f>
        <v/>
      </c>
      <c r="AL229" s="81">
        <f>IF(E229=$AL$6,1,"")</f>
        <v/>
      </c>
      <c r="AM229" s="81">
        <f>IF(E229=$AM$6,1,"")</f>
        <v/>
      </c>
      <c r="AN229" s="81">
        <f>IF(E229=$AN$6,1,"")</f>
        <v/>
      </c>
      <c r="AO229" s="81">
        <f>IF(E229=$AO$6,1,"")</f>
        <v/>
      </c>
      <c r="AP229" s="81">
        <f>IF(E229=$AP$6,1,"")</f>
        <v/>
      </c>
      <c r="AQ229" s="81">
        <f>IF(E229=$AQ$6,1,"")</f>
        <v/>
      </c>
      <c r="AR229" s="81">
        <f>IF(E229=$AR$6,1,"")</f>
        <v/>
      </c>
      <c r="AS229" s="81" t="n"/>
    </row>
    <row r="230" ht="15.75" customHeight="1" s="80">
      <c r="A230" s="157" t="n"/>
      <c r="B230" s="124" t="n"/>
      <c r="C230" s="125" t="n"/>
      <c r="D230" s="126" t="n"/>
      <c r="E230" s="127" t="n"/>
      <c r="F230" s="128" t="n"/>
      <c r="G230" s="129">
        <f>IF(F230="","",ROUND(F230/60,2))</f>
        <v/>
      </c>
      <c r="H230" s="130" t="n"/>
      <c r="I230" s="131" t="n"/>
      <c r="J230" s="131">
        <f>IF(COUNTIF(B230:E230,"*")=0,"",IF(T230=1,"Invalid Service",IF(AND(V230=1,F230=""),"Add Session Mins",IF(AND(E230&gt;0,H230="",T230=""),"Enter Contract Rate",IF(AND(E230="IEP mtg, prep, rept",F230&gt;0),(G230*H230),IF(AND(E230&gt;0,F230&gt;0,H230&gt;0,I230=""),"Enter Travel",IF(AND(F230&gt;0,I230="Y"),(G230*H230)+$M$10,IF(AND(F230&gt;0,I230="N"),(G230*H230),H230))))))))</f>
        <v/>
      </c>
      <c r="K230" s="132">
        <f>J230</f>
        <v/>
      </c>
      <c r="L230" s="148" t="n"/>
      <c r="M230" s="148" t="n"/>
      <c r="N230" s="148" t="n"/>
      <c r="O230" s="87" t="n"/>
      <c r="P230" s="81" t="n"/>
      <c r="Q230" s="81" t="n"/>
      <c r="R230" s="81" t="n"/>
      <c r="S230" s="81" t="n"/>
      <c r="T230" s="136">
        <f>IF(AND(E230&gt;0,U230=0),1,"")</f>
        <v/>
      </c>
      <c r="U230" s="136">
        <f>SUM(X230:AR230)</f>
        <v/>
      </c>
      <c r="V230" s="136">
        <f>IF(E230=$Q$16,0,SUM(X230:AI230))</f>
        <v/>
      </c>
      <c r="W230" s="136">
        <f>SUM(AK230:AR230)</f>
        <v/>
      </c>
      <c r="X230" s="136">
        <f>IF(E230=$X$6,1,"")</f>
        <v/>
      </c>
      <c r="Y230" s="136">
        <f>IF(E230=$Y$6,1,"")</f>
        <v/>
      </c>
      <c r="Z230" s="136">
        <f>IF(E230=$Z$6,1,"")</f>
        <v/>
      </c>
      <c r="AA230" s="136">
        <f>IF(E230=$AA$6,1,"")</f>
        <v/>
      </c>
      <c r="AB230" s="136">
        <f>IF(E230=$AB$6,1,"")</f>
        <v/>
      </c>
      <c r="AC230" s="136">
        <f>IF(E230=$AC$6,1,"")</f>
        <v/>
      </c>
      <c r="AD230" s="136">
        <f>IF(E230=$AD$6,1,"")</f>
        <v/>
      </c>
      <c r="AE230" s="136">
        <f>IF(E230=$AE$6,1,"")</f>
        <v/>
      </c>
      <c r="AF230" s="136">
        <f>IF(E230=$AF$6,1,"")</f>
        <v/>
      </c>
      <c r="AG230" s="136">
        <f>IF(E230=$AG$6,1,"")</f>
        <v/>
      </c>
      <c r="AH230" s="136">
        <f>IF(E230=$AH$6,1,"")</f>
        <v/>
      </c>
      <c r="AI230" s="136">
        <f>IF(E230=$AI$6,1,"")</f>
        <v/>
      </c>
      <c r="AJ230" s="136">
        <f>IF(E230=$AJ$6,1,"")</f>
        <v/>
      </c>
      <c r="AK230" s="81">
        <f>IF(E230=$AK$6,1,"")</f>
        <v/>
      </c>
      <c r="AL230" s="81">
        <f>IF(E230=$AL$6,1,"")</f>
        <v/>
      </c>
      <c r="AM230" s="81">
        <f>IF(E230=$AM$6,1,"")</f>
        <v/>
      </c>
      <c r="AN230" s="81">
        <f>IF(E230=$AN$6,1,"")</f>
        <v/>
      </c>
      <c r="AO230" s="81">
        <f>IF(E230=$AO$6,1,"")</f>
        <v/>
      </c>
      <c r="AP230" s="81">
        <f>IF(E230=$AP$6,1,"")</f>
        <v/>
      </c>
      <c r="AQ230" s="81">
        <f>IF(E230=$AQ$6,1,"")</f>
        <v/>
      </c>
      <c r="AR230" s="81">
        <f>IF(E230=$AR$6,1,"")</f>
        <v/>
      </c>
      <c r="AS230" s="81" t="n"/>
    </row>
    <row r="231" ht="15.75" customHeight="1" s="80">
      <c r="A231" s="157" t="n"/>
      <c r="B231" s="124" t="n"/>
      <c r="C231" s="125" t="n"/>
      <c r="D231" s="126" t="n"/>
      <c r="E231" s="127" t="n"/>
      <c r="F231" s="128" t="n"/>
      <c r="G231" s="129">
        <f>IF(F231="","",ROUND(F231/60,2))</f>
        <v/>
      </c>
      <c r="H231" s="130" t="n"/>
      <c r="I231" s="131" t="n"/>
      <c r="J231" s="131">
        <f>IF(COUNTIF(B231:E231,"*")=0,"",IF(T231=1,"Invalid Service",IF(AND(V231=1,F231=""),"Add Session Mins",IF(AND(E231&gt;0,H231="",T231=""),"Enter Contract Rate",IF(AND(E231="IEP mtg, prep, rept",F231&gt;0),(G231*H231),IF(AND(E231&gt;0,F231&gt;0,H231&gt;0,I231=""),"Enter Travel",IF(AND(F231&gt;0,I231="Y"),(G231*H231)+$M$10,IF(AND(F231&gt;0,I231="N"),(G231*H231),H231))))))))</f>
        <v/>
      </c>
      <c r="K231" s="132">
        <f>J231</f>
        <v/>
      </c>
      <c r="L231" s="148" t="n"/>
      <c r="M231" s="148" t="n"/>
      <c r="N231" s="148" t="n"/>
      <c r="O231" s="87" t="n"/>
      <c r="P231" s="81" t="n"/>
      <c r="Q231" s="81" t="n"/>
      <c r="R231" s="81" t="n"/>
      <c r="S231" s="81" t="n"/>
      <c r="T231" s="136">
        <f>IF(AND(E231&gt;0,U231=0),1,"")</f>
        <v/>
      </c>
      <c r="U231" s="136">
        <f>SUM(X231:AR231)</f>
        <v/>
      </c>
      <c r="V231" s="136">
        <f>IF(E231=$Q$16,0,SUM(X231:AI231))</f>
        <v/>
      </c>
      <c r="W231" s="136">
        <f>SUM(AK231:AR231)</f>
        <v/>
      </c>
      <c r="X231" s="136">
        <f>IF(E231=$X$6,1,"")</f>
        <v/>
      </c>
      <c r="Y231" s="136">
        <f>IF(E231=$Y$6,1,"")</f>
        <v/>
      </c>
      <c r="Z231" s="136">
        <f>IF(E231=$Z$6,1,"")</f>
        <v/>
      </c>
      <c r="AA231" s="136">
        <f>IF(E231=$AA$6,1,"")</f>
        <v/>
      </c>
      <c r="AB231" s="136">
        <f>IF(E231=$AB$6,1,"")</f>
        <v/>
      </c>
      <c r="AC231" s="136">
        <f>IF(E231=$AC$6,1,"")</f>
        <v/>
      </c>
      <c r="AD231" s="136">
        <f>IF(E231=$AD$6,1,"")</f>
        <v/>
      </c>
      <c r="AE231" s="136">
        <f>IF(E231=$AE$6,1,"")</f>
        <v/>
      </c>
      <c r="AF231" s="136">
        <f>IF(E231=$AF$6,1,"")</f>
        <v/>
      </c>
      <c r="AG231" s="136">
        <f>IF(E231=$AG$6,1,"")</f>
        <v/>
      </c>
      <c r="AH231" s="136">
        <f>IF(E231=$AH$6,1,"")</f>
        <v/>
      </c>
      <c r="AI231" s="136">
        <f>IF(E231=$AI$6,1,"")</f>
        <v/>
      </c>
      <c r="AJ231" s="136">
        <f>IF(E231=$AJ$6,1,"")</f>
        <v/>
      </c>
      <c r="AK231" s="81">
        <f>IF(E231=$AK$6,1,"")</f>
        <v/>
      </c>
      <c r="AL231" s="81">
        <f>IF(E231=$AL$6,1,"")</f>
        <v/>
      </c>
      <c r="AM231" s="81">
        <f>IF(E231=$AM$6,1,"")</f>
        <v/>
      </c>
      <c r="AN231" s="81">
        <f>IF(E231=$AN$6,1,"")</f>
        <v/>
      </c>
      <c r="AO231" s="81">
        <f>IF(E231=$AO$6,1,"")</f>
        <v/>
      </c>
      <c r="AP231" s="81">
        <f>IF(E231=$AP$6,1,"")</f>
        <v/>
      </c>
      <c r="AQ231" s="81">
        <f>IF(E231=$AQ$6,1,"")</f>
        <v/>
      </c>
      <c r="AR231" s="81">
        <f>IF(E231=$AR$6,1,"")</f>
        <v/>
      </c>
      <c r="AS231" s="81" t="n"/>
    </row>
    <row r="232" ht="15.75" customHeight="1" s="80">
      <c r="A232" s="157" t="n"/>
      <c r="B232" s="124" t="n"/>
      <c r="C232" s="125" t="n"/>
      <c r="D232" s="126" t="n"/>
      <c r="E232" s="127" t="n"/>
      <c r="F232" s="128" t="n"/>
      <c r="G232" s="129">
        <f>IF(F232="","",ROUND(F232/60,2))</f>
        <v/>
      </c>
      <c r="H232" s="130" t="n"/>
      <c r="I232" s="131" t="n"/>
      <c r="J232" s="131">
        <f>IF(COUNTIF(B232:E232,"*")=0,"",IF(T232=1,"Invalid Service",IF(AND(V232=1,F232=""),"Add Session Mins",IF(AND(E232&gt;0,H232="",T232=""),"Enter Contract Rate",IF(AND(E232="IEP mtg, prep, rept",F232&gt;0),(G232*H232),IF(AND(E232&gt;0,F232&gt;0,H232&gt;0,I232=""),"Enter Travel",IF(AND(F232&gt;0,I232="Y"),(G232*H232)+$M$10,IF(AND(F232&gt;0,I232="N"),(G232*H232),H232))))))))</f>
        <v/>
      </c>
      <c r="K232" s="132">
        <f>J232</f>
        <v/>
      </c>
      <c r="L232" s="148" t="n"/>
      <c r="M232" s="148" t="n"/>
      <c r="N232" s="148" t="n"/>
      <c r="O232" s="87" t="n"/>
      <c r="P232" s="81" t="n"/>
      <c r="Q232" s="81" t="n"/>
      <c r="R232" s="81" t="n"/>
      <c r="S232" s="81" t="n"/>
      <c r="T232" s="136">
        <f>IF(AND(E232&gt;0,U232=0),1,"")</f>
        <v/>
      </c>
      <c r="U232" s="136">
        <f>SUM(X232:AR232)</f>
        <v/>
      </c>
      <c r="V232" s="136">
        <f>IF(E232=$Q$16,0,SUM(X232:AI232))</f>
        <v/>
      </c>
      <c r="W232" s="136">
        <f>SUM(AK232:AR232)</f>
        <v/>
      </c>
      <c r="X232" s="136">
        <f>IF(E232=$X$6,1,"")</f>
        <v/>
      </c>
      <c r="Y232" s="136">
        <f>IF(E232=$Y$6,1,"")</f>
        <v/>
      </c>
      <c r="Z232" s="136">
        <f>IF(E232=$Z$6,1,"")</f>
        <v/>
      </c>
      <c r="AA232" s="136">
        <f>IF(E232=$AA$6,1,"")</f>
        <v/>
      </c>
      <c r="AB232" s="136">
        <f>IF(E232=$AB$6,1,"")</f>
        <v/>
      </c>
      <c r="AC232" s="136">
        <f>IF(E232=$AC$6,1,"")</f>
        <v/>
      </c>
      <c r="AD232" s="136">
        <f>IF(E232=$AD$6,1,"")</f>
        <v/>
      </c>
      <c r="AE232" s="136">
        <f>IF(E232=$AE$6,1,"")</f>
        <v/>
      </c>
      <c r="AF232" s="136">
        <f>IF(E232=$AF$6,1,"")</f>
        <v/>
      </c>
      <c r="AG232" s="136">
        <f>IF(E232=$AG$6,1,"")</f>
        <v/>
      </c>
      <c r="AH232" s="136">
        <f>IF(E232=$AH$6,1,"")</f>
        <v/>
      </c>
      <c r="AI232" s="136">
        <f>IF(E232=$AI$6,1,"")</f>
        <v/>
      </c>
      <c r="AJ232" s="136">
        <f>IF(E232=$AJ$6,1,"")</f>
        <v/>
      </c>
      <c r="AK232" s="81">
        <f>IF(E232=$AK$6,1,"")</f>
        <v/>
      </c>
      <c r="AL232" s="81">
        <f>IF(E232=$AL$6,1,"")</f>
        <v/>
      </c>
      <c r="AM232" s="81">
        <f>IF(E232=$AM$6,1,"")</f>
        <v/>
      </c>
      <c r="AN232" s="81">
        <f>IF(E232=$AN$6,1,"")</f>
        <v/>
      </c>
      <c r="AO232" s="81">
        <f>IF(E232=$AO$6,1,"")</f>
        <v/>
      </c>
      <c r="AP232" s="81">
        <f>IF(E232=$AP$6,1,"")</f>
        <v/>
      </c>
      <c r="AQ232" s="81">
        <f>IF(E232=$AQ$6,1,"")</f>
        <v/>
      </c>
      <c r="AR232" s="81">
        <f>IF(E232=$AR$6,1,"")</f>
        <v/>
      </c>
      <c r="AS232" s="81" t="n"/>
    </row>
    <row r="233" ht="15.75" customHeight="1" s="80">
      <c r="A233" s="157" t="n"/>
      <c r="B233" s="124" t="n"/>
      <c r="C233" s="125" t="n"/>
      <c r="D233" s="126" t="n"/>
      <c r="E233" s="127" t="n"/>
      <c r="F233" s="128" t="n"/>
      <c r="G233" s="129">
        <f>IF(F233="","",ROUND(F233/60,2))</f>
        <v/>
      </c>
      <c r="H233" s="130" t="n"/>
      <c r="I233" s="131" t="n"/>
      <c r="J233" s="131">
        <f>IF(COUNTIF(B233:E233,"*")=0,"",IF(T233=1,"Invalid Service",IF(AND(V233=1,F233=""),"Add Session Mins",IF(AND(E233&gt;0,H233="",T233=""),"Enter Contract Rate",IF(AND(E233="IEP mtg, prep, rept",F233&gt;0),(G233*H233),IF(AND(E233&gt;0,F233&gt;0,H233&gt;0,I233=""),"Enter Travel",IF(AND(F233&gt;0,I233="Y"),(G233*H233)+$M$10,IF(AND(F233&gt;0,I233="N"),(G233*H233),H233))))))))</f>
        <v/>
      </c>
      <c r="K233" s="132">
        <f>J233</f>
        <v/>
      </c>
      <c r="L233" s="148" t="n"/>
      <c r="M233" s="148" t="n"/>
      <c r="N233" s="148" t="n"/>
      <c r="O233" s="87" t="n"/>
      <c r="P233" s="81" t="n"/>
      <c r="Q233" s="81" t="n"/>
      <c r="R233" s="81" t="n"/>
      <c r="S233" s="81" t="n"/>
      <c r="T233" s="136">
        <f>IF(AND(E233&gt;0,U233=0),1,"")</f>
        <v/>
      </c>
      <c r="U233" s="136">
        <f>SUM(X233:AR233)</f>
        <v/>
      </c>
      <c r="V233" s="136">
        <f>IF(E233=$Q$16,0,SUM(X233:AI233))</f>
        <v/>
      </c>
      <c r="W233" s="136">
        <f>SUM(AK233:AR233)</f>
        <v/>
      </c>
      <c r="X233" s="136">
        <f>IF(E233=$X$6,1,"")</f>
        <v/>
      </c>
      <c r="Y233" s="136">
        <f>IF(E233=$Y$6,1,"")</f>
        <v/>
      </c>
      <c r="Z233" s="136">
        <f>IF(E233=$Z$6,1,"")</f>
        <v/>
      </c>
      <c r="AA233" s="136">
        <f>IF(E233=$AA$6,1,"")</f>
        <v/>
      </c>
      <c r="AB233" s="136">
        <f>IF(E233=$AB$6,1,"")</f>
        <v/>
      </c>
      <c r="AC233" s="136">
        <f>IF(E233=$AC$6,1,"")</f>
        <v/>
      </c>
      <c r="AD233" s="136">
        <f>IF(E233=$AD$6,1,"")</f>
        <v/>
      </c>
      <c r="AE233" s="136">
        <f>IF(E233=$AE$6,1,"")</f>
        <v/>
      </c>
      <c r="AF233" s="136">
        <f>IF(E233=$AF$6,1,"")</f>
        <v/>
      </c>
      <c r="AG233" s="136">
        <f>IF(E233=$AG$6,1,"")</f>
        <v/>
      </c>
      <c r="AH233" s="136">
        <f>IF(E233=$AH$6,1,"")</f>
        <v/>
      </c>
      <c r="AI233" s="136">
        <f>IF(E233=$AI$6,1,"")</f>
        <v/>
      </c>
      <c r="AJ233" s="136">
        <f>IF(E233=$AJ$6,1,"")</f>
        <v/>
      </c>
      <c r="AK233" s="81">
        <f>IF(E233=$AK$6,1,"")</f>
        <v/>
      </c>
      <c r="AL233" s="81">
        <f>IF(E233=$AL$6,1,"")</f>
        <v/>
      </c>
      <c r="AM233" s="81">
        <f>IF(E233=$AM$6,1,"")</f>
        <v/>
      </c>
      <c r="AN233" s="81">
        <f>IF(E233=$AN$6,1,"")</f>
        <v/>
      </c>
      <c r="AO233" s="81">
        <f>IF(E233=$AO$6,1,"")</f>
        <v/>
      </c>
      <c r="AP233" s="81">
        <f>IF(E233=$AP$6,1,"")</f>
        <v/>
      </c>
      <c r="AQ233" s="81">
        <f>IF(E233=$AQ$6,1,"")</f>
        <v/>
      </c>
      <c r="AR233" s="81">
        <f>IF(E233=$AR$6,1,"")</f>
        <v/>
      </c>
      <c r="AS233" s="81" t="n"/>
    </row>
    <row r="234" ht="15.75" customHeight="1" s="80">
      <c r="A234" s="157" t="n"/>
      <c r="B234" s="124" t="n"/>
      <c r="C234" s="125" t="n"/>
      <c r="D234" s="126" t="n"/>
      <c r="E234" s="127" t="n"/>
      <c r="F234" s="128" t="n"/>
      <c r="G234" s="129">
        <f>IF(F234="","",ROUND(F234/60,2))</f>
        <v/>
      </c>
      <c r="H234" s="130" t="n"/>
      <c r="I234" s="131" t="n"/>
      <c r="J234" s="131">
        <f>IF(COUNTIF(B234:E234,"*")=0,"",IF(T234=1,"Invalid Service",IF(AND(V234=1,F234=""),"Add Session Mins",IF(AND(E234&gt;0,H234="",T234=""),"Enter Contract Rate",IF(AND(E234="IEP mtg, prep, rept",F234&gt;0),(G234*H234),IF(AND(E234&gt;0,F234&gt;0,H234&gt;0,I234=""),"Enter Travel",IF(AND(F234&gt;0,I234="Y"),(G234*H234)+$M$10,IF(AND(F234&gt;0,I234="N"),(G234*H234),H234))))))))</f>
        <v/>
      </c>
      <c r="K234" s="132">
        <f>J234</f>
        <v/>
      </c>
      <c r="L234" s="148" t="n"/>
      <c r="M234" s="148" t="n"/>
      <c r="N234" s="148" t="n"/>
      <c r="O234" s="87" t="n"/>
      <c r="P234" s="81" t="n"/>
      <c r="Q234" s="81" t="n"/>
      <c r="R234" s="81" t="n"/>
      <c r="S234" s="81" t="n"/>
      <c r="T234" s="136">
        <f>IF(AND(E234&gt;0,U234=0),1,"")</f>
        <v/>
      </c>
      <c r="U234" s="136">
        <f>SUM(X234:AR234)</f>
        <v/>
      </c>
      <c r="V234" s="136">
        <f>IF(E234=$Q$16,0,SUM(X234:AI234))</f>
        <v/>
      </c>
      <c r="W234" s="136">
        <f>SUM(AK234:AR234)</f>
        <v/>
      </c>
      <c r="X234" s="136">
        <f>IF(E234=$X$6,1,"")</f>
        <v/>
      </c>
      <c r="Y234" s="136">
        <f>IF(E234=$Y$6,1,"")</f>
        <v/>
      </c>
      <c r="Z234" s="136">
        <f>IF(E234=$Z$6,1,"")</f>
        <v/>
      </c>
      <c r="AA234" s="136">
        <f>IF(E234=$AA$6,1,"")</f>
        <v/>
      </c>
      <c r="AB234" s="136">
        <f>IF(E234=$AB$6,1,"")</f>
        <v/>
      </c>
      <c r="AC234" s="136">
        <f>IF(E234=$AC$6,1,"")</f>
        <v/>
      </c>
      <c r="AD234" s="136">
        <f>IF(E234=$AD$6,1,"")</f>
        <v/>
      </c>
      <c r="AE234" s="136">
        <f>IF(E234=$AE$6,1,"")</f>
        <v/>
      </c>
      <c r="AF234" s="136">
        <f>IF(E234=$AF$6,1,"")</f>
        <v/>
      </c>
      <c r="AG234" s="136">
        <f>IF(E234=$AG$6,1,"")</f>
        <v/>
      </c>
      <c r="AH234" s="136">
        <f>IF(E234=$AH$6,1,"")</f>
        <v/>
      </c>
      <c r="AI234" s="136">
        <f>IF(E234=$AI$6,1,"")</f>
        <v/>
      </c>
      <c r="AJ234" s="136">
        <f>IF(E234=$AJ$6,1,"")</f>
        <v/>
      </c>
      <c r="AK234" s="81">
        <f>IF(E234=$AK$6,1,"")</f>
        <v/>
      </c>
      <c r="AL234" s="81">
        <f>IF(E234=$AL$6,1,"")</f>
        <v/>
      </c>
      <c r="AM234" s="81">
        <f>IF(E234=$AM$6,1,"")</f>
        <v/>
      </c>
      <c r="AN234" s="81">
        <f>IF(E234=$AN$6,1,"")</f>
        <v/>
      </c>
      <c r="AO234" s="81">
        <f>IF(E234=$AO$6,1,"")</f>
        <v/>
      </c>
      <c r="AP234" s="81">
        <f>IF(E234=$AP$6,1,"")</f>
        <v/>
      </c>
      <c r="AQ234" s="81">
        <f>IF(E234=$AQ$6,1,"")</f>
        <v/>
      </c>
      <c r="AR234" s="81">
        <f>IF(E234=$AR$6,1,"")</f>
        <v/>
      </c>
      <c r="AS234" s="81" t="n"/>
    </row>
    <row r="235" ht="15.75" customHeight="1" s="80">
      <c r="A235" s="157" t="n"/>
      <c r="B235" s="124" t="n"/>
      <c r="C235" s="125" t="n"/>
      <c r="D235" s="126" t="n"/>
      <c r="E235" s="127" t="n"/>
      <c r="F235" s="128" t="n"/>
      <c r="G235" s="129">
        <f>IF(F235="","",ROUND(F235/60,2))</f>
        <v/>
      </c>
      <c r="H235" s="130" t="n"/>
      <c r="I235" s="131" t="n"/>
      <c r="J235" s="131">
        <f>IF(COUNTIF(B235:E235,"*")=0,"",IF(T235=1,"Invalid Service",IF(AND(V235=1,F235=""),"Add Session Mins",IF(AND(E235&gt;0,H235="",T235=""),"Enter Contract Rate",IF(AND(E235="IEP mtg, prep, rept",F235&gt;0),(G235*H235),IF(AND(E235&gt;0,F235&gt;0,H235&gt;0,I235=""),"Enter Travel",IF(AND(F235&gt;0,I235="Y"),(G235*H235)+$M$10,IF(AND(F235&gt;0,I235="N"),(G235*H235),H235))))))))</f>
        <v/>
      </c>
      <c r="K235" s="132">
        <f>J235</f>
        <v/>
      </c>
      <c r="L235" s="148" t="n"/>
      <c r="M235" s="148" t="n"/>
      <c r="N235" s="148" t="n"/>
      <c r="O235" s="87" t="n"/>
      <c r="P235" s="81" t="n"/>
      <c r="Q235" s="81" t="n"/>
      <c r="R235" s="81" t="n"/>
      <c r="S235" s="81" t="n"/>
      <c r="T235" s="136">
        <f>IF(AND(E235&gt;0,U235=0),1,"")</f>
        <v/>
      </c>
      <c r="U235" s="136">
        <f>SUM(X235:AR235)</f>
        <v/>
      </c>
      <c r="V235" s="136">
        <f>IF(E235=$Q$16,0,SUM(X235:AI235))</f>
        <v/>
      </c>
      <c r="W235" s="136">
        <f>SUM(AK235:AR235)</f>
        <v/>
      </c>
      <c r="X235" s="136">
        <f>IF(E235=$X$6,1,"")</f>
        <v/>
      </c>
      <c r="Y235" s="136">
        <f>IF(E235=$Y$6,1,"")</f>
        <v/>
      </c>
      <c r="Z235" s="136">
        <f>IF(E235=$Z$6,1,"")</f>
        <v/>
      </c>
      <c r="AA235" s="136">
        <f>IF(E235=$AA$6,1,"")</f>
        <v/>
      </c>
      <c r="AB235" s="136">
        <f>IF(E235=$AB$6,1,"")</f>
        <v/>
      </c>
      <c r="AC235" s="136">
        <f>IF(E235=$AC$6,1,"")</f>
        <v/>
      </c>
      <c r="AD235" s="136">
        <f>IF(E235=$AD$6,1,"")</f>
        <v/>
      </c>
      <c r="AE235" s="136">
        <f>IF(E235=$AE$6,1,"")</f>
        <v/>
      </c>
      <c r="AF235" s="136">
        <f>IF(E235=$AF$6,1,"")</f>
        <v/>
      </c>
      <c r="AG235" s="136">
        <f>IF(E235=$AG$6,1,"")</f>
        <v/>
      </c>
      <c r="AH235" s="136">
        <f>IF(E235=$AH$6,1,"")</f>
        <v/>
      </c>
      <c r="AI235" s="136">
        <f>IF(E235=$AI$6,1,"")</f>
        <v/>
      </c>
      <c r="AJ235" s="136">
        <f>IF(E235=$AJ$6,1,"")</f>
        <v/>
      </c>
      <c r="AK235" s="81">
        <f>IF(E235=$AK$6,1,"")</f>
        <v/>
      </c>
      <c r="AL235" s="81">
        <f>IF(E235=$AL$6,1,"")</f>
        <v/>
      </c>
      <c r="AM235" s="81">
        <f>IF(E235=$AM$6,1,"")</f>
        <v/>
      </c>
      <c r="AN235" s="81">
        <f>IF(E235=$AN$6,1,"")</f>
        <v/>
      </c>
      <c r="AO235" s="81">
        <f>IF(E235=$AO$6,1,"")</f>
        <v/>
      </c>
      <c r="AP235" s="81">
        <f>IF(E235=$AP$6,1,"")</f>
        <v/>
      </c>
      <c r="AQ235" s="81">
        <f>IF(E235=$AQ$6,1,"")</f>
        <v/>
      </c>
      <c r="AR235" s="81">
        <f>IF(E235=$AR$6,1,"")</f>
        <v/>
      </c>
      <c r="AS235" s="81" t="n"/>
    </row>
    <row r="236" ht="15.75" customHeight="1" s="80">
      <c r="A236" s="157" t="n"/>
      <c r="B236" s="124" t="n"/>
      <c r="C236" s="125" t="n"/>
      <c r="D236" s="126" t="n"/>
      <c r="E236" s="127" t="n"/>
      <c r="F236" s="128" t="n"/>
      <c r="G236" s="129">
        <f>IF(F236="","",ROUND(F236/60,2))</f>
        <v/>
      </c>
      <c r="H236" s="130" t="n"/>
      <c r="I236" s="131" t="n"/>
      <c r="J236" s="131">
        <f>IF(COUNTIF(B236:E236,"*")=0,"",IF(T236=1,"Invalid Service",IF(AND(V236=1,F236=""),"Add Session Mins",IF(AND(E236&gt;0,H236="",T236=""),"Enter Contract Rate",IF(AND(E236="IEP mtg, prep, rept",F236&gt;0),(G236*H236),IF(AND(E236&gt;0,F236&gt;0,H236&gt;0,I236=""),"Enter Travel",IF(AND(F236&gt;0,I236="Y"),(G236*H236)+$M$10,IF(AND(F236&gt;0,I236="N"),(G236*H236),H236))))))))</f>
        <v/>
      </c>
      <c r="K236" s="132">
        <f>J236</f>
        <v/>
      </c>
      <c r="L236" s="148" t="n"/>
      <c r="M236" s="148" t="n"/>
      <c r="N236" s="148" t="n"/>
      <c r="O236" s="87" t="n"/>
      <c r="P236" s="81" t="n"/>
      <c r="Q236" s="81" t="n"/>
      <c r="R236" s="81" t="n"/>
      <c r="S236" s="81" t="n"/>
      <c r="T236" s="136">
        <f>IF(AND(E236&gt;0,U236=0),1,"")</f>
        <v/>
      </c>
      <c r="U236" s="136">
        <f>SUM(X236:AR236)</f>
        <v/>
      </c>
      <c r="V236" s="136">
        <f>IF(E236=$Q$16,0,SUM(X236:AI236))</f>
        <v/>
      </c>
      <c r="W236" s="136">
        <f>SUM(AK236:AR236)</f>
        <v/>
      </c>
      <c r="X236" s="136">
        <f>IF(E236=$X$6,1,"")</f>
        <v/>
      </c>
      <c r="Y236" s="136">
        <f>IF(E236=$Y$6,1,"")</f>
        <v/>
      </c>
      <c r="Z236" s="136">
        <f>IF(E236=$Z$6,1,"")</f>
        <v/>
      </c>
      <c r="AA236" s="136">
        <f>IF(E236=$AA$6,1,"")</f>
        <v/>
      </c>
      <c r="AB236" s="136">
        <f>IF(E236=$AB$6,1,"")</f>
        <v/>
      </c>
      <c r="AC236" s="136">
        <f>IF(E236=$AC$6,1,"")</f>
        <v/>
      </c>
      <c r="AD236" s="136">
        <f>IF(E236=$AD$6,1,"")</f>
        <v/>
      </c>
      <c r="AE236" s="136">
        <f>IF(E236=$AE$6,1,"")</f>
        <v/>
      </c>
      <c r="AF236" s="136">
        <f>IF(E236=$AF$6,1,"")</f>
        <v/>
      </c>
      <c r="AG236" s="136">
        <f>IF(E236=$AG$6,1,"")</f>
        <v/>
      </c>
      <c r="AH236" s="136">
        <f>IF(E236=$AH$6,1,"")</f>
        <v/>
      </c>
      <c r="AI236" s="136">
        <f>IF(E236=$AI$6,1,"")</f>
        <v/>
      </c>
      <c r="AJ236" s="136">
        <f>IF(E236=$AJ$6,1,"")</f>
        <v/>
      </c>
      <c r="AK236" s="81">
        <f>IF(E236=$AK$6,1,"")</f>
        <v/>
      </c>
      <c r="AL236" s="81">
        <f>IF(E236=$AL$6,1,"")</f>
        <v/>
      </c>
      <c r="AM236" s="81">
        <f>IF(E236=$AM$6,1,"")</f>
        <v/>
      </c>
      <c r="AN236" s="81">
        <f>IF(E236=$AN$6,1,"")</f>
        <v/>
      </c>
      <c r="AO236" s="81">
        <f>IF(E236=$AO$6,1,"")</f>
        <v/>
      </c>
      <c r="AP236" s="81">
        <f>IF(E236=$AP$6,1,"")</f>
        <v/>
      </c>
      <c r="AQ236" s="81">
        <f>IF(E236=$AQ$6,1,"")</f>
        <v/>
      </c>
      <c r="AR236" s="81">
        <f>IF(E236=$AR$6,1,"")</f>
        <v/>
      </c>
      <c r="AS236" s="81" t="n"/>
    </row>
    <row r="237" ht="15.75" customHeight="1" s="80">
      <c r="A237" s="157" t="n"/>
      <c r="B237" s="124" t="n"/>
      <c r="C237" s="125" t="n"/>
      <c r="D237" s="126" t="n"/>
      <c r="E237" s="127" t="n"/>
      <c r="F237" s="128" t="n"/>
      <c r="G237" s="129">
        <f>IF(F237="","",ROUND(F237/60,2))</f>
        <v/>
      </c>
      <c r="H237" s="130" t="n"/>
      <c r="I237" s="131" t="n"/>
      <c r="J237" s="131">
        <f>IF(COUNTIF(B237:E237,"*")=0,"",IF(T237=1,"Invalid Service",IF(AND(V237=1,F237=""),"Add Session Mins",IF(AND(E237&gt;0,H237="",T237=""),"Enter Contract Rate",IF(AND(E237="IEP mtg, prep, rept",F237&gt;0),(G237*H237),IF(AND(E237&gt;0,F237&gt;0,H237&gt;0,I237=""),"Enter Travel",IF(AND(F237&gt;0,I237="Y"),(G237*H237)+$M$10,IF(AND(F237&gt;0,I237="N"),(G237*H237),H237))))))))</f>
        <v/>
      </c>
      <c r="K237" s="132">
        <f>J237</f>
        <v/>
      </c>
      <c r="L237" s="148" t="n"/>
      <c r="M237" s="148" t="n"/>
      <c r="N237" s="148" t="n"/>
      <c r="O237" s="87" t="n"/>
      <c r="P237" s="81" t="n"/>
      <c r="Q237" s="81" t="n"/>
      <c r="R237" s="81" t="n"/>
      <c r="S237" s="81" t="n"/>
      <c r="T237" s="136">
        <f>IF(AND(E237&gt;0,U237=0),1,"")</f>
        <v/>
      </c>
      <c r="U237" s="136">
        <f>SUM(X237:AR237)</f>
        <v/>
      </c>
      <c r="V237" s="136">
        <f>IF(E237=$Q$16,0,SUM(X237:AI237))</f>
        <v/>
      </c>
      <c r="W237" s="136">
        <f>SUM(AK237:AR237)</f>
        <v/>
      </c>
      <c r="X237" s="136">
        <f>IF(E237=$X$6,1,"")</f>
        <v/>
      </c>
      <c r="Y237" s="136">
        <f>IF(E237=$Y$6,1,"")</f>
        <v/>
      </c>
      <c r="Z237" s="136">
        <f>IF(E237=$Z$6,1,"")</f>
        <v/>
      </c>
      <c r="AA237" s="136">
        <f>IF(E237=$AA$6,1,"")</f>
        <v/>
      </c>
      <c r="AB237" s="136">
        <f>IF(E237=$AB$6,1,"")</f>
        <v/>
      </c>
      <c r="AC237" s="136">
        <f>IF(E237=$AC$6,1,"")</f>
        <v/>
      </c>
      <c r="AD237" s="136">
        <f>IF(E237=$AD$6,1,"")</f>
        <v/>
      </c>
      <c r="AE237" s="136">
        <f>IF(E237=$AE$6,1,"")</f>
        <v/>
      </c>
      <c r="AF237" s="136">
        <f>IF(E237=$AF$6,1,"")</f>
        <v/>
      </c>
      <c r="AG237" s="136">
        <f>IF(E237=$AG$6,1,"")</f>
        <v/>
      </c>
      <c r="AH237" s="136">
        <f>IF(E237=$AH$6,1,"")</f>
        <v/>
      </c>
      <c r="AI237" s="136">
        <f>IF(E237=$AI$6,1,"")</f>
        <v/>
      </c>
      <c r="AJ237" s="136">
        <f>IF(E237=$AJ$6,1,"")</f>
        <v/>
      </c>
      <c r="AK237" s="81">
        <f>IF(E237=$AK$6,1,"")</f>
        <v/>
      </c>
      <c r="AL237" s="81">
        <f>IF(E237=$AL$6,1,"")</f>
        <v/>
      </c>
      <c r="AM237" s="81">
        <f>IF(E237=$AM$6,1,"")</f>
        <v/>
      </c>
      <c r="AN237" s="81">
        <f>IF(E237=$AN$6,1,"")</f>
        <v/>
      </c>
      <c r="AO237" s="81">
        <f>IF(E237=$AO$6,1,"")</f>
        <v/>
      </c>
      <c r="AP237" s="81">
        <f>IF(E237=$AP$6,1,"")</f>
        <v/>
      </c>
      <c r="AQ237" s="81">
        <f>IF(E237=$AQ$6,1,"")</f>
        <v/>
      </c>
      <c r="AR237" s="81">
        <f>IF(E237=$AR$6,1,"")</f>
        <v/>
      </c>
      <c r="AS237" s="81" t="n"/>
    </row>
    <row r="238" ht="15.75" customHeight="1" s="80">
      <c r="A238" s="157" t="n"/>
      <c r="B238" s="124" t="n"/>
      <c r="C238" s="125" t="n"/>
      <c r="D238" s="126" t="n"/>
      <c r="E238" s="127" t="n"/>
      <c r="F238" s="128" t="n"/>
      <c r="G238" s="129">
        <f>IF(F238="","",ROUND(F238/60,2))</f>
        <v/>
      </c>
      <c r="H238" s="130" t="n"/>
      <c r="I238" s="131" t="n"/>
      <c r="J238" s="131">
        <f>IF(COUNTIF(B238:E238,"*")=0,"",IF(T238=1,"Invalid Service",IF(AND(V238=1,F238=""),"Add Session Mins",IF(AND(E238&gt;0,H238="",T238=""),"Enter Contract Rate",IF(AND(E238="IEP mtg, prep, rept",F238&gt;0),(G238*H238),IF(AND(E238&gt;0,F238&gt;0,H238&gt;0,I238=""),"Enter Travel",IF(AND(F238&gt;0,I238="Y"),(G238*H238)+$M$10,IF(AND(F238&gt;0,I238="N"),(G238*H238),H238))))))))</f>
        <v/>
      </c>
      <c r="K238" s="132">
        <f>J238</f>
        <v/>
      </c>
      <c r="L238" s="148" t="n"/>
      <c r="M238" s="148" t="n"/>
      <c r="N238" s="148" t="n"/>
      <c r="O238" s="87" t="n"/>
      <c r="P238" s="81" t="n"/>
      <c r="Q238" s="81" t="n"/>
      <c r="R238" s="81" t="n"/>
      <c r="S238" s="81" t="n"/>
      <c r="T238" s="136">
        <f>IF(AND(E238&gt;0,U238=0),1,"")</f>
        <v/>
      </c>
      <c r="U238" s="136">
        <f>SUM(X238:AR238)</f>
        <v/>
      </c>
      <c r="V238" s="136">
        <f>IF(E238=$Q$16,0,SUM(X238:AI238))</f>
        <v/>
      </c>
      <c r="W238" s="136">
        <f>SUM(AK238:AR238)</f>
        <v/>
      </c>
      <c r="X238" s="136">
        <f>IF(E238=$X$6,1,"")</f>
        <v/>
      </c>
      <c r="Y238" s="136">
        <f>IF(E238=$Y$6,1,"")</f>
        <v/>
      </c>
      <c r="Z238" s="136">
        <f>IF(E238=$Z$6,1,"")</f>
        <v/>
      </c>
      <c r="AA238" s="136">
        <f>IF(E238=$AA$6,1,"")</f>
        <v/>
      </c>
      <c r="AB238" s="136">
        <f>IF(E238=$AB$6,1,"")</f>
        <v/>
      </c>
      <c r="AC238" s="136">
        <f>IF(E238=$AC$6,1,"")</f>
        <v/>
      </c>
      <c r="AD238" s="136">
        <f>IF(E238=$AD$6,1,"")</f>
        <v/>
      </c>
      <c r="AE238" s="136">
        <f>IF(E238=$AE$6,1,"")</f>
        <v/>
      </c>
      <c r="AF238" s="136">
        <f>IF(E238=$AF$6,1,"")</f>
        <v/>
      </c>
      <c r="AG238" s="136">
        <f>IF(E238=$AG$6,1,"")</f>
        <v/>
      </c>
      <c r="AH238" s="136">
        <f>IF(E238=$AH$6,1,"")</f>
        <v/>
      </c>
      <c r="AI238" s="136">
        <f>IF(E238=$AI$6,1,"")</f>
        <v/>
      </c>
      <c r="AJ238" s="136">
        <f>IF(E238=$AJ$6,1,"")</f>
        <v/>
      </c>
      <c r="AK238" s="81">
        <f>IF(E238=$AK$6,1,"")</f>
        <v/>
      </c>
      <c r="AL238" s="81">
        <f>IF(E238=$AL$6,1,"")</f>
        <v/>
      </c>
      <c r="AM238" s="81">
        <f>IF(E238=$AM$6,1,"")</f>
        <v/>
      </c>
      <c r="AN238" s="81">
        <f>IF(E238=$AN$6,1,"")</f>
        <v/>
      </c>
      <c r="AO238" s="81">
        <f>IF(E238=$AO$6,1,"")</f>
        <v/>
      </c>
      <c r="AP238" s="81">
        <f>IF(E238=$AP$6,1,"")</f>
        <v/>
      </c>
      <c r="AQ238" s="81">
        <f>IF(E238=$AQ$6,1,"")</f>
        <v/>
      </c>
      <c r="AR238" s="81">
        <f>IF(E238=$AR$6,1,"")</f>
        <v/>
      </c>
      <c r="AS238" s="81" t="n"/>
    </row>
    <row r="239" ht="15.75" customHeight="1" s="80">
      <c r="A239" s="157" t="n"/>
      <c r="B239" s="124" t="n"/>
      <c r="C239" s="125" t="n"/>
      <c r="D239" s="126" t="n"/>
      <c r="E239" s="127" t="n"/>
      <c r="F239" s="128" t="n"/>
      <c r="G239" s="129">
        <f>IF(F239="","",ROUND(F239/60,2))</f>
        <v/>
      </c>
      <c r="H239" s="130" t="n"/>
      <c r="I239" s="131" t="n"/>
      <c r="J239" s="131">
        <f>IF(COUNTIF(B239:E239,"*")=0,"",IF(T239=1,"Invalid Service",IF(AND(V239=1,F239=""),"Add Session Mins",IF(AND(E239&gt;0,H239="",T239=""),"Enter Contract Rate",IF(AND(E239="IEP mtg, prep, rept",F239&gt;0),(G239*H239),IF(AND(E239&gt;0,F239&gt;0,H239&gt;0,I239=""),"Enter Travel",IF(AND(F239&gt;0,I239="Y"),(G239*H239)+$M$10,IF(AND(F239&gt;0,I239="N"),(G239*H239),H239))))))))</f>
        <v/>
      </c>
      <c r="K239" s="132">
        <f>J239</f>
        <v/>
      </c>
      <c r="L239" s="148" t="n"/>
      <c r="M239" s="148" t="n"/>
      <c r="N239" s="148" t="n"/>
      <c r="O239" s="87" t="n"/>
      <c r="P239" s="81" t="n"/>
      <c r="Q239" s="81" t="n"/>
      <c r="R239" s="81" t="n"/>
      <c r="S239" s="81" t="n"/>
      <c r="T239" s="136">
        <f>IF(AND(E239&gt;0,U239=0),1,"")</f>
        <v/>
      </c>
      <c r="U239" s="136">
        <f>SUM(X239:AR239)</f>
        <v/>
      </c>
      <c r="V239" s="136">
        <f>IF(E239=$Q$16,0,SUM(X239:AI239))</f>
        <v/>
      </c>
      <c r="W239" s="136">
        <f>SUM(AK239:AR239)</f>
        <v/>
      </c>
      <c r="X239" s="136">
        <f>IF(E239=$X$6,1,"")</f>
        <v/>
      </c>
      <c r="Y239" s="136">
        <f>IF(E239=$Y$6,1,"")</f>
        <v/>
      </c>
      <c r="Z239" s="136">
        <f>IF(E239=$Z$6,1,"")</f>
        <v/>
      </c>
      <c r="AA239" s="136">
        <f>IF(E239=$AA$6,1,"")</f>
        <v/>
      </c>
      <c r="AB239" s="136">
        <f>IF(E239=$AB$6,1,"")</f>
        <v/>
      </c>
      <c r="AC239" s="136">
        <f>IF(E239=$AC$6,1,"")</f>
        <v/>
      </c>
      <c r="AD239" s="136">
        <f>IF(E239=$AD$6,1,"")</f>
        <v/>
      </c>
      <c r="AE239" s="136">
        <f>IF(E239=$AE$6,1,"")</f>
        <v/>
      </c>
      <c r="AF239" s="136">
        <f>IF(E239=$AF$6,1,"")</f>
        <v/>
      </c>
      <c r="AG239" s="136">
        <f>IF(E239=$AG$6,1,"")</f>
        <v/>
      </c>
      <c r="AH239" s="136">
        <f>IF(E239=$AH$6,1,"")</f>
        <v/>
      </c>
      <c r="AI239" s="136">
        <f>IF(E239=$AI$6,1,"")</f>
        <v/>
      </c>
      <c r="AJ239" s="136">
        <f>IF(E239=$AJ$6,1,"")</f>
        <v/>
      </c>
      <c r="AK239" s="81">
        <f>IF(E239=$AK$6,1,"")</f>
        <v/>
      </c>
      <c r="AL239" s="81">
        <f>IF(E239=$AL$6,1,"")</f>
        <v/>
      </c>
      <c r="AM239" s="81">
        <f>IF(E239=$AM$6,1,"")</f>
        <v/>
      </c>
      <c r="AN239" s="81">
        <f>IF(E239=$AN$6,1,"")</f>
        <v/>
      </c>
      <c r="AO239" s="81">
        <f>IF(E239=$AO$6,1,"")</f>
        <v/>
      </c>
      <c r="AP239" s="81">
        <f>IF(E239=$AP$6,1,"")</f>
        <v/>
      </c>
      <c r="AQ239" s="81">
        <f>IF(E239=$AQ$6,1,"")</f>
        <v/>
      </c>
      <c r="AR239" s="81">
        <f>IF(E239=$AR$6,1,"")</f>
        <v/>
      </c>
      <c r="AS239" s="81" t="n"/>
    </row>
    <row r="240" ht="15.75" customHeight="1" s="80">
      <c r="A240" s="157" t="n"/>
      <c r="B240" s="124" t="n"/>
      <c r="C240" s="125" t="n"/>
      <c r="D240" s="126" t="n"/>
      <c r="E240" s="127" t="n"/>
      <c r="F240" s="128" t="n"/>
      <c r="G240" s="129">
        <f>IF(F240="","",ROUND(F240/60,2))</f>
        <v/>
      </c>
      <c r="H240" s="130" t="n"/>
      <c r="I240" s="131" t="n"/>
      <c r="J240" s="131">
        <f>IF(COUNTIF(B240:E240,"*")=0,"",IF(T240=1,"Invalid Service",IF(AND(V240=1,F240=""),"Add Session Mins",IF(AND(E240&gt;0,H240="",T240=""),"Enter Contract Rate",IF(AND(E240="IEP mtg, prep, rept",F240&gt;0),(G240*H240),IF(AND(E240&gt;0,F240&gt;0,H240&gt;0,I240=""),"Enter Travel",IF(AND(F240&gt;0,I240="Y"),(G240*H240)+$M$10,IF(AND(F240&gt;0,I240="N"),(G240*H240),H240))))))))</f>
        <v/>
      </c>
      <c r="K240" s="132">
        <f>J240</f>
        <v/>
      </c>
      <c r="L240" s="148" t="n"/>
      <c r="M240" s="148" t="n"/>
      <c r="N240" s="148" t="n"/>
      <c r="O240" s="87" t="n"/>
      <c r="P240" s="81" t="n"/>
      <c r="Q240" s="81" t="n"/>
      <c r="R240" s="81" t="n"/>
      <c r="S240" s="81" t="n"/>
      <c r="T240" s="136">
        <f>IF(AND(E240&gt;0,U240=0),1,"")</f>
        <v/>
      </c>
      <c r="U240" s="136">
        <f>SUM(X240:AR240)</f>
        <v/>
      </c>
      <c r="V240" s="136">
        <f>IF(E240=$Q$16,0,SUM(X240:AI240))</f>
        <v/>
      </c>
      <c r="W240" s="136">
        <f>SUM(AK240:AR240)</f>
        <v/>
      </c>
      <c r="X240" s="136">
        <f>IF(E240=$X$6,1,"")</f>
        <v/>
      </c>
      <c r="Y240" s="136">
        <f>IF(E240=$Y$6,1,"")</f>
        <v/>
      </c>
      <c r="Z240" s="136">
        <f>IF(E240=$Z$6,1,"")</f>
        <v/>
      </c>
      <c r="AA240" s="136">
        <f>IF(E240=$AA$6,1,"")</f>
        <v/>
      </c>
      <c r="AB240" s="136">
        <f>IF(E240=$AB$6,1,"")</f>
        <v/>
      </c>
      <c r="AC240" s="136">
        <f>IF(E240=$AC$6,1,"")</f>
        <v/>
      </c>
      <c r="AD240" s="136">
        <f>IF(E240=$AD$6,1,"")</f>
        <v/>
      </c>
      <c r="AE240" s="136">
        <f>IF(E240=$AE$6,1,"")</f>
        <v/>
      </c>
      <c r="AF240" s="136">
        <f>IF(E240=$AF$6,1,"")</f>
        <v/>
      </c>
      <c r="AG240" s="136">
        <f>IF(E240=$AG$6,1,"")</f>
        <v/>
      </c>
      <c r="AH240" s="136">
        <f>IF(E240=$AH$6,1,"")</f>
        <v/>
      </c>
      <c r="AI240" s="136">
        <f>IF(E240=$AI$6,1,"")</f>
        <v/>
      </c>
      <c r="AJ240" s="136">
        <f>IF(E240=$AJ$6,1,"")</f>
        <v/>
      </c>
      <c r="AK240" s="81">
        <f>IF(E240=$AK$6,1,"")</f>
        <v/>
      </c>
      <c r="AL240" s="81">
        <f>IF(E240=$AL$6,1,"")</f>
        <v/>
      </c>
      <c r="AM240" s="81">
        <f>IF(E240=$AM$6,1,"")</f>
        <v/>
      </c>
      <c r="AN240" s="81">
        <f>IF(E240=$AN$6,1,"")</f>
        <v/>
      </c>
      <c r="AO240" s="81">
        <f>IF(E240=$AO$6,1,"")</f>
        <v/>
      </c>
      <c r="AP240" s="81">
        <f>IF(E240=$AP$6,1,"")</f>
        <v/>
      </c>
      <c r="AQ240" s="81">
        <f>IF(E240=$AQ$6,1,"")</f>
        <v/>
      </c>
      <c r="AR240" s="81">
        <f>IF(E240=$AR$6,1,"")</f>
        <v/>
      </c>
      <c r="AS240" s="81" t="n"/>
    </row>
    <row r="241" ht="15.75" customHeight="1" s="80">
      <c r="A241" s="157" t="n"/>
      <c r="B241" s="124" t="n"/>
      <c r="C241" s="125" t="n"/>
      <c r="D241" s="126" t="n"/>
      <c r="E241" s="127" t="n"/>
      <c r="F241" s="128" t="n"/>
      <c r="G241" s="129">
        <f>IF(F241="","",ROUND(F241/60,2))</f>
        <v/>
      </c>
      <c r="H241" s="130" t="n"/>
      <c r="I241" s="131" t="n"/>
      <c r="J241" s="131">
        <f>IF(COUNTIF(B241:E241,"*")=0,"",IF(T241=1,"Invalid Service",IF(AND(V241=1,F241=""),"Add Session Mins",IF(AND(E241&gt;0,H241="",T241=""),"Enter Contract Rate",IF(AND(E241="IEP mtg, prep, rept",F241&gt;0),(G241*H241),IF(AND(E241&gt;0,F241&gt;0,H241&gt;0,I241=""),"Enter Travel",IF(AND(F241&gt;0,I241="Y"),(G241*H241)+$M$10,IF(AND(F241&gt;0,I241="N"),(G241*H241),H241))))))))</f>
        <v/>
      </c>
      <c r="K241" s="132">
        <f>J241</f>
        <v/>
      </c>
      <c r="L241" s="148" t="n"/>
      <c r="M241" s="148" t="n"/>
      <c r="N241" s="148" t="n"/>
      <c r="O241" s="87" t="n"/>
      <c r="P241" s="81" t="n"/>
      <c r="Q241" s="81" t="n"/>
      <c r="R241" s="81" t="n"/>
      <c r="S241" s="81" t="n"/>
      <c r="T241" s="136">
        <f>IF(AND(E241&gt;0,U241=0),1,"")</f>
        <v/>
      </c>
      <c r="U241" s="136">
        <f>SUM(X241:AR241)</f>
        <v/>
      </c>
      <c r="V241" s="136">
        <f>IF(E241=$Q$16,0,SUM(X241:AI241))</f>
        <v/>
      </c>
      <c r="W241" s="136">
        <f>SUM(AK241:AR241)</f>
        <v/>
      </c>
      <c r="X241" s="136">
        <f>IF(E241=$X$6,1,"")</f>
        <v/>
      </c>
      <c r="Y241" s="136">
        <f>IF(E241=$Y$6,1,"")</f>
        <v/>
      </c>
      <c r="Z241" s="136">
        <f>IF(E241=$Z$6,1,"")</f>
        <v/>
      </c>
      <c r="AA241" s="136">
        <f>IF(E241=$AA$6,1,"")</f>
        <v/>
      </c>
      <c r="AB241" s="136">
        <f>IF(E241=$AB$6,1,"")</f>
        <v/>
      </c>
      <c r="AC241" s="136">
        <f>IF(E241=$AC$6,1,"")</f>
        <v/>
      </c>
      <c r="AD241" s="136">
        <f>IF(E241=$AD$6,1,"")</f>
        <v/>
      </c>
      <c r="AE241" s="136">
        <f>IF(E241=$AE$6,1,"")</f>
        <v/>
      </c>
      <c r="AF241" s="136">
        <f>IF(E241=$AF$6,1,"")</f>
        <v/>
      </c>
      <c r="AG241" s="136">
        <f>IF(E241=$AG$6,1,"")</f>
        <v/>
      </c>
      <c r="AH241" s="136">
        <f>IF(E241=$AH$6,1,"")</f>
        <v/>
      </c>
      <c r="AI241" s="136">
        <f>IF(E241=$AI$6,1,"")</f>
        <v/>
      </c>
      <c r="AJ241" s="136">
        <f>IF(E241=$AJ$6,1,"")</f>
        <v/>
      </c>
      <c r="AK241" s="81">
        <f>IF(E241=$AK$6,1,"")</f>
        <v/>
      </c>
      <c r="AL241" s="81">
        <f>IF(E241=$AL$6,1,"")</f>
        <v/>
      </c>
      <c r="AM241" s="81">
        <f>IF(E241=$AM$6,1,"")</f>
        <v/>
      </c>
      <c r="AN241" s="81">
        <f>IF(E241=$AN$6,1,"")</f>
        <v/>
      </c>
      <c r="AO241" s="81">
        <f>IF(E241=$AO$6,1,"")</f>
        <v/>
      </c>
      <c r="AP241" s="81">
        <f>IF(E241=$AP$6,1,"")</f>
        <v/>
      </c>
      <c r="AQ241" s="81">
        <f>IF(E241=$AQ$6,1,"")</f>
        <v/>
      </c>
      <c r="AR241" s="81">
        <f>IF(E241=$AR$6,1,"")</f>
        <v/>
      </c>
      <c r="AS241" s="81" t="n"/>
    </row>
    <row r="242" ht="15.75" customHeight="1" s="80">
      <c r="A242" s="157" t="n"/>
      <c r="B242" s="124" t="n"/>
      <c r="C242" s="125" t="n"/>
      <c r="D242" s="126" t="n"/>
      <c r="E242" s="127" t="n"/>
      <c r="F242" s="128" t="n"/>
      <c r="G242" s="129">
        <f>IF(F242="","",ROUND(F242/60,2))</f>
        <v/>
      </c>
      <c r="H242" s="130" t="n"/>
      <c r="I242" s="131" t="n"/>
      <c r="J242" s="131">
        <f>IF(COUNTIF(B242:E242,"*")=0,"",IF(T242=1,"Invalid Service",IF(AND(V242=1,F242=""),"Add Session Mins",IF(AND(E242&gt;0,H242="",T242=""),"Enter Contract Rate",IF(AND(E242="IEP mtg, prep, rept",F242&gt;0),(G242*H242),IF(AND(E242&gt;0,F242&gt;0,H242&gt;0,I242=""),"Enter Travel",IF(AND(F242&gt;0,I242="Y"),(G242*H242)+$M$10,IF(AND(F242&gt;0,I242="N"),(G242*H242),H242))))))))</f>
        <v/>
      </c>
      <c r="K242" s="132">
        <f>J242</f>
        <v/>
      </c>
      <c r="L242" s="148" t="n"/>
      <c r="M242" s="148" t="n"/>
      <c r="N242" s="148" t="n"/>
      <c r="O242" s="87" t="n"/>
      <c r="P242" s="81" t="n"/>
      <c r="Q242" s="81" t="n"/>
      <c r="R242" s="81" t="n"/>
      <c r="S242" s="81" t="n"/>
      <c r="T242" s="136">
        <f>IF(AND(E242&gt;0,U242=0),1,"")</f>
        <v/>
      </c>
      <c r="U242" s="136">
        <f>SUM(X242:AR242)</f>
        <v/>
      </c>
      <c r="V242" s="136">
        <f>IF(E242=$Q$16,0,SUM(X242:AI242))</f>
        <v/>
      </c>
      <c r="W242" s="136">
        <f>SUM(AK242:AR242)</f>
        <v/>
      </c>
      <c r="X242" s="136">
        <f>IF(E242=$X$6,1,"")</f>
        <v/>
      </c>
      <c r="Y242" s="136">
        <f>IF(E242=$Y$6,1,"")</f>
        <v/>
      </c>
      <c r="Z242" s="136">
        <f>IF(E242=$Z$6,1,"")</f>
        <v/>
      </c>
      <c r="AA242" s="136">
        <f>IF(E242=$AA$6,1,"")</f>
        <v/>
      </c>
      <c r="AB242" s="136">
        <f>IF(E242=$AB$6,1,"")</f>
        <v/>
      </c>
      <c r="AC242" s="136">
        <f>IF(E242=$AC$6,1,"")</f>
        <v/>
      </c>
      <c r="AD242" s="136">
        <f>IF(E242=$AD$6,1,"")</f>
        <v/>
      </c>
      <c r="AE242" s="136">
        <f>IF(E242=$AE$6,1,"")</f>
        <v/>
      </c>
      <c r="AF242" s="136">
        <f>IF(E242=$AF$6,1,"")</f>
        <v/>
      </c>
      <c r="AG242" s="136">
        <f>IF(E242=$AG$6,1,"")</f>
        <v/>
      </c>
      <c r="AH242" s="136">
        <f>IF(E242=$AH$6,1,"")</f>
        <v/>
      </c>
      <c r="AI242" s="136">
        <f>IF(E242=$AI$6,1,"")</f>
        <v/>
      </c>
      <c r="AJ242" s="136">
        <f>IF(E242=$AJ$6,1,"")</f>
        <v/>
      </c>
      <c r="AK242" s="81">
        <f>IF(E242=$AK$6,1,"")</f>
        <v/>
      </c>
      <c r="AL242" s="81">
        <f>IF(E242=$AL$6,1,"")</f>
        <v/>
      </c>
      <c r="AM242" s="81">
        <f>IF(E242=$AM$6,1,"")</f>
        <v/>
      </c>
      <c r="AN242" s="81">
        <f>IF(E242=$AN$6,1,"")</f>
        <v/>
      </c>
      <c r="AO242" s="81">
        <f>IF(E242=$AO$6,1,"")</f>
        <v/>
      </c>
      <c r="AP242" s="81">
        <f>IF(E242=$AP$6,1,"")</f>
        <v/>
      </c>
      <c r="AQ242" s="81">
        <f>IF(E242=$AQ$6,1,"")</f>
        <v/>
      </c>
      <c r="AR242" s="81">
        <f>IF(E242=$AR$6,1,"")</f>
        <v/>
      </c>
      <c r="AS242" s="81" t="n"/>
    </row>
    <row r="243" ht="15.75" customHeight="1" s="80">
      <c r="A243" s="157" t="n"/>
      <c r="B243" s="124" t="n"/>
      <c r="C243" s="125" t="n"/>
      <c r="D243" s="126" t="n"/>
      <c r="E243" s="127" t="n"/>
      <c r="F243" s="128" t="n"/>
      <c r="G243" s="129">
        <f>IF(F243="","",ROUND(F243/60,2))</f>
        <v/>
      </c>
      <c r="H243" s="130" t="n"/>
      <c r="I243" s="131" t="n"/>
      <c r="J243" s="131">
        <f>IF(COUNTIF(B243:E243,"*")=0,"",IF(T243=1,"Invalid Service",IF(AND(V243=1,F243=""),"Add Session Mins",IF(AND(E243&gt;0,H243="",T243=""),"Enter Contract Rate",IF(AND(E243="IEP mtg, prep, rept",F243&gt;0),(G243*H243),IF(AND(E243&gt;0,F243&gt;0,H243&gt;0,I243=""),"Enter Travel",IF(AND(F243&gt;0,I243="Y"),(G243*H243)+$M$10,IF(AND(F243&gt;0,I243="N"),(G243*H243),H243))))))))</f>
        <v/>
      </c>
      <c r="K243" s="132">
        <f>J243</f>
        <v/>
      </c>
      <c r="L243" s="148" t="n"/>
      <c r="M243" s="148" t="n"/>
      <c r="N243" s="148" t="n"/>
      <c r="O243" s="87" t="n"/>
      <c r="P243" s="81" t="n"/>
      <c r="Q243" s="81" t="n"/>
      <c r="R243" s="81" t="n"/>
      <c r="S243" s="81" t="n"/>
      <c r="T243" s="136">
        <f>IF(AND(E243&gt;0,U243=0),1,"")</f>
        <v/>
      </c>
      <c r="U243" s="136">
        <f>SUM(X243:AR243)</f>
        <v/>
      </c>
      <c r="V243" s="136">
        <f>IF(E243=$Q$16,0,SUM(X243:AI243))</f>
        <v/>
      </c>
      <c r="W243" s="136">
        <f>SUM(AK243:AR243)</f>
        <v/>
      </c>
      <c r="X243" s="136">
        <f>IF(E243=$X$6,1,"")</f>
        <v/>
      </c>
      <c r="Y243" s="136">
        <f>IF(E243=$Y$6,1,"")</f>
        <v/>
      </c>
      <c r="Z243" s="136">
        <f>IF(E243=$Z$6,1,"")</f>
        <v/>
      </c>
      <c r="AA243" s="136">
        <f>IF(E243=$AA$6,1,"")</f>
        <v/>
      </c>
      <c r="AB243" s="136">
        <f>IF(E243=$AB$6,1,"")</f>
        <v/>
      </c>
      <c r="AC243" s="136">
        <f>IF(E243=$AC$6,1,"")</f>
        <v/>
      </c>
      <c r="AD243" s="136">
        <f>IF(E243=$AD$6,1,"")</f>
        <v/>
      </c>
      <c r="AE243" s="136">
        <f>IF(E243=$AE$6,1,"")</f>
        <v/>
      </c>
      <c r="AF243" s="136">
        <f>IF(E243=$AF$6,1,"")</f>
        <v/>
      </c>
      <c r="AG243" s="136">
        <f>IF(E243=$AG$6,1,"")</f>
        <v/>
      </c>
      <c r="AH243" s="136">
        <f>IF(E243=$AH$6,1,"")</f>
        <v/>
      </c>
      <c r="AI243" s="136">
        <f>IF(E243=$AI$6,1,"")</f>
        <v/>
      </c>
      <c r="AJ243" s="136">
        <f>IF(E243=$AJ$6,1,"")</f>
        <v/>
      </c>
      <c r="AK243" s="81">
        <f>IF(E243=$AK$6,1,"")</f>
        <v/>
      </c>
      <c r="AL243" s="81">
        <f>IF(E243=$AL$6,1,"")</f>
        <v/>
      </c>
      <c r="AM243" s="81">
        <f>IF(E243=$AM$6,1,"")</f>
        <v/>
      </c>
      <c r="AN243" s="81">
        <f>IF(E243=$AN$6,1,"")</f>
        <v/>
      </c>
      <c r="AO243" s="81">
        <f>IF(E243=$AO$6,1,"")</f>
        <v/>
      </c>
      <c r="AP243" s="81">
        <f>IF(E243=$AP$6,1,"")</f>
        <v/>
      </c>
      <c r="AQ243" s="81">
        <f>IF(E243=$AQ$6,1,"")</f>
        <v/>
      </c>
      <c r="AR243" s="81">
        <f>IF(E243=$AR$6,1,"")</f>
        <v/>
      </c>
      <c r="AS243" s="81" t="n"/>
    </row>
    <row r="244" ht="15.75" customHeight="1" s="80">
      <c r="A244" s="157" t="n"/>
      <c r="B244" s="124" t="n"/>
      <c r="C244" s="125" t="n"/>
      <c r="D244" s="126" t="n"/>
      <c r="E244" s="127" t="n"/>
      <c r="F244" s="128" t="n"/>
      <c r="G244" s="129">
        <f>IF(F244="","",ROUND(F244/60,2))</f>
        <v/>
      </c>
      <c r="H244" s="130" t="n"/>
      <c r="I244" s="131" t="n"/>
      <c r="J244" s="131">
        <f>IF(COUNTIF(B244:E244,"*")=0,"",IF(T244=1,"Invalid Service",IF(AND(V244=1,F244=""),"Add Session Mins",IF(AND(E244&gt;0,H244="",T244=""),"Enter Contract Rate",IF(AND(E244="IEP mtg, prep, rept",F244&gt;0),(G244*H244),IF(AND(E244&gt;0,F244&gt;0,H244&gt;0,I244=""),"Enter Travel",IF(AND(F244&gt;0,I244="Y"),(G244*H244)+$M$10,IF(AND(F244&gt;0,I244="N"),(G244*H244),H244))))))))</f>
        <v/>
      </c>
      <c r="K244" s="132">
        <f>J244</f>
        <v/>
      </c>
      <c r="L244" s="148" t="n"/>
      <c r="M244" s="148" t="n"/>
      <c r="N244" s="148" t="n"/>
      <c r="O244" s="87" t="n"/>
      <c r="P244" s="81" t="n"/>
      <c r="Q244" s="81" t="n"/>
      <c r="R244" s="81" t="n"/>
      <c r="S244" s="81" t="n"/>
      <c r="T244" s="136">
        <f>IF(AND(E244&gt;0,U244=0),1,"")</f>
        <v/>
      </c>
      <c r="U244" s="136">
        <f>SUM(X244:AR244)</f>
        <v/>
      </c>
      <c r="V244" s="136">
        <f>IF(E244=$Q$16,0,SUM(X244:AI244))</f>
        <v/>
      </c>
      <c r="W244" s="136">
        <f>SUM(AK244:AR244)</f>
        <v/>
      </c>
      <c r="X244" s="136">
        <f>IF(E244=$X$6,1,"")</f>
        <v/>
      </c>
      <c r="Y244" s="136">
        <f>IF(E244=$Y$6,1,"")</f>
        <v/>
      </c>
      <c r="Z244" s="136">
        <f>IF(E244=$Z$6,1,"")</f>
        <v/>
      </c>
      <c r="AA244" s="136">
        <f>IF(E244=$AA$6,1,"")</f>
        <v/>
      </c>
      <c r="AB244" s="136">
        <f>IF(E244=$AB$6,1,"")</f>
        <v/>
      </c>
      <c r="AC244" s="136">
        <f>IF(E244=$AC$6,1,"")</f>
        <v/>
      </c>
      <c r="AD244" s="136">
        <f>IF(E244=$AD$6,1,"")</f>
        <v/>
      </c>
      <c r="AE244" s="136">
        <f>IF(E244=$AE$6,1,"")</f>
        <v/>
      </c>
      <c r="AF244" s="136">
        <f>IF(E244=$AF$6,1,"")</f>
        <v/>
      </c>
      <c r="AG244" s="136">
        <f>IF(E244=$AG$6,1,"")</f>
        <v/>
      </c>
      <c r="AH244" s="136">
        <f>IF(E244=$AH$6,1,"")</f>
        <v/>
      </c>
      <c r="AI244" s="136">
        <f>IF(E244=$AI$6,1,"")</f>
        <v/>
      </c>
      <c r="AJ244" s="136">
        <f>IF(E244=$AJ$6,1,"")</f>
        <v/>
      </c>
      <c r="AK244" s="81">
        <f>IF(E244=$AK$6,1,"")</f>
        <v/>
      </c>
      <c r="AL244" s="81">
        <f>IF(E244=$AL$6,1,"")</f>
        <v/>
      </c>
      <c r="AM244" s="81">
        <f>IF(E244=$AM$6,1,"")</f>
        <v/>
      </c>
      <c r="AN244" s="81">
        <f>IF(E244=$AN$6,1,"")</f>
        <v/>
      </c>
      <c r="AO244" s="81">
        <f>IF(E244=$AO$6,1,"")</f>
        <v/>
      </c>
      <c r="AP244" s="81">
        <f>IF(E244=$AP$6,1,"")</f>
        <v/>
      </c>
      <c r="AQ244" s="81">
        <f>IF(E244=$AQ$6,1,"")</f>
        <v/>
      </c>
      <c r="AR244" s="81">
        <f>IF(E244=$AR$6,1,"")</f>
        <v/>
      </c>
      <c r="AS244" s="81" t="n"/>
    </row>
    <row r="245" ht="15.75" customHeight="1" s="80">
      <c r="A245" s="157" t="n"/>
      <c r="B245" s="124" t="n"/>
      <c r="C245" s="125" t="n"/>
      <c r="D245" s="126" t="n"/>
      <c r="E245" s="127" t="n"/>
      <c r="F245" s="128" t="n"/>
      <c r="G245" s="129">
        <f>IF(F245="","",ROUND(F245/60,2))</f>
        <v/>
      </c>
      <c r="H245" s="130" t="n"/>
      <c r="I245" s="131" t="n"/>
      <c r="J245" s="131">
        <f>IF(COUNTIF(B245:E245,"*")=0,"",IF(T245=1,"Invalid Service",IF(AND(V245=1,F245=""),"Add Session Mins",IF(AND(E245&gt;0,H245="",T245=""),"Enter Contract Rate",IF(AND(E245="IEP mtg, prep, rept",F245&gt;0),(G245*H245),IF(AND(E245&gt;0,F245&gt;0,H245&gt;0,I245=""),"Enter Travel",IF(AND(F245&gt;0,I245="Y"),(G245*H245)+$M$10,IF(AND(F245&gt;0,I245="N"),(G245*H245),H245))))))))</f>
        <v/>
      </c>
      <c r="K245" s="132">
        <f>J245</f>
        <v/>
      </c>
      <c r="L245" s="148" t="n"/>
      <c r="M245" s="148" t="n"/>
      <c r="N245" s="148" t="n"/>
      <c r="O245" s="87" t="n"/>
      <c r="P245" s="81" t="n"/>
      <c r="Q245" s="81" t="n"/>
      <c r="R245" s="81" t="n"/>
      <c r="S245" s="81" t="n"/>
      <c r="T245" s="136">
        <f>IF(AND(E245&gt;0,U245=0),1,"")</f>
        <v/>
      </c>
      <c r="U245" s="136">
        <f>SUM(X245:AR245)</f>
        <v/>
      </c>
      <c r="V245" s="136">
        <f>IF(E245=$Q$16,0,SUM(X245:AI245))</f>
        <v/>
      </c>
      <c r="W245" s="136">
        <f>SUM(AK245:AR245)</f>
        <v/>
      </c>
      <c r="X245" s="136">
        <f>IF(E245=$X$6,1,"")</f>
        <v/>
      </c>
      <c r="Y245" s="136">
        <f>IF(E245=$Y$6,1,"")</f>
        <v/>
      </c>
      <c r="Z245" s="136">
        <f>IF(E245=$Z$6,1,"")</f>
        <v/>
      </c>
      <c r="AA245" s="136">
        <f>IF(E245=$AA$6,1,"")</f>
        <v/>
      </c>
      <c r="AB245" s="136">
        <f>IF(E245=$AB$6,1,"")</f>
        <v/>
      </c>
      <c r="AC245" s="136">
        <f>IF(E245=$AC$6,1,"")</f>
        <v/>
      </c>
      <c r="AD245" s="136">
        <f>IF(E245=$AD$6,1,"")</f>
        <v/>
      </c>
      <c r="AE245" s="136">
        <f>IF(E245=$AE$6,1,"")</f>
        <v/>
      </c>
      <c r="AF245" s="136">
        <f>IF(E245=$AF$6,1,"")</f>
        <v/>
      </c>
      <c r="AG245" s="136">
        <f>IF(E245=$AG$6,1,"")</f>
        <v/>
      </c>
      <c r="AH245" s="136">
        <f>IF(E245=$AH$6,1,"")</f>
        <v/>
      </c>
      <c r="AI245" s="136">
        <f>IF(E245=$AI$6,1,"")</f>
        <v/>
      </c>
      <c r="AJ245" s="136">
        <f>IF(E245=$AJ$6,1,"")</f>
        <v/>
      </c>
      <c r="AK245" s="81">
        <f>IF(E245=$AK$6,1,"")</f>
        <v/>
      </c>
      <c r="AL245" s="81">
        <f>IF(E245=$AL$6,1,"")</f>
        <v/>
      </c>
      <c r="AM245" s="81">
        <f>IF(E245=$AM$6,1,"")</f>
        <v/>
      </c>
      <c r="AN245" s="81">
        <f>IF(E245=$AN$6,1,"")</f>
        <v/>
      </c>
      <c r="AO245" s="81">
        <f>IF(E245=$AO$6,1,"")</f>
        <v/>
      </c>
      <c r="AP245" s="81">
        <f>IF(E245=$AP$6,1,"")</f>
        <v/>
      </c>
      <c r="AQ245" s="81">
        <f>IF(E245=$AQ$6,1,"")</f>
        <v/>
      </c>
      <c r="AR245" s="81">
        <f>IF(E245=$AR$6,1,"")</f>
        <v/>
      </c>
      <c r="AS245" s="81" t="n"/>
    </row>
    <row r="246" ht="15.75" customHeight="1" s="80">
      <c r="A246" s="157" t="n"/>
      <c r="B246" s="124" t="n"/>
      <c r="C246" s="125" t="n"/>
      <c r="D246" s="126" t="n"/>
      <c r="E246" s="127" t="n"/>
      <c r="F246" s="128" t="n"/>
      <c r="G246" s="129">
        <f>IF(F246="","",ROUND(F246/60,2))</f>
        <v/>
      </c>
      <c r="H246" s="130" t="n"/>
      <c r="I246" s="131" t="n"/>
      <c r="J246" s="131">
        <f>IF(COUNTIF(B246:E246,"*")=0,"",IF(T246=1,"Invalid Service",IF(AND(V246=1,F246=""),"Add Session Mins",IF(AND(E246&gt;0,H246="",T246=""),"Enter Contract Rate",IF(AND(E246="IEP mtg, prep, rept",F246&gt;0),(G246*H246),IF(AND(E246&gt;0,F246&gt;0,H246&gt;0,I246=""),"Enter Travel",IF(AND(F246&gt;0,I246="Y"),(G246*H246)+$M$10,IF(AND(F246&gt;0,I246="N"),(G246*H246),H246))))))))</f>
        <v/>
      </c>
      <c r="K246" s="132">
        <f>J246</f>
        <v/>
      </c>
      <c r="L246" s="148" t="n"/>
      <c r="M246" s="148" t="n"/>
      <c r="N246" s="148" t="n"/>
      <c r="O246" s="87" t="n"/>
      <c r="P246" s="81" t="n"/>
      <c r="Q246" s="81" t="n"/>
      <c r="R246" s="81" t="n"/>
      <c r="S246" s="81" t="n"/>
      <c r="T246" s="136">
        <f>IF(AND(E246&gt;0,U246=0),1,"")</f>
        <v/>
      </c>
      <c r="U246" s="136">
        <f>SUM(X246:AR246)</f>
        <v/>
      </c>
      <c r="V246" s="136">
        <f>IF(E246=$Q$16,0,SUM(X246:AI246))</f>
        <v/>
      </c>
      <c r="W246" s="136">
        <f>SUM(AK246:AR246)</f>
        <v/>
      </c>
      <c r="X246" s="136">
        <f>IF(E246=$X$6,1,"")</f>
        <v/>
      </c>
      <c r="Y246" s="136">
        <f>IF(E246=$Y$6,1,"")</f>
        <v/>
      </c>
      <c r="Z246" s="136">
        <f>IF(E246=$Z$6,1,"")</f>
        <v/>
      </c>
      <c r="AA246" s="136">
        <f>IF(E246=$AA$6,1,"")</f>
        <v/>
      </c>
      <c r="AB246" s="136">
        <f>IF(E246=$AB$6,1,"")</f>
        <v/>
      </c>
      <c r="AC246" s="136">
        <f>IF(E246=$AC$6,1,"")</f>
        <v/>
      </c>
      <c r="AD246" s="136">
        <f>IF(E246=$AD$6,1,"")</f>
        <v/>
      </c>
      <c r="AE246" s="136">
        <f>IF(E246=$AE$6,1,"")</f>
        <v/>
      </c>
      <c r="AF246" s="136">
        <f>IF(E246=$AF$6,1,"")</f>
        <v/>
      </c>
      <c r="AG246" s="136">
        <f>IF(E246=$AG$6,1,"")</f>
        <v/>
      </c>
      <c r="AH246" s="136">
        <f>IF(E246=$AH$6,1,"")</f>
        <v/>
      </c>
      <c r="AI246" s="136">
        <f>IF(E246=$AI$6,1,"")</f>
        <v/>
      </c>
      <c r="AJ246" s="136">
        <f>IF(E246=$AJ$6,1,"")</f>
        <v/>
      </c>
      <c r="AK246" s="81">
        <f>IF(E246=$AK$6,1,"")</f>
        <v/>
      </c>
      <c r="AL246" s="81">
        <f>IF(E246=$AL$6,1,"")</f>
        <v/>
      </c>
      <c r="AM246" s="81">
        <f>IF(E246=$AM$6,1,"")</f>
        <v/>
      </c>
      <c r="AN246" s="81">
        <f>IF(E246=$AN$6,1,"")</f>
        <v/>
      </c>
      <c r="AO246" s="81">
        <f>IF(E246=$AO$6,1,"")</f>
        <v/>
      </c>
      <c r="AP246" s="81">
        <f>IF(E246=$AP$6,1,"")</f>
        <v/>
      </c>
      <c r="AQ246" s="81">
        <f>IF(E246=$AQ$6,1,"")</f>
        <v/>
      </c>
      <c r="AR246" s="81">
        <f>IF(E246=$AR$6,1,"")</f>
        <v/>
      </c>
      <c r="AS246" s="81" t="n"/>
    </row>
    <row r="247" ht="15.75" customHeight="1" s="80">
      <c r="A247" s="157" t="n"/>
      <c r="B247" s="124" t="n"/>
      <c r="C247" s="125" t="n"/>
      <c r="D247" s="126" t="n"/>
      <c r="E247" s="127" t="n"/>
      <c r="F247" s="128" t="n"/>
      <c r="G247" s="129">
        <f>IF(F247="","",ROUND(F247/60,2))</f>
        <v/>
      </c>
      <c r="H247" s="130" t="n"/>
      <c r="I247" s="131" t="n"/>
      <c r="J247" s="131">
        <f>IF(COUNTIF(B247:E247,"*")=0,"",IF(T247=1,"Invalid Service",IF(AND(V247=1,F247=""),"Add Session Mins",IF(AND(E247&gt;0,H247="",T247=""),"Enter Contract Rate",IF(AND(E247="IEP mtg, prep, rept",F247&gt;0),(G247*H247),IF(AND(E247&gt;0,F247&gt;0,H247&gt;0,I247=""),"Enter Travel",IF(AND(F247&gt;0,I247="Y"),(G247*H247)+$M$10,IF(AND(F247&gt;0,I247="N"),(G247*H247),H247))))))))</f>
        <v/>
      </c>
      <c r="K247" s="132">
        <f>J247</f>
        <v/>
      </c>
      <c r="L247" s="148" t="n"/>
      <c r="M247" s="148" t="n"/>
      <c r="N247" s="148" t="n"/>
      <c r="O247" s="87" t="n"/>
      <c r="P247" s="81" t="n"/>
      <c r="Q247" s="81" t="n"/>
      <c r="R247" s="81" t="n"/>
      <c r="S247" s="81" t="n"/>
      <c r="T247" s="136">
        <f>IF(AND(E247&gt;0,U247=0),1,"")</f>
        <v/>
      </c>
      <c r="U247" s="136">
        <f>SUM(X247:AR247)</f>
        <v/>
      </c>
      <c r="V247" s="136">
        <f>IF(E247=$Q$16,0,SUM(X247:AI247))</f>
        <v/>
      </c>
      <c r="W247" s="136">
        <f>SUM(AK247:AR247)</f>
        <v/>
      </c>
      <c r="X247" s="136">
        <f>IF(E247=$X$6,1,"")</f>
        <v/>
      </c>
      <c r="Y247" s="136">
        <f>IF(E247=$Y$6,1,"")</f>
        <v/>
      </c>
      <c r="Z247" s="136">
        <f>IF(E247=$Z$6,1,"")</f>
        <v/>
      </c>
      <c r="AA247" s="136">
        <f>IF(E247=$AA$6,1,"")</f>
        <v/>
      </c>
      <c r="AB247" s="136">
        <f>IF(E247=$AB$6,1,"")</f>
        <v/>
      </c>
      <c r="AC247" s="136">
        <f>IF(E247=$AC$6,1,"")</f>
        <v/>
      </c>
      <c r="AD247" s="136">
        <f>IF(E247=$AD$6,1,"")</f>
        <v/>
      </c>
      <c r="AE247" s="136">
        <f>IF(E247=$AE$6,1,"")</f>
        <v/>
      </c>
      <c r="AF247" s="136">
        <f>IF(E247=$AF$6,1,"")</f>
        <v/>
      </c>
      <c r="AG247" s="136">
        <f>IF(E247=$AG$6,1,"")</f>
        <v/>
      </c>
      <c r="AH247" s="136">
        <f>IF(E247=$AH$6,1,"")</f>
        <v/>
      </c>
      <c r="AI247" s="136">
        <f>IF(E247=$AI$6,1,"")</f>
        <v/>
      </c>
      <c r="AJ247" s="136">
        <f>IF(E247=$AJ$6,1,"")</f>
        <v/>
      </c>
      <c r="AK247" s="81">
        <f>IF(E247=$AK$6,1,"")</f>
        <v/>
      </c>
      <c r="AL247" s="81">
        <f>IF(E247=$AL$6,1,"")</f>
        <v/>
      </c>
      <c r="AM247" s="81">
        <f>IF(E247=$AM$6,1,"")</f>
        <v/>
      </c>
      <c r="AN247" s="81">
        <f>IF(E247=$AN$6,1,"")</f>
        <v/>
      </c>
      <c r="AO247" s="81">
        <f>IF(E247=$AO$6,1,"")</f>
        <v/>
      </c>
      <c r="AP247" s="81">
        <f>IF(E247=$AP$6,1,"")</f>
        <v/>
      </c>
      <c r="AQ247" s="81">
        <f>IF(E247=$AQ$6,1,"")</f>
        <v/>
      </c>
      <c r="AR247" s="81">
        <f>IF(E247=$AR$6,1,"")</f>
        <v/>
      </c>
      <c r="AS247" s="81" t="n"/>
    </row>
    <row r="248" ht="15.75" customHeight="1" s="80">
      <c r="A248" s="157" t="n"/>
      <c r="B248" s="124" t="n"/>
      <c r="C248" s="125" t="n"/>
      <c r="D248" s="126" t="n"/>
      <c r="E248" s="127" t="n"/>
      <c r="F248" s="128" t="n"/>
      <c r="G248" s="129">
        <f>IF(F248="","",ROUND(F248/60,2))</f>
        <v/>
      </c>
      <c r="H248" s="130" t="n"/>
      <c r="I248" s="131" t="n"/>
      <c r="J248" s="131">
        <f>IF(COUNTIF(B248:E248,"*")=0,"",IF(T248=1,"Invalid Service",IF(AND(V248=1,F248=""),"Add Session Mins",IF(AND(E248&gt;0,H248="",T248=""),"Enter Contract Rate",IF(AND(E248="IEP mtg, prep, rept",F248&gt;0),(G248*H248),IF(AND(E248&gt;0,F248&gt;0,H248&gt;0,I248=""),"Enter Travel",IF(AND(F248&gt;0,I248="Y"),(G248*H248)+$M$10,IF(AND(F248&gt;0,I248="N"),(G248*H248),H248))))))))</f>
        <v/>
      </c>
      <c r="K248" s="132">
        <f>J248</f>
        <v/>
      </c>
      <c r="L248" s="148" t="n"/>
      <c r="M248" s="148" t="n"/>
      <c r="N248" s="148" t="n"/>
      <c r="O248" s="87" t="n"/>
      <c r="P248" s="81" t="n"/>
      <c r="Q248" s="81" t="n"/>
      <c r="R248" s="81" t="n"/>
      <c r="S248" s="81" t="n"/>
      <c r="T248" s="136">
        <f>IF(AND(E248&gt;0,U248=0),1,"")</f>
        <v/>
      </c>
      <c r="U248" s="136">
        <f>SUM(X248:AR248)</f>
        <v/>
      </c>
      <c r="V248" s="136">
        <f>IF(E248=$Q$16,0,SUM(X248:AI248))</f>
        <v/>
      </c>
      <c r="W248" s="136">
        <f>SUM(AK248:AR248)</f>
        <v/>
      </c>
      <c r="X248" s="136">
        <f>IF(E248=$X$6,1,"")</f>
        <v/>
      </c>
      <c r="Y248" s="136">
        <f>IF(E248=$Y$6,1,"")</f>
        <v/>
      </c>
      <c r="Z248" s="136">
        <f>IF(E248=$Z$6,1,"")</f>
        <v/>
      </c>
      <c r="AA248" s="136">
        <f>IF(E248=$AA$6,1,"")</f>
        <v/>
      </c>
      <c r="AB248" s="136">
        <f>IF(E248=$AB$6,1,"")</f>
        <v/>
      </c>
      <c r="AC248" s="136">
        <f>IF(E248=$AC$6,1,"")</f>
        <v/>
      </c>
      <c r="AD248" s="136">
        <f>IF(E248=$AD$6,1,"")</f>
        <v/>
      </c>
      <c r="AE248" s="136">
        <f>IF(E248=$AE$6,1,"")</f>
        <v/>
      </c>
      <c r="AF248" s="136">
        <f>IF(E248=$AF$6,1,"")</f>
        <v/>
      </c>
      <c r="AG248" s="136">
        <f>IF(E248=$AG$6,1,"")</f>
        <v/>
      </c>
      <c r="AH248" s="136">
        <f>IF(E248=$AH$6,1,"")</f>
        <v/>
      </c>
      <c r="AI248" s="136">
        <f>IF(E248=$AI$6,1,"")</f>
        <v/>
      </c>
      <c r="AJ248" s="136">
        <f>IF(E248=$AJ$6,1,"")</f>
        <v/>
      </c>
      <c r="AK248" s="81">
        <f>IF(E248=$AK$6,1,"")</f>
        <v/>
      </c>
      <c r="AL248" s="81">
        <f>IF(E248=$AL$6,1,"")</f>
        <v/>
      </c>
      <c r="AM248" s="81">
        <f>IF(E248=$AM$6,1,"")</f>
        <v/>
      </c>
      <c r="AN248" s="81">
        <f>IF(E248=$AN$6,1,"")</f>
        <v/>
      </c>
      <c r="AO248" s="81">
        <f>IF(E248=$AO$6,1,"")</f>
        <v/>
      </c>
      <c r="AP248" s="81">
        <f>IF(E248=$AP$6,1,"")</f>
        <v/>
      </c>
      <c r="AQ248" s="81">
        <f>IF(E248=$AQ$6,1,"")</f>
        <v/>
      </c>
      <c r="AR248" s="81">
        <f>IF(E248=$AR$6,1,"")</f>
        <v/>
      </c>
      <c r="AS248" s="81" t="n"/>
    </row>
    <row r="249" ht="15.75" customHeight="1" s="80">
      <c r="A249" s="157" t="n"/>
      <c r="B249" s="124" t="n"/>
      <c r="C249" s="125" t="n"/>
      <c r="D249" s="126" t="n"/>
      <c r="E249" s="127" t="n"/>
      <c r="F249" s="128" t="n"/>
      <c r="G249" s="129">
        <f>IF(F249="","",ROUND(F249/60,2))</f>
        <v/>
      </c>
      <c r="H249" s="130" t="n"/>
      <c r="I249" s="131" t="n"/>
      <c r="J249" s="131">
        <f>IF(COUNTIF(B249:E249,"*")=0,"",IF(T249=1,"Invalid Service",IF(AND(V249=1,F249=""),"Add Session Mins",IF(AND(E249&gt;0,H249="",T249=""),"Enter Contract Rate",IF(AND(E249="IEP mtg, prep, rept",F249&gt;0),(G249*H249),IF(AND(E249&gt;0,F249&gt;0,H249&gt;0,I249=""),"Enter Travel",IF(AND(F249&gt;0,I249="Y"),(G249*H249)+$M$10,IF(AND(F249&gt;0,I249="N"),(G249*H249),H249))))))))</f>
        <v/>
      </c>
      <c r="K249" s="132">
        <f>J249</f>
        <v/>
      </c>
      <c r="L249" s="148" t="n"/>
      <c r="M249" s="148" t="n"/>
      <c r="N249" s="148" t="n"/>
      <c r="O249" s="87" t="n"/>
      <c r="P249" s="81" t="n"/>
      <c r="Q249" s="81" t="n"/>
      <c r="R249" s="81" t="n"/>
      <c r="S249" s="81" t="n"/>
      <c r="T249" s="136">
        <f>IF(AND(E249&gt;0,U249=0),1,"")</f>
        <v/>
      </c>
      <c r="U249" s="136">
        <f>SUM(X249:AR249)</f>
        <v/>
      </c>
      <c r="V249" s="136">
        <f>IF(E249=$Q$16,0,SUM(X249:AI249))</f>
        <v/>
      </c>
      <c r="W249" s="136">
        <f>SUM(AK249:AR249)</f>
        <v/>
      </c>
      <c r="X249" s="136">
        <f>IF(E249=$X$6,1,"")</f>
        <v/>
      </c>
      <c r="Y249" s="136">
        <f>IF(E249=$Y$6,1,"")</f>
        <v/>
      </c>
      <c r="Z249" s="136">
        <f>IF(E249=$Z$6,1,"")</f>
        <v/>
      </c>
      <c r="AA249" s="136">
        <f>IF(E249=$AA$6,1,"")</f>
        <v/>
      </c>
      <c r="AB249" s="136">
        <f>IF(E249=$AB$6,1,"")</f>
        <v/>
      </c>
      <c r="AC249" s="136">
        <f>IF(E249=$AC$6,1,"")</f>
        <v/>
      </c>
      <c r="AD249" s="136">
        <f>IF(E249=$AD$6,1,"")</f>
        <v/>
      </c>
      <c r="AE249" s="136">
        <f>IF(E249=$AE$6,1,"")</f>
        <v/>
      </c>
      <c r="AF249" s="136">
        <f>IF(E249=$AF$6,1,"")</f>
        <v/>
      </c>
      <c r="AG249" s="136">
        <f>IF(E249=$AG$6,1,"")</f>
        <v/>
      </c>
      <c r="AH249" s="136">
        <f>IF(E249=$AH$6,1,"")</f>
        <v/>
      </c>
      <c r="AI249" s="136">
        <f>IF(E249=$AI$6,1,"")</f>
        <v/>
      </c>
      <c r="AJ249" s="136">
        <f>IF(E249=$AJ$6,1,"")</f>
        <v/>
      </c>
      <c r="AK249" s="81">
        <f>IF(E249=$AK$6,1,"")</f>
        <v/>
      </c>
      <c r="AL249" s="81">
        <f>IF(E249=$AL$6,1,"")</f>
        <v/>
      </c>
      <c r="AM249" s="81">
        <f>IF(E249=$AM$6,1,"")</f>
        <v/>
      </c>
      <c r="AN249" s="81">
        <f>IF(E249=$AN$6,1,"")</f>
        <v/>
      </c>
      <c r="AO249" s="81">
        <f>IF(E249=$AO$6,1,"")</f>
        <v/>
      </c>
      <c r="AP249" s="81">
        <f>IF(E249=$AP$6,1,"")</f>
        <v/>
      </c>
      <c r="AQ249" s="81">
        <f>IF(E249=$AQ$6,1,"")</f>
        <v/>
      </c>
      <c r="AR249" s="81">
        <f>IF(E249=$AR$6,1,"")</f>
        <v/>
      </c>
      <c r="AS249" s="81" t="n"/>
    </row>
    <row r="250" ht="15.75" customHeight="1" s="80">
      <c r="A250" s="157" t="n"/>
      <c r="B250" s="124" t="n"/>
      <c r="C250" s="125" t="n"/>
      <c r="D250" s="126" t="n"/>
      <c r="E250" s="127" t="n"/>
      <c r="F250" s="128" t="n"/>
      <c r="G250" s="129">
        <f>IF(F250="","",ROUND(F250/60,2))</f>
        <v/>
      </c>
      <c r="H250" s="130" t="n"/>
      <c r="I250" s="131" t="n"/>
      <c r="J250" s="131">
        <f>IF(COUNTIF(B250:E250,"*")=0,"",IF(T250=1,"Invalid Service",IF(AND(V250=1,F250=""),"Add Session Mins",IF(AND(E250&gt;0,H250="",T250=""),"Enter Contract Rate",IF(AND(E250="IEP mtg, prep, rept",F250&gt;0),(G250*H250),IF(AND(E250&gt;0,F250&gt;0,H250&gt;0,I250=""),"Enter Travel",IF(AND(F250&gt;0,I250="Y"),(G250*H250)+$M$10,IF(AND(F250&gt;0,I250="N"),(G250*H250),H250))))))))</f>
        <v/>
      </c>
      <c r="K250" s="132">
        <f>J250</f>
        <v/>
      </c>
      <c r="L250" s="148" t="n"/>
      <c r="M250" s="148" t="n"/>
      <c r="N250" s="148" t="n"/>
      <c r="O250" s="87" t="n"/>
      <c r="P250" s="81" t="n"/>
      <c r="Q250" s="81" t="n"/>
      <c r="R250" s="81" t="n"/>
      <c r="S250" s="81" t="n"/>
      <c r="T250" s="136">
        <f>IF(AND(E250&gt;0,U250=0),1,"")</f>
        <v/>
      </c>
      <c r="U250" s="136">
        <f>SUM(X250:AR250)</f>
        <v/>
      </c>
      <c r="V250" s="136">
        <f>IF(E250=$Q$16,0,SUM(X250:AI250))</f>
        <v/>
      </c>
      <c r="W250" s="136">
        <f>SUM(AK250:AR250)</f>
        <v/>
      </c>
      <c r="X250" s="136">
        <f>IF(E250=$X$6,1,"")</f>
        <v/>
      </c>
      <c r="Y250" s="136">
        <f>IF(E250=$Y$6,1,"")</f>
        <v/>
      </c>
      <c r="Z250" s="136">
        <f>IF(E250=$Z$6,1,"")</f>
        <v/>
      </c>
      <c r="AA250" s="136">
        <f>IF(E250=$AA$6,1,"")</f>
        <v/>
      </c>
      <c r="AB250" s="136">
        <f>IF(E250=$AB$6,1,"")</f>
        <v/>
      </c>
      <c r="AC250" s="136">
        <f>IF(E250=$AC$6,1,"")</f>
        <v/>
      </c>
      <c r="AD250" s="136">
        <f>IF(E250=$AD$6,1,"")</f>
        <v/>
      </c>
      <c r="AE250" s="136">
        <f>IF(E250=$AE$6,1,"")</f>
        <v/>
      </c>
      <c r="AF250" s="136">
        <f>IF(E250=$AF$6,1,"")</f>
        <v/>
      </c>
      <c r="AG250" s="136">
        <f>IF(E250=$AG$6,1,"")</f>
        <v/>
      </c>
      <c r="AH250" s="136">
        <f>IF(E250=$AH$6,1,"")</f>
        <v/>
      </c>
      <c r="AI250" s="136">
        <f>IF(E250=$AI$6,1,"")</f>
        <v/>
      </c>
      <c r="AJ250" s="136">
        <f>IF(E250=$AJ$6,1,"")</f>
        <v/>
      </c>
      <c r="AK250" s="81">
        <f>IF(E250=$AK$6,1,"")</f>
        <v/>
      </c>
      <c r="AL250" s="81">
        <f>IF(E250=$AL$6,1,"")</f>
        <v/>
      </c>
      <c r="AM250" s="81">
        <f>IF(E250=$AM$6,1,"")</f>
        <v/>
      </c>
      <c r="AN250" s="81">
        <f>IF(E250=$AN$6,1,"")</f>
        <v/>
      </c>
      <c r="AO250" s="81">
        <f>IF(E250=$AO$6,1,"")</f>
        <v/>
      </c>
      <c r="AP250" s="81">
        <f>IF(E250=$AP$6,1,"")</f>
        <v/>
      </c>
      <c r="AQ250" s="81">
        <f>IF(E250=$AQ$6,1,"")</f>
        <v/>
      </c>
      <c r="AR250" s="81">
        <f>IF(E250=$AR$6,1,"")</f>
        <v/>
      </c>
      <c r="AS250" s="81" t="n"/>
    </row>
    <row r="251" ht="15.75" customHeight="1" s="80">
      <c r="A251" s="157" t="n"/>
      <c r="B251" s="124" t="n"/>
      <c r="C251" s="125" t="n"/>
      <c r="D251" s="126" t="n"/>
      <c r="E251" s="127" t="n"/>
      <c r="F251" s="128" t="n"/>
      <c r="G251" s="129">
        <f>IF(F251="","",ROUND(F251/60,2))</f>
        <v/>
      </c>
      <c r="H251" s="130" t="n"/>
      <c r="I251" s="131" t="n"/>
      <c r="J251" s="131">
        <f>IF(COUNTIF(B251:E251,"*")=0,"",IF(T251=1,"Invalid Service",IF(AND(V251=1,F251=""),"Add Session Mins",IF(AND(E251&gt;0,H251="",T251=""),"Enter Contract Rate",IF(AND(E251="IEP mtg, prep, rept",F251&gt;0),(G251*H251),IF(AND(E251&gt;0,F251&gt;0,H251&gt;0,I251=""),"Enter Travel",IF(AND(F251&gt;0,I251="Y"),(G251*H251)+$M$10,IF(AND(F251&gt;0,I251="N"),(G251*H251),H251))))))))</f>
        <v/>
      </c>
      <c r="K251" s="132">
        <f>J251</f>
        <v/>
      </c>
      <c r="L251" s="148" t="n"/>
      <c r="M251" s="148" t="n"/>
      <c r="N251" s="148" t="n"/>
      <c r="O251" s="87" t="n"/>
      <c r="P251" s="81" t="n"/>
      <c r="Q251" s="81" t="n"/>
      <c r="R251" s="81" t="n"/>
      <c r="S251" s="81" t="n"/>
      <c r="T251" s="136">
        <f>IF(AND(E251&gt;0,U251=0),1,"")</f>
        <v/>
      </c>
      <c r="U251" s="136">
        <f>SUM(X251:AR251)</f>
        <v/>
      </c>
      <c r="V251" s="136">
        <f>IF(E251=$Q$16,0,SUM(X251:AI251))</f>
        <v/>
      </c>
      <c r="W251" s="136">
        <f>SUM(AK251:AR251)</f>
        <v/>
      </c>
      <c r="X251" s="136">
        <f>IF(E251=$X$6,1,"")</f>
        <v/>
      </c>
      <c r="Y251" s="136">
        <f>IF(E251=$Y$6,1,"")</f>
        <v/>
      </c>
      <c r="Z251" s="136">
        <f>IF(E251=$Z$6,1,"")</f>
        <v/>
      </c>
      <c r="AA251" s="136">
        <f>IF(E251=$AA$6,1,"")</f>
        <v/>
      </c>
      <c r="AB251" s="136">
        <f>IF(E251=$AB$6,1,"")</f>
        <v/>
      </c>
      <c r="AC251" s="136">
        <f>IF(E251=$AC$6,1,"")</f>
        <v/>
      </c>
      <c r="AD251" s="136">
        <f>IF(E251=$AD$6,1,"")</f>
        <v/>
      </c>
      <c r="AE251" s="136">
        <f>IF(E251=$AE$6,1,"")</f>
        <v/>
      </c>
      <c r="AF251" s="136">
        <f>IF(E251=$AF$6,1,"")</f>
        <v/>
      </c>
      <c r="AG251" s="136">
        <f>IF(E251=$AG$6,1,"")</f>
        <v/>
      </c>
      <c r="AH251" s="136">
        <f>IF(E251=$AH$6,1,"")</f>
        <v/>
      </c>
      <c r="AI251" s="136">
        <f>IF(E251=$AI$6,1,"")</f>
        <v/>
      </c>
      <c r="AJ251" s="136">
        <f>IF(E251=$AJ$6,1,"")</f>
        <v/>
      </c>
      <c r="AK251" s="81">
        <f>IF(E251=$AK$6,1,"")</f>
        <v/>
      </c>
      <c r="AL251" s="81">
        <f>IF(E251=$AL$6,1,"")</f>
        <v/>
      </c>
      <c r="AM251" s="81">
        <f>IF(E251=$AM$6,1,"")</f>
        <v/>
      </c>
      <c r="AN251" s="81">
        <f>IF(E251=$AN$6,1,"")</f>
        <v/>
      </c>
      <c r="AO251" s="81">
        <f>IF(E251=$AO$6,1,"")</f>
        <v/>
      </c>
      <c r="AP251" s="81">
        <f>IF(E251=$AP$6,1,"")</f>
        <v/>
      </c>
      <c r="AQ251" s="81">
        <f>IF(E251=$AQ$6,1,"")</f>
        <v/>
      </c>
      <c r="AR251" s="81">
        <f>IF(E251=$AR$6,1,"")</f>
        <v/>
      </c>
      <c r="AS251" s="81" t="n"/>
    </row>
    <row r="252" ht="15.75" customHeight="1" s="80">
      <c r="A252" s="157" t="n"/>
      <c r="B252" s="124" t="n"/>
      <c r="C252" s="125" t="n"/>
      <c r="D252" s="126" t="n"/>
      <c r="E252" s="127" t="n"/>
      <c r="F252" s="128" t="n"/>
      <c r="G252" s="129">
        <f>IF(F252="","",ROUND(F252/60,2))</f>
        <v/>
      </c>
      <c r="H252" s="130" t="n"/>
      <c r="I252" s="131" t="n"/>
      <c r="J252" s="131">
        <f>IF(COUNTIF(B252:E252,"*")=0,"",IF(T252=1,"Invalid Service",IF(AND(V252=1,F252=""),"Add Session Mins",IF(AND(E252&gt;0,H252="",T252=""),"Enter Contract Rate",IF(AND(E252="IEP mtg, prep, rept",F252&gt;0),(G252*H252),IF(AND(E252&gt;0,F252&gt;0,H252&gt;0,I252=""),"Enter Travel",IF(AND(F252&gt;0,I252="Y"),(G252*H252)+$M$10,IF(AND(F252&gt;0,I252="N"),(G252*H252),H252))))))))</f>
        <v/>
      </c>
      <c r="K252" s="132">
        <f>J252</f>
        <v/>
      </c>
      <c r="L252" s="148" t="n"/>
      <c r="M252" s="148" t="n"/>
      <c r="N252" s="148" t="n"/>
      <c r="O252" s="87" t="n"/>
      <c r="P252" s="81" t="n"/>
      <c r="Q252" s="81" t="n"/>
      <c r="R252" s="81" t="n"/>
      <c r="S252" s="81" t="n"/>
      <c r="T252" s="136">
        <f>IF(AND(E252&gt;0,U252=0),1,"")</f>
        <v/>
      </c>
      <c r="U252" s="136">
        <f>SUM(X252:AR252)</f>
        <v/>
      </c>
      <c r="V252" s="136">
        <f>IF(E252=$Q$16,0,SUM(X252:AI252))</f>
        <v/>
      </c>
      <c r="W252" s="136">
        <f>SUM(AK252:AR252)</f>
        <v/>
      </c>
      <c r="X252" s="136">
        <f>IF(E252=$X$6,1,"")</f>
        <v/>
      </c>
      <c r="Y252" s="136">
        <f>IF(E252=$Y$6,1,"")</f>
        <v/>
      </c>
      <c r="Z252" s="136">
        <f>IF(E252=$Z$6,1,"")</f>
        <v/>
      </c>
      <c r="AA252" s="136">
        <f>IF(E252=$AA$6,1,"")</f>
        <v/>
      </c>
      <c r="AB252" s="136">
        <f>IF(E252=$AB$6,1,"")</f>
        <v/>
      </c>
      <c r="AC252" s="136">
        <f>IF(E252=$AC$6,1,"")</f>
        <v/>
      </c>
      <c r="AD252" s="136">
        <f>IF(E252=$AD$6,1,"")</f>
        <v/>
      </c>
      <c r="AE252" s="136">
        <f>IF(E252=$AE$6,1,"")</f>
        <v/>
      </c>
      <c r="AF252" s="136">
        <f>IF(E252=$AF$6,1,"")</f>
        <v/>
      </c>
      <c r="AG252" s="136">
        <f>IF(E252=$AG$6,1,"")</f>
        <v/>
      </c>
      <c r="AH252" s="136">
        <f>IF(E252=$AH$6,1,"")</f>
        <v/>
      </c>
      <c r="AI252" s="136">
        <f>IF(E252=$AI$6,1,"")</f>
        <v/>
      </c>
      <c r="AJ252" s="136">
        <f>IF(E252=$AJ$6,1,"")</f>
        <v/>
      </c>
      <c r="AK252" s="81">
        <f>IF(E252=$AK$6,1,"")</f>
        <v/>
      </c>
      <c r="AL252" s="81">
        <f>IF(E252=$AL$6,1,"")</f>
        <v/>
      </c>
      <c r="AM252" s="81">
        <f>IF(E252=$AM$6,1,"")</f>
        <v/>
      </c>
      <c r="AN252" s="81">
        <f>IF(E252=$AN$6,1,"")</f>
        <v/>
      </c>
      <c r="AO252" s="81">
        <f>IF(E252=$AO$6,1,"")</f>
        <v/>
      </c>
      <c r="AP252" s="81">
        <f>IF(E252=$AP$6,1,"")</f>
        <v/>
      </c>
      <c r="AQ252" s="81">
        <f>IF(E252=$AQ$6,1,"")</f>
        <v/>
      </c>
      <c r="AR252" s="81">
        <f>IF(E252=$AR$6,1,"")</f>
        <v/>
      </c>
      <c r="AS252" s="81" t="n"/>
    </row>
    <row r="253" ht="15.75" customHeight="1" s="80">
      <c r="A253" s="157" t="n"/>
      <c r="B253" s="124" t="n"/>
      <c r="C253" s="125" t="n"/>
      <c r="D253" s="126" t="n"/>
      <c r="E253" s="127" t="n"/>
      <c r="F253" s="128" t="n"/>
      <c r="G253" s="129">
        <f>IF(F253="","",ROUND(F253/60,2))</f>
        <v/>
      </c>
      <c r="H253" s="130" t="n"/>
      <c r="I253" s="131" t="n"/>
      <c r="J253" s="131">
        <f>IF(COUNTIF(B253:E253,"*")=0,"",IF(T253=1,"Invalid Service",IF(AND(V253=1,F253=""),"Add Session Mins",IF(AND(E253&gt;0,H253="",T253=""),"Enter Contract Rate",IF(AND(E253="IEP mtg, prep, rept",F253&gt;0),(G253*H253),IF(AND(E253&gt;0,F253&gt;0,H253&gt;0,I253=""),"Enter Travel",IF(AND(F253&gt;0,I253="Y"),(G253*H253)+$M$10,IF(AND(F253&gt;0,I253="N"),(G253*H253),H253))))))))</f>
        <v/>
      </c>
      <c r="K253" s="132">
        <f>J253</f>
        <v/>
      </c>
      <c r="L253" s="148" t="n"/>
      <c r="M253" s="148" t="n"/>
      <c r="N253" s="148" t="n"/>
      <c r="O253" s="87" t="n"/>
      <c r="P253" s="81" t="n"/>
      <c r="Q253" s="81" t="n"/>
      <c r="R253" s="81" t="n"/>
      <c r="S253" s="81" t="n"/>
      <c r="T253" s="136">
        <f>IF(AND(E253&gt;0,U253=0),1,"")</f>
        <v/>
      </c>
      <c r="U253" s="136">
        <f>SUM(X253:AR253)</f>
        <v/>
      </c>
      <c r="V253" s="136">
        <f>IF(E253=$Q$16,0,SUM(X253:AI253))</f>
        <v/>
      </c>
      <c r="W253" s="136">
        <f>SUM(AK253:AR253)</f>
        <v/>
      </c>
      <c r="X253" s="136">
        <f>IF(E253=$X$6,1,"")</f>
        <v/>
      </c>
      <c r="Y253" s="136">
        <f>IF(E253=$Y$6,1,"")</f>
        <v/>
      </c>
      <c r="Z253" s="136">
        <f>IF(E253=$Z$6,1,"")</f>
        <v/>
      </c>
      <c r="AA253" s="136">
        <f>IF(E253=$AA$6,1,"")</f>
        <v/>
      </c>
      <c r="AB253" s="136">
        <f>IF(E253=$AB$6,1,"")</f>
        <v/>
      </c>
      <c r="AC253" s="136">
        <f>IF(E253=$AC$6,1,"")</f>
        <v/>
      </c>
      <c r="AD253" s="136">
        <f>IF(E253=$AD$6,1,"")</f>
        <v/>
      </c>
      <c r="AE253" s="136">
        <f>IF(E253=$AE$6,1,"")</f>
        <v/>
      </c>
      <c r="AF253" s="136">
        <f>IF(E253=$AF$6,1,"")</f>
        <v/>
      </c>
      <c r="AG253" s="136">
        <f>IF(E253=$AG$6,1,"")</f>
        <v/>
      </c>
      <c r="AH253" s="136">
        <f>IF(E253=$AH$6,1,"")</f>
        <v/>
      </c>
      <c r="AI253" s="136">
        <f>IF(E253=$AI$6,1,"")</f>
        <v/>
      </c>
      <c r="AJ253" s="136">
        <f>IF(E253=$AJ$6,1,"")</f>
        <v/>
      </c>
      <c r="AK253" s="81">
        <f>IF(E253=$AK$6,1,"")</f>
        <v/>
      </c>
      <c r="AL253" s="81">
        <f>IF(E253=$AL$6,1,"")</f>
        <v/>
      </c>
      <c r="AM253" s="81">
        <f>IF(E253=$AM$6,1,"")</f>
        <v/>
      </c>
      <c r="AN253" s="81">
        <f>IF(E253=$AN$6,1,"")</f>
        <v/>
      </c>
      <c r="AO253" s="81">
        <f>IF(E253=$AO$6,1,"")</f>
        <v/>
      </c>
      <c r="AP253" s="81">
        <f>IF(E253=$AP$6,1,"")</f>
        <v/>
      </c>
      <c r="AQ253" s="81">
        <f>IF(E253=$AQ$6,1,"")</f>
        <v/>
      </c>
      <c r="AR253" s="81">
        <f>IF(E253=$AR$6,1,"")</f>
        <v/>
      </c>
      <c r="AS253" s="81" t="n"/>
    </row>
    <row r="254" ht="15.75" customHeight="1" s="80">
      <c r="A254" s="157" t="n"/>
      <c r="B254" s="124" t="n"/>
      <c r="C254" s="125" t="n"/>
      <c r="D254" s="126" t="n"/>
      <c r="E254" s="127" t="n"/>
      <c r="F254" s="128" t="n"/>
      <c r="G254" s="129">
        <f>IF(F254="","",ROUND(F254/60,2))</f>
        <v/>
      </c>
      <c r="H254" s="130" t="n"/>
      <c r="I254" s="131" t="n"/>
      <c r="J254" s="131">
        <f>IF(COUNTIF(B254:E254,"*")=0,"",IF(T254=1,"Invalid Service",IF(AND(V254=1,F254=""),"Add Session Mins",IF(AND(E254&gt;0,H254="",T254=""),"Enter Contract Rate",IF(AND(E254="IEP mtg, prep, rept",F254&gt;0),(G254*H254),IF(AND(E254&gt;0,F254&gt;0,H254&gt;0,I254=""),"Enter Travel",IF(AND(F254&gt;0,I254="Y"),(G254*H254)+$M$10,IF(AND(F254&gt;0,I254="N"),(G254*H254),H254))))))))</f>
        <v/>
      </c>
      <c r="K254" s="132">
        <f>J254</f>
        <v/>
      </c>
      <c r="L254" s="148" t="n"/>
      <c r="M254" s="148" t="n"/>
      <c r="N254" s="148" t="n"/>
      <c r="O254" s="87" t="n"/>
      <c r="P254" s="81" t="n"/>
      <c r="Q254" s="81" t="n"/>
      <c r="R254" s="81" t="n"/>
      <c r="S254" s="81" t="n"/>
      <c r="T254" s="136">
        <f>IF(AND(E254&gt;0,U254=0),1,"")</f>
        <v/>
      </c>
      <c r="U254" s="136">
        <f>SUM(X254:AR254)</f>
        <v/>
      </c>
      <c r="V254" s="136">
        <f>IF(E254=$Q$16,0,SUM(X254:AI254))</f>
        <v/>
      </c>
      <c r="W254" s="136">
        <f>SUM(AK254:AR254)</f>
        <v/>
      </c>
      <c r="X254" s="136">
        <f>IF(E254=$X$6,1,"")</f>
        <v/>
      </c>
      <c r="Y254" s="136">
        <f>IF(E254=$Y$6,1,"")</f>
        <v/>
      </c>
      <c r="Z254" s="136">
        <f>IF(E254=$Z$6,1,"")</f>
        <v/>
      </c>
      <c r="AA254" s="136">
        <f>IF(E254=$AA$6,1,"")</f>
        <v/>
      </c>
      <c r="AB254" s="136">
        <f>IF(E254=$AB$6,1,"")</f>
        <v/>
      </c>
      <c r="AC254" s="136">
        <f>IF(E254=$AC$6,1,"")</f>
        <v/>
      </c>
      <c r="AD254" s="136">
        <f>IF(E254=$AD$6,1,"")</f>
        <v/>
      </c>
      <c r="AE254" s="136">
        <f>IF(E254=$AE$6,1,"")</f>
        <v/>
      </c>
      <c r="AF254" s="136">
        <f>IF(E254=$AF$6,1,"")</f>
        <v/>
      </c>
      <c r="AG254" s="136">
        <f>IF(E254=$AG$6,1,"")</f>
        <v/>
      </c>
      <c r="AH254" s="136">
        <f>IF(E254=$AH$6,1,"")</f>
        <v/>
      </c>
      <c r="AI254" s="136">
        <f>IF(E254=$AI$6,1,"")</f>
        <v/>
      </c>
      <c r="AJ254" s="136">
        <f>IF(E254=$AJ$6,1,"")</f>
        <v/>
      </c>
      <c r="AK254" s="81">
        <f>IF(E254=$AK$6,1,"")</f>
        <v/>
      </c>
      <c r="AL254" s="81">
        <f>IF(E254=$AL$6,1,"")</f>
        <v/>
      </c>
      <c r="AM254" s="81">
        <f>IF(E254=$AM$6,1,"")</f>
        <v/>
      </c>
      <c r="AN254" s="81">
        <f>IF(E254=$AN$6,1,"")</f>
        <v/>
      </c>
      <c r="AO254" s="81">
        <f>IF(E254=$AO$6,1,"")</f>
        <v/>
      </c>
      <c r="AP254" s="81">
        <f>IF(E254=$AP$6,1,"")</f>
        <v/>
      </c>
      <c r="AQ254" s="81">
        <f>IF(E254=$AQ$6,1,"")</f>
        <v/>
      </c>
      <c r="AR254" s="81">
        <f>IF(E254=$AR$6,1,"")</f>
        <v/>
      </c>
      <c r="AS254" s="81" t="n"/>
    </row>
    <row r="255" ht="15.75" customHeight="1" s="80">
      <c r="A255" s="157" t="n"/>
      <c r="B255" s="124" t="n"/>
      <c r="C255" s="125" t="n"/>
      <c r="D255" s="126" t="n"/>
      <c r="E255" s="127" t="n"/>
      <c r="F255" s="128" t="n"/>
      <c r="G255" s="129">
        <f>IF(F255="","",ROUND(F255/60,2))</f>
        <v/>
      </c>
      <c r="H255" s="130" t="n"/>
      <c r="I255" s="131" t="n"/>
      <c r="J255" s="131">
        <f>IF(COUNTIF(B255:E255,"*")=0,"",IF(T255=1,"Invalid Service",IF(AND(V255=1,F255=""),"Add Session Mins",IF(AND(E255&gt;0,H255="",T255=""),"Enter Contract Rate",IF(AND(E255="IEP mtg, prep, rept",F255&gt;0),(G255*H255),IF(AND(E255&gt;0,F255&gt;0,H255&gt;0,I255=""),"Enter Travel",IF(AND(F255&gt;0,I255="Y"),(G255*H255)+$M$10,IF(AND(F255&gt;0,I255="N"),(G255*H255),H255))))))))</f>
        <v/>
      </c>
      <c r="K255" s="132">
        <f>J255</f>
        <v/>
      </c>
      <c r="L255" s="148" t="n"/>
      <c r="M255" s="148" t="n"/>
      <c r="N255" s="148" t="n"/>
      <c r="O255" s="87" t="n"/>
      <c r="P255" s="81" t="n"/>
      <c r="Q255" s="81" t="n"/>
      <c r="R255" s="81" t="n"/>
      <c r="S255" s="81" t="n"/>
      <c r="T255" s="136">
        <f>IF(AND(E255&gt;0,U255=0),1,"")</f>
        <v/>
      </c>
      <c r="U255" s="136">
        <f>SUM(X255:AR255)</f>
        <v/>
      </c>
      <c r="V255" s="136">
        <f>IF(E255=$Q$16,0,SUM(X255:AI255))</f>
        <v/>
      </c>
      <c r="W255" s="136">
        <f>SUM(AK255:AR255)</f>
        <v/>
      </c>
      <c r="X255" s="136">
        <f>IF(E255=$X$6,1,"")</f>
        <v/>
      </c>
      <c r="Y255" s="136">
        <f>IF(E255=$Y$6,1,"")</f>
        <v/>
      </c>
      <c r="Z255" s="136">
        <f>IF(E255=$Z$6,1,"")</f>
        <v/>
      </c>
      <c r="AA255" s="136">
        <f>IF(E255=$AA$6,1,"")</f>
        <v/>
      </c>
      <c r="AB255" s="136">
        <f>IF(E255=$AB$6,1,"")</f>
        <v/>
      </c>
      <c r="AC255" s="136">
        <f>IF(E255=$AC$6,1,"")</f>
        <v/>
      </c>
      <c r="AD255" s="136">
        <f>IF(E255=$AD$6,1,"")</f>
        <v/>
      </c>
      <c r="AE255" s="136">
        <f>IF(E255=$AE$6,1,"")</f>
        <v/>
      </c>
      <c r="AF255" s="136">
        <f>IF(E255=$AF$6,1,"")</f>
        <v/>
      </c>
      <c r="AG255" s="136">
        <f>IF(E255=$AG$6,1,"")</f>
        <v/>
      </c>
      <c r="AH255" s="136">
        <f>IF(E255=$AH$6,1,"")</f>
        <v/>
      </c>
      <c r="AI255" s="136">
        <f>IF(E255=$AI$6,1,"")</f>
        <v/>
      </c>
      <c r="AJ255" s="136">
        <f>IF(E255=$AJ$6,1,"")</f>
        <v/>
      </c>
      <c r="AK255" s="81">
        <f>IF(E255=$AK$6,1,"")</f>
        <v/>
      </c>
      <c r="AL255" s="81">
        <f>IF(E255=$AL$6,1,"")</f>
        <v/>
      </c>
      <c r="AM255" s="81">
        <f>IF(E255=$AM$6,1,"")</f>
        <v/>
      </c>
      <c r="AN255" s="81">
        <f>IF(E255=$AN$6,1,"")</f>
        <v/>
      </c>
      <c r="AO255" s="81">
        <f>IF(E255=$AO$6,1,"")</f>
        <v/>
      </c>
      <c r="AP255" s="81">
        <f>IF(E255=$AP$6,1,"")</f>
        <v/>
      </c>
      <c r="AQ255" s="81">
        <f>IF(E255=$AQ$6,1,"")</f>
        <v/>
      </c>
      <c r="AR255" s="81">
        <f>IF(E255=$AR$6,1,"")</f>
        <v/>
      </c>
      <c r="AS255" s="81" t="n"/>
    </row>
    <row r="256" ht="15.75" customHeight="1" s="80">
      <c r="A256" s="157" t="n"/>
      <c r="B256" s="124" t="n"/>
      <c r="C256" s="125" t="n"/>
      <c r="D256" s="126" t="n"/>
      <c r="E256" s="127" t="n"/>
      <c r="F256" s="128" t="n"/>
      <c r="G256" s="129">
        <f>IF(F256="","",ROUND(F256/60,2))</f>
        <v/>
      </c>
      <c r="H256" s="130" t="n"/>
      <c r="I256" s="131" t="n"/>
      <c r="J256" s="131">
        <f>IF(COUNTIF(B256:E256,"*")=0,"",IF(T256=1,"Invalid Service",IF(AND(V256=1,F256=""),"Add Session Mins",IF(AND(E256&gt;0,H256="",T256=""),"Enter Contract Rate",IF(AND(E256="IEP mtg, prep, rept",F256&gt;0),(G256*H256),IF(AND(E256&gt;0,F256&gt;0,H256&gt;0,I256=""),"Enter Travel",IF(AND(F256&gt;0,I256="Y"),(G256*H256)+$M$10,IF(AND(F256&gt;0,I256="N"),(G256*H256),H256))))))))</f>
        <v/>
      </c>
      <c r="K256" s="132">
        <f>J256</f>
        <v/>
      </c>
      <c r="L256" s="148" t="n"/>
      <c r="M256" s="148" t="n"/>
      <c r="N256" s="148" t="n"/>
      <c r="O256" s="87" t="n"/>
      <c r="P256" s="81" t="n"/>
      <c r="Q256" s="81" t="n"/>
      <c r="R256" s="81" t="n"/>
      <c r="S256" s="81" t="n"/>
      <c r="T256" s="136">
        <f>IF(AND(E256&gt;0,U256=0),1,"")</f>
        <v/>
      </c>
      <c r="U256" s="136">
        <f>SUM(X256:AR256)</f>
        <v/>
      </c>
      <c r="V256" s="136">
        <f>IF(E256=$Q$16,0,SUM(X256:AI256))</f>
        <v/>
      </c>
      <c r="W256" s="136">
        <f>SUM(AK256:AR256)</f>
        <v/>
      </c>
      <c r="X256" s="136">
        <f>IF(E256=$X$6,1,"")</f>
        <v/>
      </c>
      <c r="Y256" s="136">
        <f>IF(E256=$Y$6,1,"")</f>
        <v/>
      </c>
      <c r="Z256" s="136">
        <f>IF(E256=$Z$6,1,"")</f>
        <v/>
      </c>
      <c r="AA256" s="136">
        <f>IF(E256=$AA$6,1,"")</f>
        <v/>
      </c>
      <c r="AB256" s="136">
        <f>IF(E256=$AB$6,1,"")</f>
        <v/>
      </c>
      <c r="AC256" s="136">
        <f>IF(E256=$AC$6,1,"")</f>
        <v/>
      </c>
      <c r="AD256" s="136">
        <f>IF(E256=$AD$6,1,"")</f>
        <v/>
      </c>
      <c r="AE256" s="136">
        <f>IF(E256=$AE$6,1,"")</f>
        <v/>
      </c>
      <c r="AF256" s="136">
        <f>IF(E256=$AF$6,1,"")</f>
        <v/>
      </c>
      <c r="AG256" s="136">
        <f>IF(E256=$AG$6,1,"")</f>
        <v/>
      </c>
      <c r="AH256" s="136">
        <f>IF(E256=$AH$6,1,"")</f>
        <v/>
      </c>
      <c r="AI256" s="136">
        <f>IF(E256=$AI$6,1,"")</f>
        <v/>
      </c>
      <c r="AJ256" s="136">
        <f>IF(E256=$AJ$6,1,"")</f>
        <v/>
      </c>
      <c r="AK256" s="81">
        <f>IF(E256=$AK$6,1,"")</f>
        <v/>
      </c>
      <c r="AL256" s="81">
        <f>IF(E256=$AL$6,1,"")</f>
        <v/>
      </c>
      <c r="AM256" s="81">
        <f>IF(E256=$AM$6,1,"")</f>
        <v/>
      </c>
      <c r="AN256" s="81">
        <f>IF(E256=$AN$6,1,"")</f>
        <v/>
      </c>
      <c r="AO256" s="81">
        <f>IF(E256=$AO$6,1,"")</f>
        <v/>
      </c>
      <c r="AP256" s="81">
        <f>IF(E256=$AP$6,1,"")</f>
        <v/>
      </c>
      <c r="AQ256" s="81">
        <f>IF(E256=$AQ$6,1,"")</f>
        <v/>
      </c>
      <c r="AR256" s="81">
        <f>IF(E256=$AR$6,1,"")</f>
        <v/>
      </c>
      <c r="AS256" s="81" t="n"/>
    </row>
    <row r="257" ht="15.75" customHeight="1" s="80">
      <c r="A257" s="157" t="n"/>
      <c r="B257" s="124" t="n"/>
      <c r="C257" s="125" t="n"/>
      <c r="D257" s="126" t="n"/>
      <c r="E257" s="127" t="n"/>
      <c r="F257" s="128" t="n"/>
      <c r="G257" s="129">
        <f>IF(F257="","",ROUND(F257/60,2))</f>
        <v/>
      </c>
      <c r="H257" s="130" t="n"/>
      <c r="I257" s="131" t="n"/>
      <c r="J257" s="131">
        <f>IF(COUNTIF(B257:E257,"*")=0,"",IF(T257=1,"Invalid Service",IF(AND(V257=1,F257=""),"Add Session Mins",IF(AND(E257&gt;0,H257="",T257=""),"Enter Contract Rate",IF(AND(E257="IEP mtg, prep, rept",F257&gt;0),(G257*H257),IF(AND(E257&gt;0,F257&gt;0,H257&gt;0,I257=""),"Enter Travel",IF(AND(F257&gt;0,I257="Y"),(G257*H257)+$M$10,IF(AND(F257&gt;0,I257="N"),(G257*H257),H257))))))))</f>
        <v/>
      </c>
      <c r="K257" s="132">
        <f>J257</f>
        <v/>
      </c>
      <c r="L257" s="148" t="n"/>
      <c r="M257" s="148" t="n"/>
      <c r="N257" s="148" t="n"/>
      <c r="O257" s="87" t="n"/>
      <c r="P257" s="81" t="n"/>
      <c r="Q257" s="81" t="n"/>
      <c r="R257" s="81" t="n"/>
      <c r="S257" s="81" t="n"/>
      <c r="T257" s="136">
        <f>IF(AND(E257&gt;0,U257=0),1,"")</f>
        <v/>
      </c>
      <c r="U257" s="136">
        <f>SUM(X257:AR257)</f>
        <v/>
      </c>
      <c r="V257" s="136">
        <f>IF(E257=$Q$16,0,SUM(X257:AI257))</f>
        <v/>
      </c>
      <c r="W257" s="136">
        <f>SUM(AK257:AR257)</f>
        <v/>
      </c>
      <c r="X257" s="136">
        <f>IF(E257=$X$6,1,"")</f>
        <v/>
      </c>
      <c r="Y257" s="136">
        <f>IF(E257=$Y$6,1,"")</f>
        <v/>
      </c>
      <c r="Z257" s="136">
        <f>IF(E257=$Z$6,1,"")</f>
        <v/>
      </c>
      <c r="AA257" s="136">
        <f>IF(E257=$AA$6,1,"")</f>
        <v/>
      </c>
      <c r="AB257" s="136">
        <f>IF(E257=$AB$6,1,"")</f>
        <v/>
      </c>
      <c r="AC257" s="136">
        <f>IF(E257=$AC$6,1,"")</f>
        <v/>
      </c>
      <c r="AD257" s="136">
        <f>IF(E257=$AD$6,1,"")</f>
        <v/>
      </c>
      <c r="AE257" s="136">
        <f>IF(E257=$AE$6,1,"")</f>
        <v/>
      </c>
      <c r="AF257" s="136">
        <f>IF(E257=$AF$6,1,"")</f>
        <v/>
      </c>
      <c r="AG257" s="136">
        <f>IF(E257=$AG$6,1,"")</f>
        <v/>
      </c>
      <c r="AH257" s="136">
        <f>IF(E257=$AH$6,1,"")</f>
        <v/>
      </c>
      <c r="AI257" s="136">
        <f>IF(E257=$AI$6,1,"")</f>
        <v/>
      </c>
      <c r="AJ257" s="136">
        <f>IF(E257=$AJ$6,1,"")</f>
        <v/>
      </c>
      <c r="AK257" s="81">
        <f>IF(E257=$AK$6,1,"")</f>
        <v/>
      </c>
      <c r="AL257" s="81">
        <f>IF(E257=$AL$6,1,"")</f>
        <v/>
      </c>
      <c r="AM257" s="81">
        <f>IF(E257=$AM$6,1,"")</f>
        <v/>
      </c>
      <c r="AN257" s="81">
        <f>IF(E257=$AN$6,1,"")</f>
        <v/>
      </c>
      <c r="AO257" s="81">
        <f>IF(E257=$AO$6,1,"")</f>
        <v/>
      </c>
      <c r="AP257" s="81">
        <f>IF(E257=$AP$6,1,"")</f>
        <v/>
      </c>
      <c r="AQ257" s="81">
        <f>IF(E257=$AQ$6,1,"")</f>
        <v/>
      </c>
      <c r="AR257" s="81">
        <f>IF(E257=$AR$6,1,"")</f>
        <v/>
      </c>
      <c r="AS257" s="81" t="n"/>
    </row>
    <row r="258" ht="15.75" customHeight="1" s="80">
      <c r="A258" s="157" t="n"/>
      <c r="B258" s="124" t="n"/>
      <c r="C258" s="125" t="n"/>
      <c r="D258" s="126" t="n"/>
      <c r="E258" s="127" t="n"/>
      <c r="F258" s="128" t="n"/>
      <c r="G258" s="129">
        <f>IF(F258="","",ROUND(F258/60,2))</f>
        <v/>
      </c>
      <c r="H258" s="130" t="n"/>
      <c r="I258" s="131" t="n"/>
      <c r="J258" s="131">
        <f>IF(COUNTIF(B258:E258,"*")=0,"",IF(T258=1,"Invalid Service",IF(AND(V258=1,F258=""),"Add Session Mins",IF(AND(E258&gt;0,H258="",T258=""),"Enter Contract Rate",IF(AND(E258="IEP mtg, prep, rept",F258&gt;0),(G258*H258),IF(AND(E258&gt;0,F258&gt;0,H258&gt;0,I258=""),"Enter Travel",IF(AND(F258&gt;0,I258="Y"),(G258*H258)+$M$10,IF(AND(F258&gt;0,I258="N"),(G258*H258),H258))))))))</f>
        <v/>
      </c>
      <c r="K258" s="132">
        <f>J258</f>
        <v/>
      </c>
      <c r="L258" s="148" t="n"/>
      <c r="M258" s="148" t="n"/>
      <c r="N258" s="148" t="n"/>
      <c r="O258" s="87" t="n"/>
      <c r="P258" s="81" t="n"/>
      <c r="Q258" s="81" t="n"/>
      <c r="R258" s="81" t="n"/>
      <c r="S258" s="81" t="n"/>
      <c r="T258" s="136">
        <f>IF(AND(E258&gt;0,U258=0),1,"")</f>
        <v/>
      </c>
      <c r="U258" s="136">
        <f>SUM(X258:AR258)</f>
        <v/>
      </c>
      <c r="V258" s="136">
        <f>IF(E258=$Q$16,0,SUM(X258:AI258))</f>
        <v/>
      </c>
      <c r="W258" s="136">
        <f>SUM(AK258:AR258)</f>
        <v/>
      </c>
      <c r="X258" s="136">
        <f>IF(E258=$X$6,1,"")</f>
        <v/>
      </c>
      <c r="Y258" s="136">
        <f>IF(E258=$Y$6,1,"")</f>
        <v/>
      </c>
      <c r="Z258" s="136">
        <f>IF(E258=$Z$6,1,"")</f>
        <v/>
      </c>
      <c r="AA258" s="136">
        <f>IF(E258=$AA$6,1,"")</f>
        <v/>
      </c>
      <c r="AB258" s="136">
        <f>IF(E258=$AB$6,1,"")</f>
        <v/>
      </c>
      <c r="AC258" s="136">
        <f>IF(E258=$AC$6,1,"")</f>
        <v/>
      </c>
      <c r="AD258" s="136">
        <f>IF(E258=$AD$6,1,"")</f>
        <v/>
      </c>
      <c r="AE258" s="136">
        <f>IF(E258=$AE$6,1,"")</f>
        <v/>
      </c>
      <c r="AF258" s="136">
        <f>IF(E258=$AF$6,1,"")</f>
        <v/>
      </c>
      <c r="AG258" s="136">
        <f>IF(E258=$AG$6,1,"")</f>
        <v/>
      </c>
      <c r="AH258" s="136">
        <f>IF(E258=$AH$6,1,"")</f>
        <v/>
      </c>
      <c r="AI258" s="136">
        <f>IF(E258=$AI$6,1,"")</f>
        <v/>
      </c>
      <c r="AJ258" s="136">
        <f>IF(E258=$AJ$6,1,"")</f>
        <v/>
      </c>
      <c r="AK258" s="81">
        <f>IF(E258=$AK$6,1,"")</f>
        <v/>
      </c>
      <c r="AL258" s="81">
        <f>IF(E258=$AL$6,1,"")</f>
        <v/>
      </c>
      <c r="AM258" s="81">
        <f>IF(E258=$AM$6,1,"")</f>
        <v/>
      </c>
      <c r="AN258" s="81">
        <f>IF(E258=$AN$6,1,"")</f>
        <v/>
      </c>
      <c r="AO258" s="81">
        <f>IF(E258=$AO$6,1,"")</f>
        <v/>
      </c>
      <c r="AP258" s="81">
        <f>IF(E258=$AP$6,1,"")</f>
        <v/>
      </c>
      <c r="AQ258" s="81">
        <f>IF(E258=$AQ$6,1,"")</f>
        <v/>
      </c>
      <c r="AR258" s="81">
        <f>IF(E258=$AR$6,1,"")</f>
        <v/>
      </c>
      <c r="AS258" s="81" t="n"/>
    </row>
    <row r="259" ht="15.75" customHeight="1" s="80">
      <c r="A259" s="157" t="n"/>
      <c r="B259" s="124" t="n"/>
      <c r="C259" s="125" t="n"/>
      <c r="D259" s="126" t="n"/>
      <c r="E259" s="127" t="n"/>
      <c r="F259" s="128" t="n"/>
      <c r="G259" s="129">
        <f>IF(F259="","",ROUND(F259/60,2))</f>
        <v/>
      </c>
      <c r="H259" s="130" t="n"/>
      <c r="I259" s="131" t="n"/>
      <c r="J259" s="131">
        <f>IF(COUNTIF(B259:E259,"*")=0,"",IF(T259=1,"Invalid Service",IF(AND(V259=1,F259=""),"Add Session Mins",IF(AND(E259&gt;0,H259="",T259=""),"Enter Contract Rate",IF(AND(E259="IEP mtg, prep, rept",F259&gt;0),(G259*H259),IF(AND(E259&gt;0,F259&gt;0,H259&gt;0,I259=""),"Enter Travel",IF(AND(F259&gt;0,I259="Y"),(G259*H259)+$M$10,IF(AND(F259&gt;0,I259="N"),(G259*H259),H259))))))))</f>
        <v/>
      </c>
      <c r="K259" s="132">
        <f>J259</f>
        <v/>
      </c>
      <c r="L259" s="148" t="n"/>
      <c r="M259" s="148" t="n"/>
      <c r="N259" s="148" t="n"/>
      <c r="O259" s="87" t="n"/>
      <c r="P259" s="81" t="n"/>
      <c r="Q259" s="81" t="n"/>
      <c r="R259" s="81" t="n"/>
      <c r="S259" s="81" t="n"/>
      <c r="T259" s="136">
        <f>IF(AND(E259&gt;0,U259=0),1,"")</f>
        <v/>
      </c>
      <c r="U259" s="136">
        <f>SUM(X259:AR259)</f>
        <v/>
      </c>
      <c r="V259" s="136">
        <f>IF(E259=$Q$16,0,SUM(X259:AI259))</f>
        <v/>
      </c>
      <c r="W259" s="136">
        <f>SUM(AK259:AR259)</f>
        <v/>
      </c>
      <c r="X259" s="136">
        <f>IF(E259=$X$6,1,"")</f>
        <v/>
      </c>
      <c r="Y259" s="136">
        <f>IF(E259=$Y$6,1,"")</f>
        <v/>
      </c>
      <c r="Z259" s="136">
        <f>IF(E259=$Z$6,1,"")</f>
        <v/>
      </c>
      <c r="AA259" s="136">
        <f>IF(E259=$AA$6,1,"")</f>
        <v/>
      </c>
      <c r="AB259" s="136">
        <f>IF(E259=$AB$6,1,"")</f>
        <v/>
      </c>
      <c r="AC259" s="136">
        <f>IF(E259=$AC$6,1,"")</f>
        <v/>
      </c>
      <c r="AD259" s="136">
        <f>IF(E259=$AD$6,1,"")</f>
        <v/>
      </c>
      <c r="AE259" s="136">
        <f>IF(E259=$AE$6,1,"")</f>
        <v/>
      </c>
      <c r="AF259" s="136">
        <f>IF(E259=$AF$6,1,"")</f>
        <v/>
      </c>
      <c r="AG259" s="136">
        <f>IF(E259=$AG$6,1,"")</f>
        <v/>
      </c>
      <c r="AH259" s="136">
        <f>IF(E259=$AH$6,1,"")</f>
        <v/>
      </c>
      <c r="AI259" s="136">
        <f>IF(E259=$AI$6,1,"")</f>
        <v/>
      </c>
      <c r="AJ259" s="136">
        <f>IF(E259=$AJ$6,1,"")</f>
        <v/>
      </c>
      <c r="AK259" s="81">
        <f>IF(E259=$AK$6,1,"")</f>
        <v/>
      </c>
      <c r="AL259" s="81">
        <f>IF(E259=$AL$6,1,"")</f>
        <v/>
      </c>
      <c r="AM259" s="81">
        <f>IF(E259=$AM$6,1,"")</f>
        <v/>
      </c>
      <c r="AN259" s="81">
        <f>IF(E259=$AN$6,1,"")</f>
        <v/>
      </c>
      <c r="AO259" s="81">
        <f>IF(E259=$AO$6,1,"")</f>
        <v/>
      </c>
      <c r="AP259" s="81">
        <f>IF(E259=$AP$6,1,"")</f>
        <v/>
      </c>
      <c r="AQ259" s="81">
        <f>IF(E259=$AQ$6,1,"")</f>
        <v/>
      </c>
      <c r="AR259" s="81">
        <f>IF(E259=$AR$6,1,"")</f>
        <v/>
      </c>
      <c r="AS259" s="81" t="n"/>
    </row>
    <row r="260" ht="15.75" customHeight="1" s="80">
      <c r="A260" s="157" t="n"/>
      <c r="B260" s="124" t="n"/>
      <c r="C260" s="125" t="n"/>
      <c r="D260" s="126" t="n"/>
      <c r="E260" s="127" t="n"/>
      <c r="F260" s="128" t="n"/>
      <c r="G260" s="129">
        <f>IF(F260="","",ROUND(F260/60,2))</f>
        <v/>
      </c>
      <c r="H260" s="130" t="n"/>
      <c r="I260" s="131" t="n"/>
      <c r="J260" s="131">
        <f>IF(COUNTIF(B260:E260,"*")=0,"",IF(T260=1,"Invalid Service",IF(AND(V260=1,F260=""),"Add Session Mins",IF(AND(E260&gt;0,H260="",T260=""),"Enter Contract Rate",IF(AND(E260="IEP mtg, prep, rept",F260&gt;0),(G260*H260),IF(AND(E260&gt;0,F260&gt;0,H260&gt;0,I260=""),"Enter Travel",IF(AND(F260&gt;0,I260="Y"),(G260*H260)+$M$10,IF(AND(F260&gt;0,I260="N"),(G260*H260),H260))))))))</f>
        <v/>
      </c>
      <c r="K260" s="132">
        <f>J260</f>
        <v/>
      </c>
      <c r="L260" s="148" t="n"/>
      <c r="M260" s="148" t="n"/>
      <c r="N260" s="148" t="n"/>
      <c r="O260" s="87" t="n"/>
      <c r="P260" s="81" t="n"/>
      <c r="Q260" s="81" t="n"/>
      <c r="R260" s="81" t="n"/>
      <c r="S260" s="81" t="n"/>
      <c r="T260" s="136">
        <f>IF(AND(E260&gt;0,U260=0),1,"")</f>
        <v/>
      </c>
      <c r="U260" s="136">
        <f>SUM(X260:AR260)</f>
        <v/>
      </c>
      <c r="V260" s="136">
        <f>IF(E260=$Q$16,0,SUM(X260:AI260))</f>
        <v/>
      </c>
      <c r="W260" s="136">
        <f>SUM(AK260:AR260)</f>
        <v/>
      </c>
      <c r="X260" s="136">
        <f>IF(E260=$X$6,1,"")</f>
        <v/>
      </c>
      <c r="Y260" s="136">
        <f>IF(E260=$Y$6,1,"")</f>
        <v/>
      </c>
      <c r="Z260" s="136">
        <f>IF(E260=$Z$6,1,"")</f>
        <v/>
      </c>
      <c r="AA260" s="136">
        <f>IF(E260=$AA$6,1,"")</f>
        <v/>
      </c>
      <c r="AB260" s="136">
        <f>IF(E260=$AB$6,1,"")</f>
        <v/>
      </c>
      <c r="AC260" s="136">
        <f>IF(E260=$AC$6,1,"")</f>
        <v/>
      </c>
      <c r="AD260" s="136">
        <f>IF(E260=$AD$6,1,"")</f>
        <v/>
      </c>
      <c r="AE260" s="136">
        <f>IF(E260=$AE$6,1,"")</f>
        <v/>
      </c>
      <c r="AF260" s="136">
        <f>IF(E260=$AF$6,1,"")</f>
        <v/>
      </c>
      <c r="AG260" s="136">
        <f>IF(E260=$AG$6,1,"")</f>
        <v/>
      </c>
      <c r="AH260" s="136">
        <f>IF(E260=$AH$6,1,"")</f>
        <v/>
      </c>
      <c r="AI260" s="136">
        <f>IF(E260=$AI$6,1,"")</f>
        <v/>
      </c>
      <c r="AJ260" s="136">
        <f>IF(E260=$AJ$6,1,"")</f>
        <v/>
      </c>
      <c r="AK260" s="81">
        <f>IF(E260=$AK$6,1,"")</f>
        <v/>
      </c>
      <c r="AL260" s="81">
        <f>IF(E260=$AL$6,1,"")</f>
        <v/>
      </c>
      <c r="AM260" s="81">
        <f>IF(E260=$AM$6,1,"")</f>
        <v/>
      </c>
      <c r="AN260" s="81">
        <f>IF(E260=$AN$6,1,"")</f>
        <v/>
      </c>
      <c r="AO260" s="81">
        <f>IF(E260=$AO$6,1,"")</f>
        <v/>
      </c>
      <c r="AP260" s="81">
        <f>IF(E260=$AP$6,1,"")</f>
        <v/>
      </c>
      <c r="AQ260" s="81">
        <f>IF(E260=$AQ$6,1,"")</f>
        <v/>
      </c>
      <c r="AR260" s="81">
        <f>IF(E260=$AR$6,1,"")</f>
        <v/>
      </c>
      <c r="AS260" s="81" t="n"/>
    </row>
    <row r="261" ht="15.75" customHeight="1" s="80">
      <c r="A261" s="157" t="n"/>
      <c r="B261" s="124" t="n"/>
      <c r="C261" s="125" t="n"/>
      <c r="D261" s="126" t="n"/>
      <c r="E261" s="127" t="n"/>
      <c r="F261" s="128" t="n"/>
      <c r="G261" s="129">
        <f>IF(F261="","",ROUND(F261/60,2))</f>
        <v/>
      </c>
      <c r="H261" s="130" t="n"/>
      <c r="I261" s="131" t="n"/>
      <c r="J261" s="131">
        <f>IF(COUNTIF(B261:E261,"*")=0,"",IF(T261=1,"Invalid Service",IF(AND(V261=1,F261=""),"Add Session Mins",IF(AND(E261&gt;0,H261="",T261=""),"Enter Contract Rate",IF(AND(E261="IEP mtg, prep, rept",F261&gt;0),(G261*H261),IF(AND(E261&gt;0,F261&gt;0,H261&gt;0,I261=""),"Enter Travel",IF(AND(F261&gt;0,I261="Y"),(G261*H261)+$M$10,IF(AND(F261&gt;0,I261="N"),(G261*H261),H261))))))))</f>
        <v/>
      </c>
      <c r="K261" s="132">
        <f>J261</f>
        <v/>
      </c>
      <c r="L261" s="148" t="n"/>
      <c r="M261" s="148" t="n"/>
      <c r="N261" s="148" t="n"/>
      <c r="O261" s="87" t="n"/>
      <c r="P261" s="81" t="n"/>
      <c r="Q261" s="81" t="n"/>
      <c r="R261" s="81" t="n"/>
      <c r="S261" s="81" t="n"/>
      <c r="T261" s="136">
        <f>IF(AND(E261&gt;0,U261=0),1,"")</f>
        <v/>
      </c>
      <c r="U261" s="136">
        <f>SUM(X261:AR261)</f>
        <v/>
      </c>
      <c r="V261" s="136">
        <f>IF(E261=$Q$16,0,SUM(X261:AI261))</f>
        <v/>
      </c>
      <c r="W261" s="136">
        <f>SUM(AK261:AR261)</f>
        <v/>
      </c>
      <c r="X261" s="136">
        <f>IF(E261=$X$6,1,"")</f>
        <v/>
      </c>
      <c r="Y261" s="136">
        <f>IF(E261=$Y$6,1,"")</f>
        <v/>
      </c>
      <c r="Z261" s="136">
        <f>IF(E261=$Z$6,1,"")</f>
        <v/>
      </c>
      <c r="AA261" s="136">
        <f>IF(E261=$AA$6,1,"")</f>
        <v/>
      </c>
      <c r="AB261" s="136">
        <f>IF(E261=$AB$6,1,"")</f>
        <v/>
      </c>
      <c r="AC261" s="136">
        <f>IF(E261=$AC$6,1,"")</f>
        <v/>
      </c>
      <c r="AD261" s="136">
        <f>IF(E261=$AD$6,1,"")</f>
        <v/>
      </c>
      <c r="AE261" s="136">
        <f>IF(E261=$AE$6,1,"")</f>
        <v/>
      </c>
      <c r="AF261" s="136">
        <f>IF(E261=$AF$6,1,"")</f>
        <v/>
      </c>
      <c r="AG261" s="136">
        <f>IF(E261=$AG$6,1,"")</f>
        <v/>
      </c>
      <c r="AH261" s="136">
        <f>IF(E261=$AH$6,1,"")</f>
        <v/>
      </c>
      <c r="AI261" s="136">
        <f>IF(E261=$AI$6,1,"")</f>
        <v/>
      </c>
      <c r="AJ261" s="136">
        <f>IF(E261=$AJ$6,1,"")</f>
        <v/>
      </c>
      <c r="AK261" s="81">
        <f>IF(E261=$AK$6,1,"")</f>
        <v/>
      </c>
      <c r="AL261" s="81">
        <f>IF(E261=$AL$6,1,"")</f>
        <v/>
      </c>
      <c r="AM261" s="81">
        <f>IF(E261=$AM$6,1,"")</f>
        <v/>
      </c>
      <c r="AN261" s="81">
        <f>IF(E261=$AN$6,1,"")</f>
        <v/>
      </c>
      <c r="AO261" s="81">
        <f>IF(E261=$AO$6,1,"")</f>
        <v/>
      </c>
      <c r="AP261" s="81">
        <f>IF(E261=$AP$6,1,"")</f>
        <v/>
      </c>
      <c r="AQ261" s="81">
        <f>IF(E261=$AQ$6,1,"")</f>
        <v/>
      </c>
      <c r="AR261" s="81">
        <f>IF(E261=$AR$6,1,"")</f>
        <v/>
      </c>
      <c r="AS261" s="81" t="n"/>
    </row>
    <row r="262" ht="15.75" customHeight="1" s="80">
      <c r="A262" s="157" t="n"/>
      <c r="B262" s="124" t="n"/>
      <c r="C262" s="125" t="n"/>
      <c r="D262" s="126" t="n"/>
      <c r="E262" s="127" t="n"/>
      <c r="F262" s="128" t="n"/>
      <c r="G262" s="129">
        <f>IF(F262="","",ROUND(F262/60,2))</f>
        <v/>
      </c>
      <c r="H262" s="130" t="n"/>
      <c r="I262" s="131" t="n"/>
      <c r="J262" s="131">
        <f>IF(COUNTIF(B262:E262,"*")=0,"",IF(T262=1,"Invalid Service",IF(AND(V262=1,F262=""),"Add Session Mins",IF(AND(E262&gt;0,H262="",T262=""),"Enter Contract Rate",IF(AND(E262="IEP mtg, prep, rept",F262&gt;0),(G262*H262),IF(AND(E262&gt;0,F262&gt;0,H262&gt;0,I262=""),"Enter Travel",IF(AND(F262&gt;0,I262="Y"),(G262*H262)+$M$10,IF(AND(F262&gt;0,I262="N"),(G262*H262),H262))))))))</f>
        <v/>
      </c>
      <c r="K262" s="132">
        <f>J262</f>
        <v/>
      </c>
      <c r="L262" s="148" t="n"/>
      <c r="M262" s="148" t="n"/>
      <c r="N262" s="148" t="n"/>
      <c r="O262" s="87" t="n"/>
      <c r="P262" s="81" t="n"/>
      <c r="Q262" s="81" t="n"/>
      <c r="R262" s="81" t="n"/>
      <c r="S262" s="81" t="n"/>
      <c r="T262" s="136">
        <f>IF(AND(E262&gt;0,U262=0),1,"")</f>
        <v/>
      </c>
      <c r="U262" s="136">
        <f>SUM(X262:AR262)</f>
        <v/>
      </c>
      <c r="V262" s="136">
        <f>IF(E262=$Q$16,0,SUM(X262:AI262))</f>
        <v/>
      </c>
      <c r="W262" s="136">
        <f>SUM(AK262:AR262)</f>
        <v/>
      </c>
      <c r="X262" s="136">
        <f>IF(E262=$X$6,1,"")</f>
        <v/>
      </c>
      <c r="Y262" s="136">
        <f>IF(E262=$Y$6,1,"")</f>
        <v/>
      </c>
      <c r="Z262" s="136">
        <f>IF(E262=$Z$6,1,"")</f>
        <v/>
      </c>
      <c r="AA262" s="136">
        <f>IF(E262=$AA$6,1,"")</f>
        <v/>
      </c>
      <c r="AB262" s="136">
        <f>IF(E262=$AB$6,1,"")</f>
        <v/>
      </c>
      <c r="AC262" s="136">
        <f>IF(E262=$AC$6,1,"")</f>
        <v/>
      </c>
      <c r="AD262" s="136">
        <f>IF(E262=$AD$6,1,"")</f>
        <v/>
      </c>
      <c r="AE262" s="136">
        <f>IF(E262=$AE$6,1,"")</f>
        <v/>
      </c>
      <c r="AF262" s="136">
        <f>IF(E262=$AF$6,1,"")</f>
        <v/>
      </c>
      <c r="AG262" s="136">
        <f>IF(E262=$AG$6,1,"")</f>
        <v/>
      </c>
      <c r="AH262" s="136">
        <f>IF(E262=$AH$6,1,"")</f>
        <v/>
      </c>
      <c r="AI262" s="136">
        <f>IF(E262=$AI$6,1,"")</f>
        <v/>
      </c>
      <c r="AJ262" s="136">
        <f>IF(E262=$AJ$6,1,"")</f>
        <v/>
      </c>
      <c r="AK262" s="81">
        <f>IF(E262=$AK$6,1,"")</f>
        <v/>
      </c>
      <c r="AL262" s="81">
        <f>IF(E262=$AL$6,1,"")</f>
        <v/>
      </c>
      <c r="AM262" s="81">
        <f>IF(E262=$AM$6,1,"")</f>
        <v/>
      </c>
      <c r="AN262" s="81">
        <f>IF(E262=$AN$6,1,"")</f>
        <v/>
      </c>
      <c r="AO262" s="81">
        <f>IF(E262=$AO$6,1,"")</f>
        <v/>
      </c>
      <c r="AP262" s="81">
        <f>IF(E262=$AP$6,1,"")</f>
        <v/>
      </c>
      <c r="AQ262" s="81">
        <f>IF(E262=$AQ$6,1,"")</f>
        <v/>
      </c>
      <c r="AR262" s="81">
        <f>IF(E262=$AR$6,1,"")</f>
        <v/>
      </c>
      <c r="AS262" s="81" t="n"/>
    </row>
    <row r="263" ht="15.75" customHeight="1" s="80">
      <c r="A263" s="157" t="n"/>
      <c r="B263" s="124" t="n"/>
      <c r="C263" s="125" t="n"/>
      <c r="D263" s="126" t="n"/>
      <c r="E263" s="127" t="n"/>
      <c r="F263" s="128" t="n"/>
      <c r="G263" s="129">
        <f>IF(F263="","",ROUND(F263/60,2))</f>
        <v/>
      </c>
      <c r="H263" s="130" t="n"/>
      <c r="I263" s="131" t="n"/>
      <c r="J263" s="131">
        <f>IF(COUNTIF(B263:E263,"*")=0,"",IF(T263=1,"Invalid Service",IF(AND(V263=1,F263=""),"Add Session Mins",IF(AND(E263&gt;0,H263="",T263=""),"Enter Contract Rate",IF(AND(E263="IEP mtg, prep, rept",F263&gt;0),(G263*H263),IF(AND(E263&gt;0,F263&gt;0,H263&gt;0,I263=""),"Enter Travel",IF(AND(F263&gt;0,I263="Y"),(G263*H263)+$M$10,IF(AND(F263&gt;0,I263="N"),(G263*H263),H263))))))))</f>
        <v/>
      </c>
      <c r="K263" s="132">
        <f>J263</f>
        <v/>
      </c>
      <c r="L263" s="148" t="n"/>
      <c r="M263" s="148" t="n"/>
      <c r="N263" s="148" t="n"/>
      <c r="O263" s="87" t="n"/>
      <c r="P263" s="81" t="n"/>
      <c r="Q263" s="81" t="n"/>
      <c r="R263" s="81" t="n"/>
      <c r="S263" s="81" t="n"/>
      <c r="T263" s="136">
        <f>IF(AND(E263&gt;0,U263=0),1,"")</f>
        <v/>
      </c>
      <c r="U263" s="136">
        <f>SUM(X263:AR263)</f>
        <v/>
      </c>
      <c r="V263" s="136">
        <f>IF(E263=$Q$16,0,SUM(X263:AI263))</f>
        <v/>
      </c>
      <c r="W263" s="136">
        <f>SUM(AK263:AR263)</f>
        <v/>
      </c>
      <c r="X263" s="136">
        <f>IF(E263=$X$6,1,"")</f>
        <v/>
      </c>
      <c r="Y263" s="136">
        <f>IF(E263=$Y$6,1,"")</f>
        <v/>
      </c>
      <c r="Z263" s="136">
        <f>IF(E263=$Z$6,1,"")</f>
        <v/>
      </c>
      <c r="AA263" s="136">
        <f>IF(E263=$AA$6,1,"")</f>
        <v/>
      </c>
      <c r="AB263" s="136">
        <f>IF(E263=$AB$6,1,"")</f>
        <v/>
      </c>
      <c r="AC263" s="136">
        <f>IF(E263=$AC$6,1,"")</f>
        <v/>
      </c>
      <c r="AD263" s="136">
        <f>IF(E263=$AD$6,1,"")</f>
        <v/>
      </c>
      <c r="AE263" s="136">
        <f>IF(E263=$AE$6,1,"")</f>
        <v/>
      </c>
      <c r="AF263" s="136">
        <f>IF(E263=$AF$6,1,"")</f>
        <v/>
      </c>
      <c r="AG263" s="136">
        <f>IF(E263=$AG$6,1,"")</f>
        <v/>
      </c>
      <c r="AH263" s="136">
        <f>IF(E263=$AH$6,1,"")</f>
        <v/>
      </c>
      <c r="AI263" s="136">
        <f>IF(E263=$AI$6,1,"")</f>
        <v/>
      </c>
      <c r="AJ263" s="136">
        <f>IF(E263=$AJ$6,1,"")</f>
        <v/>
      </c>
      <c r="AK263" s="81">
        <f>IF(E263=$AK$6,1,"")</f>
        <v/>
      </c>
      <c r="AL263" s="81">
        <f>IF(E263=$AL$6,1,"")</f>
        <v/>
      </c>
      <c r="AM263" s="81">
        <f>IF(E263=$AM$6,1,"")</f>
        <v/>
      </c>
      <c r="AN263" s="81">
        <f>IF(E263=$AN$6,1,"")</f>
        <v/>
      </c>
      <c r="AO263" s="81">
        <f>IF(E263=$AO$6,1,"")</f>
        <v/>
      </c>
      <c r="AP263" s="81">
        <f>IF(E263=$AP$6,1,"")</f>
        <v/>
      </c>
      <c r="AQ263" s="81">
        <f>IF(E263=$AQ$6,1,"")</f>
        <v/>
      </c>
      <c r="AR263" s="81">
        <f>IF(E263=$AR$6,1,"")</f>
        <v/>
      </c>
      <c r="AS263" s="81" t="n"/>
    </row>
    <row r="264" ht="15.75" customHeight="1" s="80">
      <c r="A264" s="157" t="n"/>
      <c r="B264" s="124" t="n"/>
      <c r="C264" s="125" t="n"/>
      <c r="D264" s="126" t="n"/>
      <c r="E264" s="127" t="n"/>
      <c r="F264" s="128" t="n"/>
      <c r="G264" s="129">
        <f>IF(F264="","",ROUND(F264/60,2))</f>
        <v/>
      </c>
      <c r="H264" s="130" t="n"/>
      <c r="I264" s="131" t="n"/>
      <c r="J264" s="131">
        <f>IF(COUNTIF(B264:E264,"*")=0,"",IF(T264=1,"Invalid Service",IF(AND(V264=1,F264=""),"Add Session Mins",IF(AND(E264&gt;0,H264="",T264=""),"Enter Contract Rate",IF(AND(E264="IEP mtg, prep, rept",F264&gt;0),(G264*H264),IF(AND(E264&gt;0,F264&gt;0,H264&gt;0,I264=""),"Enter Travel",IF(AND(F264&gt;0,I264="Y"),(G264*H264)+$M$10,IF(AND(F264&gt;0,I264="N"),(G264*H264),H264))))))))</f>
        <v/>
      </c>
      <c r="K264" s="132">
        <f>J264</f>
        <v/>
      </c>
      <c r="L264" s="148" t="n"/>
      <c r="M264" s="148" t="n"/>
      <c r="N264" s="148" t="n"/>
      <c r="O264" s="87" t="n"/>
      <c r="P264" s="81" t="n"/>
      <c r="Q264" s="81" t="n"/>
      <c r="R264" s="81" t="n"/>
      <c r="S264" s="81" t="n"/>
      <c r="T264" s="136">
        <f>IF(AND(E264&gt;0,U264=0),1,"")</f>
        <v/>
      </c>
      <c r="U264" s="136">
        <f>SUM(X264:AR264)</f>
        <v/>
      </c>
      <c r="V264" s="136">
        <f>IF(E264=$Q$16,0,SUM(X264:AI264))</f>
        <v/>
      </c>
      <c r="W264" s="136">
        <f>SUM(AK264:AR264)</f>
        <v/>
      </c>
      <c r="X264" s="136">
        <f>IF(E264=$X$6,1,"")</f>
        <v/>
      </c>
      <c r="Y264" s="136">
        <f>IF(E264=$Y$6,1,"")</f>
        <v/>
      </c>
      <c r="Z264" s="136">
        <f>IF(E264=$Z$6,1,"")</f>
        <v/>
      </c>
      <c r="AA264" s="136">
        <f>IF(E264=$AA$6,1,"")</f>
        <v/>
      </c>
      <c r="AB264" s="136">
        <f>IF(E264=$AB$6,1,"")</f>
        <v/>
      </c>
      <c r="AC264" s="136">
        <f>IF(E264=$AC$6,1,"")</f>
        <v/>
      </c>
      <c r="AD264" s="136">
        <f>IF(E264=$AD$6,1,"")</f>
        <v/>
      </c>
      <c r="AE264" s="136">
        <f>IF(E264=$AE$6,1,"")</f>
        <v/>
      </c>
      <c r="AF264" s="136">
        <f>IF(E264=$AF$6,1,"")</f>
        <v/>
      </c>
      <c r="AG264" s="136">
        <f>IF(E264=$AG$6,1,"")</f>
        <v/>
      </c>
      <c r="AH264" s="136">
        <f>IF(E264=$AH$6,1,"")</f>
        <v/>
      </c>
      <c r="AI264" s="136">
        <f>IF(E264=$AI$6,1,"")</f>
        <v/>
      </c>
      <c r="AJ264" s="136">
        <f>IF(E264=$AJ$6,1,"")</f>
        <v/>
      </c>
      <c r="AK264" s="81">
        <f>IF(E264=$AK$6,1,"")</f>
        <v/>
      </c>
      <c r="AL264" s="81">
        <f>IF(E264=$AL$6,1,"")</f>
        <v/>
      </c>
      <c r="AM264" s="81">
        <f>IF(E264=$AM$6,1,"")</f>
        <v/>
      </c>
      <c r="AN264" s="81">
        <f>IF(E264=$AN$6,1,"")</f>
        <v/>
      </c>
      <c r="AO264" s="81">
        <f>IF(E264=$AO$6,1,"")</f>
        <v/>
      </c>
      <c r="AP264" s="81">
        <f>IF(E264=$AP$6,1,"")</f>
        <v/>
      </c>
      <c r="AQ264" s="81">
        <f>IF(E264=$AQ$6,1,"")</f>
        <v/>
      </c>
      <c r="AR264" s="81">
        <f>IF(E264=$AR$6,1,"")</f>
        <v/>
      </c>
      <c r="AS264" s="81" t="n"/>
    </row>
    <row r="265" ht="15.75" customHeight="1" s="80">
      <c r="A265" s="157" t="n"/>
      <c r="B265" s="124" t="n"/>
      <c r="C265" s="125" t="n"/>
      <c r="D265" s="126" t="n"/>
      <c r="E265" s="127" t="n"/>
      <c r="F265" s="128" t="n"/>
      <c r="G265" s="129">
        <f>IF(F265="","",ROUND(F265/60,2))</f>
        <v/>
      </c>
      <c r="H265" s="130" t="n"/>
      <c r="I265" s="131" t="n"/>
      <c r="J265" s="131">
        <f>IF(COUNTIF(B265:E265,"*")=0,"",IF(T265=1,"Invalid Service",IF(AND(V265=1,F265=""),"Add Session Mins",IF(AND(E265&gt;0,H265="",T265=""),"Enter Contract Rate",IF(AND(E265="IEP mtg, prep, rept",F265&gt;0),(G265*H265),IF(AND(E265&gt;0,F265&gt;0,H265&gt;0,I265=""),"Enter Travel",IF(AND(F265&gt;0,I265="Y"),(G265*H265)+$M$10,IF(AND(F265&gt;0,I265="N"),(G265*H265),H265))))))))</f>
        <v/>
      </c>
      <c r="K265" s="132">
        <f>J265</f>
        <v/>
      </c>
      <c r="L265" s="148" t="n"/>
      <c r="M265" s="148" t="n"/>
      <c r="N265" s="148" t="n"/>
      <c r="O265" s="87" t="n"/>
      <c r="P265" s="81" t="n"/>
      <c r="Q265" s="81" t="n"/>
      <c r="R265" s="81" t="n"/>
      <c r="S265" s="81" t="n"/>
      <c r="T265" s="136">
        <f>IF(AND(E265&gt;0,U265=0),1,"")</f>
        <v/>
      </c>
      <c r="U265" s="136">
        <f>SUM(X265:AR265)</f>
        <v/>
      </c>
      <c r="V265" s="136">
        <f>IF(E265=$Q$16,0,SUM(X265:AI265))</f>
        <v/>
      </c>
      <c r="W265" s="136">
        <f>SUM(AK265:AR265)</f>
        <v/>
      </c>
      <c r="X265" s="136">
        <f>IF(E265=$X$6,1,"")</f>
        <v/>
      </c>
      <c r="Y265" s="136">
        <f>IF(E265=$Y$6,1,"")</f>
        <v/>
      </c>
      <c r="Z265" s="136">
        <f>IF(E265=$Z$6,1,"")</f>
        <v/>
      </c>
      <c r="AA265" s="136">
        <f>IF(E265=$AA$6,1,"")</f>
        <v/>
      </c>
      <c r="AB265" s="136">
        <f>IF(E265=$AB$6,1,"")</f>
        <v/>
      </c>
      <c r="AC265" s="136">
        <f>IF(E265=$AC$6,1,"")</f>
        <v/>
      </c>
      <c r="AD265" s="136">
        <f>IF(E265=$AD$6,1,"")</f>
        <v/>
      </c>
      <c r="AE265" s="136">
        <f>IF(E265=$AE$6,1,"")</f>
        <v/>
      </c>
      <c r="AF265" s="136">
        <f>IF(E265=$AF$6,1,"")</f>
        <v/>
      </c>
      <c r="AG265" s="136">
        <f>IF(E265=$AG$6,1,"")</f>
        <v/>
      </c>
      <c r="AH265" s="136">
        <f>IF(E265=$AH$6,1,"")</f>
        <v/>
      </c>
      <c r="AI265" s="136">
        <f>IF(E265=$AI$6,1,"")</f>
        <v/>
      </c>
      <c r="AJ265" s="136">
        <f>IF(E265=$AJ$6,1,"")</f>
        <v/>
      </c>
      <c r="AK265" s="81">
        <f>IF(E265=$AK$6,1,"")</f>
        <v/>
      </c>
      <c r="AL265" s="81">
        <f>IF(E265=$AL$6,1,"")</f>
        <v/>
      </c>
      <c r="AM265" s="81">
        <f>IF(E265=$AM$6,1,"")</f>
        <v/>
      </c>
      <c r="AN265" s="81">
        <f>IF(E265=$AN$6,1,"")</f>
        <v/>
      </c>
      <c r="AO265" s="81">
        <f>IF(E265=$AO$6,1,"")</f>
        <v/>
      </c>
      <c r="AP265" s="81">
        <f>IF(E265=$AP$6,1,"")</f>
        <v/>
      </c>
      <c r="AQ265" s="81">
        <f>IF(E265=$AQ$6,1,"")</f>
        <v/>
      </c>
      <c r="AR265" s="81">
        <f>IF(E265=$AR$6,1,"")</f>
        <v/>
      </c>
      <c r="AS265" s="81" t="n"/>
    </row>
    <row r="266" ht="15.75" customHeight="1" s="80">
      <c r="A266" s="157" t="n"/>
      <c r="B266" s="124" t="n"/>
      <c r="C266" s="125" t="n"/>
      <c r="D266" s="126" t="n"/>
      <c r="E266" s="127" t="n"/>
      <c r="F266" s="128" t="n"/>
      <c r="G266" s="129">
        <f>IF(F266="","",ROUND(F266/60,2))</f>
        <v/>
      </c>
      <c r="H266" s="130" t="n"/>
      <c r="I266" s="131" t="n"/>
      <c r="J266" s="131">
        <f>IF(COUNTIF(B266:E266,"*")=0,"",IF(T266=1,"Invalid Service",IF(AND(V266=1,F266=""),"Add Session Mins",IF(AND(E266&gt;0,H266="",T266=""),"Enter Contract Rate",IF(AND(E266="IEP mtg, prep, rept",F266&gt;0),(G266*H266),IF(AND(E266&gt;0,F266&gt;0,H266&gt;0,I266=""),"Enter Travel",IF(AND(F266&gt;0,I266="Y"),(G266*H266)+$M$10,IF(AND(F266&gt;0,I266="N"),(G266*H266),H266))))))))</f>
        <v/>
      </c>
      <c r="K266" s="132">
        <f>J266</f>
        <v/>
      </c>
      <c r="L266" s="148" t="n"/>
      <c r="M266" s="148" t="n"/>
      <c r="N266" s="148" t="n"/>
      <c r="O266" s="87" t="n"/>
      <c r="P266" s="81" t="n"/>
      <c r="Q266" s="81" t="n"/>
      <c r="R266" s="81" t="n"/>
      <c r="S266" s="81" t="n"/>
      <c r="T266" s="136">
        <f>IF(AND(E266&gt;0,U266=0),1,"")</f>
        <v/>
      </c>
      <c r="U266" s="136">
        <f>SUM(X266:AR266)</f>
        <v/>
      </c>
      <c r="V266" s="136">
        <f>IF(E266=$Q$16,0,SUM(X266:AI266))</f>
        <v/>
      </c>
      <c r="W266" s="136">
        <f>SUM(AK266:AR266)</f>
        <v/>
      </c>
      <c r="X266" s="136">
        <f>IF(E266=$X$6,1,"")</f>
        <v/>
      </c>
      <c r="Y266" s="136">
        <f>IF(E266=$Y$6,1,"")</f>
        <v/>
      </c>
      <c r="Z266" s="136">
        <f>IF(E266=$Z$6,1,"")</f>
        <v/>
      </c>
      <c r="AA266" s="136">
        <f>IF(E266=$AA$6,1,"")</f>
        <v/>
      </c>
      <c r="AB266" s="136">
        <f>IF(E266=$AB$6,1,"")</f>
        <v/>
      </c>
      <c r="AC266" s="136">
        <f>IF(E266=$AC$6,1,"")</f>
        <v/>
      </c>
      <c r="AD266" s="136">
        <f>IF(E266=$AD$6,1,"")</f>
        <v/>
      </c>
      <c r="AE266" s="136">
        <f>IF(E266=$AE$6,1,"")</f>
        <v/>
      </c>
      <c r="AF266" s="136">
        <f>IF(E266=$AF$6,1,"")</f>
        <v/>
      </c>
      <c r="AG266" s="136">
        <f>IF(E266=$AG$6,1,"")</f>
        <v/>
      </c>
      <c r="AH266" s="136">
        <f>IF(E266=$AH$6,1,"")</f>
        <v/>
      </c>
      <c r="AI266" s="136">
        <f>IF(E266=$AI$6,1,"")</f>
        <v/>
      </c>
      <c r="AJ266" s="136">
        <f>IF(E266=$AJ$6,1,"")</f>
        <v/>
      </c>
      <c r="AK266" s="81">
        <f>IF(E266=$AK$6,1,"")</f>
        <v/>
      </c>
      <c r="AL266" s="81">
        <f>IF(E266=$AL$6,1,"")</f>
        <v/>
      </c>
      <c r="AM266" s="81">
        <f>IF(E266=$AM$6,1,"")</f>
        <v/>
      </c>
      <c r="AN266" s="81">
        <f>IF(E266=$AN$6,1,"")</f>
        <v/>
      </c>
      <c r="AO266" s="81">
        <f>IF(E266=$AO$6,1,"")</f>
        <v/>
      </c>
      <c r="AP266" s="81">
        <f>IF(E266=$AP$6,1,"")</f>
        <v/>
      </c>
      <c r="AQ266" s="81">
        <f>IF(E266=$AQ$6,1,"")</f>
        <v/>
      </c>
      <c r="AR266" s="81">
        <f>IF(E266=$AR$6,1,"")</f>
        <v/>
      </c>
      <c r="AS266" s="81" t="n"/>
    </row>
    <row r="267" ht="15.75" customHeight="1" s="80">
      <c r="A267" s="157" t="n"/>
      <c r="B267" s="124" t="n"/>
      <c r="C267" s="125" t="n"/>
      <c r="D267" s="126" t="n"/>
      <c r="E267" s="127" t="n"/>
      <c r="F267" s="128" t="n"/>
      <c r="G267" s="129">
        <f>IF(F267="","",ROUND(F267/60,2))</f>
        <v/>
      </c>
      <c r="H267" s="130" t="n"/>
      <c r="I267" s="131" t="n"/>
      <c r="J267" s="131">
        <f>IF(COUNTIF(B267:E267,"*")=0,"",IF(T267=1,"Invalid Service",IF(AND(V267=1,F267=""),"Add Session Mins",IF(AND(E267&gt;0,H267="",T267=""),"Enter Contract Rate",IF(AND(E267="IEP mtg, prep, rept",F267&gt;0),(G267*H267),IF(AND(E267&gt;0,F267&gt;0,H267&gt;0,I267=""),"Enter Travel",IF(AND(F267&gt;0,I267="Y"),(G267*H267)+$M$10,IF(AND(F267&gt;0,I267="N"),(G267*H267),H267))))))))</f>
        <v/>
      </c>
      <c r="K267" s="132">
        <f>J267</f>
        <v/>
      </c>
      <c r="L267" s="148" t="n"/>
      <c r="M267" s="148" t="n"/>
      <c r="N267" s="148" t="n"/>
      <c r="O267" s="87" t="n"/>
      <c r="P267" s="81" t="n"/>
      <c r="Q267" s="81" t="n"/>
      <c r="R267" s="81" t="n"/>
      <c r="S267" s="81" t="n"/>
      <c r="T267" s="136">
        <f>IF(AND(E267&gt;0,U267=0),1,"")</f>
        <v/>
      </c>
      <c r="U267" s="136">
        <f>SUM(X267:AR267)</f>
        <v/>
      </c>
      <c r="V267" s="136">
        <f>IF(E267=$Q$16,0,SUM(X267:AI267))</f>
        <v/>
      </c>
      <c r="W267" s="136">
        <f>SUM(AK267:AR267)</f>
        <v/>
      </c>
      <c r="X267" s="136">
        <f>IF(E267=$X$6,1,"")</f>
        <v/>
      </c>
      <c r="Y267" s="136">
        <f>IF(E267=$Y$6,1,"")</f>
        <v/>
      </c>
      <c r="Z267" s="136">
        <f>IF(E267=$Z$6,1,"")</f>
        <v/>
      </c>
      <c r="AA267" s="136">
        <f>IF(E267=$AA$6,1,"")</f>
        <v/>
      </c>
      <c r="AB267" s="136">
        <f>IF(E267=$AB$6,1,"")</f>
        <v/>
      </c>
      <c r="AC267" s="136">
        <f>IF(E267=$AC$6,1,"")</f>
        <v/>
      </c>
      <c r="AD267" s="136">
        <f>IF(E267=$AD$6,1,"")</f>
        <v/>
      </c>
      <c r="AE267" s="136">
        <f>IF(E267=$AE$6,1,"")</f>
        <v/>
      </c>
      <c r="AF267" s="136">
        <f>IF(E267=$AF$6,1,"")</f>
        <v/>
      </c>
      <c r="AG267" s="136">
        <f>IF(E267=$AG$6,1,"")</f>
        <v/>
      </c>
      <c r="AH267" s="136">
        <f>IF(E267=$AH$6,1,"")</f>
        <v/>
      </c>
      <c r="AI267" s="136">
        <f>IF(E267=$AI$6,1,"")</f>
        <v/>
      </c>
      <c r="AJ267" s="136">
        <f>IF(E267=$AJ$6,1,"")</f>
        <v/>
      </c>
      <c r="AK267" s="81">
        <f>IF(E267=$AK$6,1,"")</f>
        <v/>
      </c>
      <c r="AL267" s="81">
        <f>IF(E267=$AL$6,1,"")</f>
        <v/>
      </c>
      <c r="AM267" s="81">
        <f>IF(E267=$AM$6,1,"")</f>
        <v/>
      </c>
      <c r="AN267" s="81">
        <f>IF(E267=$AN$6,1,"")</f>
        <v/>
      </c>
      <c r="AO267" s="81">
        <f>IF(E267=$AO$6,1,"")</f>
        <v/>
      </c>
      <c r="AP267" s="81">
        <f>IF(E267=$AP$6,1,"")</f>
        <v/>
      </c>
      <c r="AQ267" s="81">
        <f>IF(E267=$AQ$6,1,"")</f>
        <v/>
      </c>
      <c r="AR267" s="81">
        <f>IF(E267=$AR$6,1,"")</f>
        <v/>
      </c>
      <c r="AS267" s="81" t="n"/>
    </row>
    <row r="268" ht="15.75" customHeight="1" s="80">
      <c r="A268" s="157" t="n"/>
      <c r="B268" s="124" t="n"/>
      <c r="C268" s="125" t="n"/>
      <c r="D268" s="126" t="n"/>
      <c r="E268" s="127" t="n"/>
      <c r="F268" s="128" t="n"/>
      <c r="G268" s="129">
        <f>IF(F268="","",ROUND(F268/60,2))</f>
        <v/>
      </c>
      <c r="H268" s="130" t="n"/>
      <c r="I268" s="131" t="n"/>
      <c r="J268" s="131">
        <f>IF(COUNTIF(B268:E268,"*")=0,"",IF(T268=1,"Invalid Service",IF(AND(V268=1,F268=""),"Add Session Mins",IF(AND(E268&gt;0,H268="",T268=""),"Enter Contract Rate",IF(AND(E268="IEP mtg, prep, rept",F268&gt;0),(G268*H268),IF(AND(E268&gt;0,F268&gt;0,H268&gt;0,I268=""),"Enter Travel",IF(AND(F268&gt;0,I268="Y"),(G268*H268)+$M$10,IF(AND(F268&gt;0,I268="N"),(G268*H268),H268))))))))</f>
        <v/>
      </c>
      <c r="K268" s="132">
        <f>J268</f>
        <v/>
      </c>
      <c r="L268" s="148" t="n"/>
      <c r="M268" s="148" t="n"/>
      <c r="N268" s="148" t="n"/>
      <c r="O268" s="87" t="n"/>
      <c r="P268" s="81" t="n"/>
      <c r="Q268" s="81" t="n"/>
      <c r="R268" s="81" t="n"/>
      <c r="S268" s="81" t="n"/>
      <c r="T268" s="136">
        <f>IF(AND(E268&gt;0,U268=0),1,"")</f>
        <v/>
      </c>
      <c r="U268" s="136">
        <f>SUM(X268:AR268)</f>
        <v/>
      </c>
      <c r="V268" s="136">
        <f>IF(E268=$Q$16,0,SUM(X268:AI268))</f>
        <v/>
      </c>
      <c r="W268" s="136">
        <f>SUM(AK268:AR268)</f>
        <v/>
      </c>
      <c r="X268" s="136">
        <f>IF(E268=$X$6,1,"")</f>
        <v/>
      </c>
      <c r="Y268" s="136">
        <f>IF(E268=$Y$6,1,"")</f>
        <v/>
      </c>
      <c r="Z268" s="136">
        <f>IF(E268=$Z$6,1,"")</f>
        <v/>
      </c>
      <c r="AA268" s="136">
        <f>IF(E268=$AA$6,1,"")</f>
        <v/>
      </c>
      <c r="AB268" s="136">
        <f>IF(E268=$AB$6,1,"")</f>
        <v/>
      </c>
      <c r="AC268" s="136">
        <f>IF(E268=$AC$6,1,"")</f>
        <v/>
      </c>
      <c r="AD268" s="136">
        <f>IF(E268=$AD$6,1,"")</f>
        <v/>
      </c>
      <c r="AE268" s="136">
        <f>IF(E268=$AE$6,1,"")</f>
        <v/>
      </c>
      <c r="AF268" s="136">
        <f>IF(E268=$AF$6,1,"")</f>
        <v/>
      </c>
      <c r="AG268" s="136">
        <f>IF(E268=$AG$6,1,"")</f>
        <v/>
      </c>
      <c r="AH268" s="136">
        <f>IF(E268=$AH$6,1,"")</f>
        <v/>
      </c>
      <c r="AI268" s="136">
        <f>IF(E268=$AI$6,1,"")</f>
        <v/>
      </c>
      <c r="AJ268" s="136">
        <f>IF(E268=$AJ$6,1,"")</f>
        <v/>
      </c>
      <c r="AK268" s="81">
        <f>IF(E268=$AK$6,1,"")</f>
        <v/>
      </c>
      <c r="AL268" s="81">
        <f>IF(E268=$AL$6,1,"")</f>
        <v/>
      </c>
      <c r="AM268" s="81">
        <f>IF(E268=$AM$6,1,"")</f>
        <v/>
      </c>
      <c r="AN268" s="81">
        <f>IF(E268=$AN$6,1,"")</f>
        <v/>
      </c>
      <c r="AO268" s="81">
        <f>IF(E268=$AO$6,1,"")</f>
        <v/>
      </c>
      <c r="AP268" s="81">
        <f>IF(E268=$AP$6,1,"")</f>
        <v/>
      </c>
      <c r="AQ268" s="81">
        <f>IF(E268=$AQ$6,1,"")</f>
        <v/>
      </c>
      <c r="AR268" s="81">
        <f>IF(E268=$AR$6,1,"")</f>
        <v/>
      </c>
      <c r="AS268" s="81" t="n"/>
    </row>
    <row r="269" ht="15.75" customHeight="1" s="80">
      <c r="A269" s="157" t="n"/>
      <c r="B269" s="124" t="n"/>
      <c r="C269" s="125" t="n"/>
      <c r="D269" s="126" t="n"/>
      <c r="E269" s="127" t="n"/>
      <c r="F269" s="128" t="n"/>
      <c r="G269" s="129">
        <f>IF(F269="","",ROUND(F269/60,2))</f>
        <v/>
      </c>
      <c r="H269" s="130" t="n"/>
      <c r="I269" s="131" t="n"/>
      <c r="J269" s="131">
        <f>IF(COUNTIF(B269:E269,"*")=0,"",IF(T269=1,"Invalid Service",IF(AND(V269=1,F269=""),"Add Session Mins",IF(AND(E269&gt;0,H269="",T269=""),"Enter Contract Rate",IF(AND(E269="IEP mtg, prep, rept",F269&gt;0),(G269*H269),IF(AND(E269&gt;0,F269&gt;0,H269&gt;0,I269=""),"Enter Travel",IF(AND(F269&gt;0,I269="Y"),(G269*H269)+$M$10,IF(AND(F269&gt;0,I269="N"),(G269*H269),H269))))))))</f>
        <v/>
      </c>
      <c r="K269" s="132">
        <f>J269</f>
        <v/>
      </c>
      <c r="L269" s="148" t="n"/>
      <c r="M269" s="148" t="n"/>
      <c r="N269" s="148" t="n"/>
      <c r="O269" s="87" t="n"/>
      <c r="P269" s="81" t="n"/>
      <c r="Q269" s="81" t="n"/>
      <c r="R269" s="81" t="n"/>
      <c r="S269" s="81" t="n"/>
      <c r="T269" s="136">
        <f>IF(AND(E269&gt;0,U269=0),1,"")</f>
        <v/>
      </c>
      <c r="U269" s="136">
        <f>SUM(X269:AR269)</f>
        <v/>
      </c>
      <c r="V269" s="136">
        <f>IF(E269=$Q$16,0,SUM(X269:AI269))</f>
        <v/>
      </c>
      <c r="W269" s="136">
        <f>SUM(AK269:AR269)</f>
        <v/>
      </c>
      <c r="X269" s="136">
        <f>IF(E269=$X$6,1,"")</f>
        <v/>
      </c>
      <c r="Y269" s="136">
        <f>IF(E269=$Y$6,1,"")</f>
        <v/>
      </c>
      <c r="Z269" s="136">
        <f>IF(E269=$Z$6,1,"")</f>
        <v/>
      </c>
      <c r="AA269" s="136">
        <f>IF(E269=$AA$6,1,"")</f>
        <v/>
      </c>
      <c r="AB269" s="136">
        <f>IF(E269=$AB$6,1,"")</f>
        <v/>
      </c>
      <c r="AC269" s="136">
        <f>IF(E269=$AC$6,1,"")</f>
        <v/>
      </c>
      <c r="AD269" s="136">
        <f>IF(E269=$AD$6,1,"")</f>
        <v/>
      </c>
      <c r="AE269" s="136">
        <f>IF(E269=$AE$6,1,"")</f>
        <v/>
      </c>
      <c r="AF269" s="136">
        <f>IF(E269=$AF$6,1,"")</f>
        <v/>
      </c>
      <c r="AG269" s="136">
        <f>IF(E269=$AG$6,1,"")</f>
        <v/>
      </c>
      <c r="AH269" s="136">
        <f>IF(E269=$AH$6,1,"")</f>
        <v/>
      </c>
      <c r="AI269" s="136">
        <f>IF(E269=$AI$6,1,"")</f>
        <v/>
      </c>
      <c r="AJ269" s="136">
        <f>IF(E269=$AJ$6,1,"")</f>
        <v/>
      </c>
      <c r="AK269" s="81">
        <f>IF(E269=$AK$6,1,"")</f>
        <v/>
      </c>
      <c r="AL269" s="81">
        <f>IF(E269=$AL$6,1,"")</f>
        <v/>
      </c>
      <c r="AM269" s="81">
        <f>IF(E269=$AM$6,1,"")</f>
        <v/>
      </c>
      <c r="AN269" s="81">
        <f>IF(E269=$AN$6,1,"")</f>
        <v/>
      </c>
      <c r="AO269" s="81">
        <f>IF(E269=$AO$6,1,"")</f>
        <v/>
      </c>
      <c r="AP269" s="81">
        <f>IF(E269=$AP$6,1,"")</f>
        <v/>
      </c>
      <c r="AQ269" s="81">
        <f>IF(E269=$AQ$6,1,"")</f>
        <v/>
      </c>
      <c r="AR269" s="81">
        <f>IF(E269=$AR$6,1,"")</f>
        <v/>
      </c>
      <c r="AS269" s="81" t="n"/>
    </row>
    <row r="270" ht="15.75" customHeight="1" s="80">
      <c r="A270" s="157" t="n"/>
      <c r="B270" s="124" t="n"/>
      <c r="C270" s="125" t="n"/>
      <c r="D270" s="126" t="n"/>
      <c r="E270" s="127" t="n"/>
      <c r="F270" s="128" t="n"/>
      <c r="G270" s="129">
        <f>IF(F270="","",ROUND(F270/60,2))</f>
        <v/>
      </c>
      <c r="H270" s="130" t="n"/>
      <c r="I270" s="131" t="n"/>
      <c r="J270" s="131">
        <f>IF(COUNTIF(B270:E270,"*")=0,"",IF(T270=1,"Invalid Service",IF(AND(V270=1,F270=""),"Add Session Mins",IF(AND(E270&gt;0,H270="",T270=""),"Enter Contract Rate",IF(AND(E270="IEP mtg, prep, rept",F270&gt;0),(G270*H270),IF(AND(E270&gt;0,F270&gt;0,H270&gt;0,I270=""),"Enter Travel",IF(AND(F270&gt;0,I270="Y"),(G270*H270)+$M$10,IF(AND(F270&gt;0,I270="N"),(G270*H270),H270))))))))</f>
        <v/>
      </c>
      <c r="K270" s="132">
        <f>J270</f>
        <v/>
      </c>
      <c r="L270" s="148" t="n"/>
      <c r="M270" s="148" t="n"/>
      <c r="N270" s="148" t="n"/>
      <c r="O270" s="87" t="n"/>
      <c r="P270" s="81" t="n"/>
      <c r="Q270" s="81" t="n"/>
      <c r="R270" s="81" t="n"/>
      <c r="S270" s="81" t="n"/>
      <c r="T270" s="136">
        <f>IF(AND(E270&gt;0,U270=0),1,"")</f>
        <v/>
      </c>
      <c r="U270" s="136">
        <f>SUM(X270:AR270)</f>
        <v/>
      </c>
      <c r="V270" s="136">
        <f>IF(E270=$Q$16,0,SUM(X270:AI270))</f>
        <v/>
      </c>
      <c r="W270" s="136">
        <f>SUM(AK270:AR270)</f>
        <v/>
      </c>
      <c r="X270" s="136">
        <f>IF(E270=$X$6,1,"")</f>
        <v/>
      </c>
      <c r="Y270" s="136">
        <f>IF(E270=$Y$6,1,"")</f>
        <v/>
      </c>
      <c r="Z270" s="136">
        <f>IF(E270=$Z$6,1,"")</f>
        <v/>
      </c>
      <c r="AA270" s="136">
        <f>IF(E270=$AA$6,1,"")</f>
        <v/>
      </c>
      <c r="AB270" s="136">
        <f>IF(E270=$AB$6,1,"")</f>
        <v/>
      </c>
      <c r="AC270" s="136">
        <f>IF(E270=$AC$6,1,"")</f>
        <v/>
      </c>
      <c r="AD270" s="136">
        <f>IF(E270=$AD$6,1,"")</f>
        <v/>
      </c>
      <c r="AE270" s="136">
        <f>IF(E270=$AE$6,1,"")</f>
        <v/>
      </c>
      <c r="AF270" s="136">
        <f>IF(E270=$AF$6,1,"")</f>
        <v/>
      </c>
      <c r="AG270" s="136">
        <f>IF(E270=$AG$6,1,"")</f>
        <v/>
      </c>
      <c r="AH270" s="136">
        <f>IF(E270=$AH$6,1,"")</f>
        <v/>
      </c>
      <c r="AI270" s="136">
        <f>IF(E270=$AI$6,1,"")</f>
        <v/>
      </c>
      <c r="AJ270" s="136">
        <f>IF(E270=$AJ$6,1,"")</f>
        <v/>
      </c>
      <c r="AK270" s="81">
        <f>IF(E270=$AK$6,1,"")</f>
        <v/>
      </c>
      <c r="AL270" s="81">
        <f>IF(E270=$AL$6,1,"")</f>
        <v/>
      </c>
      <c r="AM270" s="81">
        <f>IF(E270=$AM$6,1,"")</f>
        <v/>
      </c>
      <c r="AN270" s="81">
        <f>IF(E270=$AN$6,1,"")</f>
        <v/>
      </c>
      <c r="AO270" s="81">
        <f>IF(E270=$AO$6,1,"")</f>
        <v/>
      </c>
      <c r="AP270" s="81">
        <f>IF(E270=$AP$6,1,"")</f>
        <v/>
      </c>
      <c r="AQ270" s="81">
        <f>IF(E270=$AQ$6,1,"")</f>
        <v/>
      </c>
      <c r="AR270" s="81">
        <f>IF(E270=$AR$6,1,"")</f>
        <v/>
      </c>
      <c r="AS270" s="81" t="n"/>
    </row>
    <row r="271" ht="15.75" customHeight="1" s="80">
      <c r="A271" s="157" t="n"/>
      <c r="B271" s="124" t="n"/>
      <c r="C271" s="125" t="n"/>
      <c r="D271" s="126" t="n"/>
      <c r="E271" s="127" t="n"/>
      <c r="F271" s="128" t="n"/>
      <c r="G271" s="129">
        <f>IF(F271="","",ROUND(F271/60,2))</f>
        <v/>
      </c>
      <c r="H271" s="130" t="n"/>
      <c r="I271" s="131" t="n"/>
      <c r="J271" s="131">
        <f>IF(COUNTIF(B271:E271,"*")=0,"",IF(T271=1,"Invalid Service",IF(AND(V271=1,F271=""),"Add Session Mins",IF(AND(E271&gt;0,H271="",T271=""),"Enter Contract Rate",IF(AND(E271="IEP mtg, prep, rept",F271&gt;0),(G271*H271),IF(AND(E271&gt;0,F271&gt;0,H271&gt;0,I271=""),"Enter Travel",IF(AND(F271&gt;0,I271="Y"),(G271*H271)+$M$10,IF(AND(F271&gt;0,I271="N"),(G271*H271),H271))))))))</f>
        <v/>
      </c>
      <c r="K271" s="132">
        <f>J271</f>
        <v/>
      </c>
      <c r="L271" s="148" t="n"/>
      <c r="M271" s="148" t="n"/>
      <c r="N271" s="148" t="n"/>
      <c r="O271" s="87" t="n"/>
      <c r="P271" s="81" t="n"/>
      <c r="Q271" s="81" t="n"/>
      <c r="R271" s="81" t="n"/>
      <c r="S271" s="81" t="n"/>
      <c r="T271" s="136">
        <f>IF(AND(E271&gt;0,U271=0),1,"")</f>
        <v/>
      </c>
      <c r="U271" s="136">
        <f>SUM(X271:AR271)</f>
        <v/>
      </c>
      <c r="V271" s="136">
        <f>IF(E271=$Q$16,0,SUM(X271:AI271))</f>
        <v/>
      </c>
      <c r="W271" s="136">
        <f>SUM(AK271:AR271)</f>
        <v/>
      </c>
      <c r="X271" s="136">
        <f>IF(E271=$X$6,1,"")</f>
        <v/>
      </c>
      <c r="Y271" s="136">
        <f>IF(E271=$Y$6,1,"")</f>
        <v/>
      </c>
      <c r="Z271" s="136">
        <f>IF(E271=$Z$6,1,"")</f>
        <v/>
      </c>
      <c r="AA271" s="136">
        <f>IF(E271=$AA$6,1,"")</f>
        <v/>
      </c>
      <c r="AB271" s="136">
        <f>IF(E271=$AB$6,1,"")</f>
        <v/>
      </c>
      <c r="AC271" s="136">
        <f>IF(E271=$AC$6,1,"")</f>
        <v/>
      </c>
      <c r="AD271" s="136">
        <f>IF(E271=$AD$6,1,"")</f>
        <v/>
      </c>
      <c r="AE271" s="136">
        <f>IF(E271=$AE$6,1,"")</f>
        <v/>
      </c>
      <c r="AF271" s="136">
        <f>IF(E271=$AF$6,1,"")</f>
        <v/>
      </c>
      <c r="AG271" s="136">
        <f>IF(E271=$AG$6,1,"")</f>
        <v/>
      </c>
      <c r="AH271" s="136">
        <f>IF(E271=$AH$6,1,"")</f>
        <v/>
      </c>
      <c r="AI271" s="136">
        <f>IF(E271=$AI$6,1,"")</f>
        <v/>
      </c>
      <c r="AJ271" s="136">
        <f>IF(E271=$AJ$6,1,"")</f>
        <v/>
      </c>
      <c r="AK271" s="81">
        <f>IF(E271=$AK$6,1,"")</f>
        <v/>
      </c>
      <c r="AL271" s="81">
        <f>IF(E271=$AL$6,1,"")</f>
        <v/>
      </c>
      <c r="AM271" s="81">
        <f>IF(E271=$AM$6,1,"")</f>
        <v/>
      </c>
      <c r="AN271" s="81">
        <f>IF(E271=$AN$6,1,"")</f>
        <v/>
      </c>
      <c r="AO271" s="81">
        <f>IF(E271=$AO$6,1,"")</f>
        <v/>
      </c>
      <c r="AP271" s="81">
        <f>IF(E271=$AP$6,1,"")</f>
        <v/>
      </c>
      <c r="AQ271" s="81">
        <f>IF(E271=$AQ$6,1,"")</f>
        <v/>
      </c>
      <c r="AR271" s="81">
        <f>IF(E271=$AR$6,1,"")</f>
        <v/>
      </c>
      <c r="AS271" s="81" t="n"/>
    </row>
    <row r="272" ht="15.75" customHeight="1" s="80">
      <c r="A272" s="157" t="n"/>
      <c r="B272" s="124" t="n"/>
      <c r="C272" s="125" t="n"/>
      <c r="D272" s="126" t="n"/>
      <c r="E272" s="127" t="n"/>
      <c r="F272" s="128" t="n"/>
      <c r="G272" s="129">
        <f>IF(F272="","",ROUND(F272/60,2))</f>
        <v/>
      </c>
      <c r="H272" s="130" t="n"/>
      <c r="I272" s="131" t="n"/>
      <c r="J272" s="131">
        <f>IF(COUNTIF(B272:E272,"*")=0,"",IF(T272=1,"Invalid Service",IF(AND(V272=1,F272=""),"Add Session Mins",IF(AND(E272&gt;0,H272="",T272=""),"Enter Contract Rate",IF(AND(E272="IEP mtg, prep, rept",F272&gt;0),(G272*H272),IF(AND(E272&gt;0,F272&gt;0,H272&gt;0,I272=""),"Enter Travel",IF(AND(F272&gt;0,I272="Y"),(G272*H272)+$M$10,IF(AND(F272&gt;0,I272="N"),(G272*H272),H272))))))))</f>
        <v/>
      </c>
      <c r="K272" s="132">
        <f>J272</f>
        <v/>
      </c>
      <c r="L272" s="148" t="n"/>
      <c r="M272" s="148" t="n"/>
      <c r="N272" s="148" t="n"/>
      <c r="O272" s="87" t="n"/>
      <c r="P272" s="81" t="n"/>
      <c r="Q272" s="81" t="n"/>
      <c r="R272" s="81" t="n"/>
      <c r="S272" s="81" t="n"/>
      <c r="T272" s="136">
        <f>IF(AND(E272&gt;0,U272=0),1,"")</f>
        <v/>
      </c>
      <c r="U272" s="136">
        <f>SUM(X272:AR272)</f>
        <v/>
      </c>
      <c r="V272" s="136">
        <f>IF(E272=$Q$16,0,SUM(X272:AI272))</f>
        <v/>
      </c>
      <c r="W272" s="136">
        <f>SUM(AK272:AR272)</f>
        <v/>
      </c>
      <c r="X272" s="136">
        <f>IF(E272=$X$6,1,"")</f>
        <v/>
      </c>
      <c r="Y272" s="136">
        <f>IF(E272=$Y$6,1,"")</f>
        <v/>
      </c>
      <c r="Z272" s="136">
        <f>IF(E272=$Z$6,1,"")</f>
        <v/>
      </c>
      <c r="AA272" s="136">
        <f>IF(E272=$AA$6,1,"")</f>
        <v/>
      </c>
      <c r="AB272" s="136">
        <f>IF(E272=$AB$6,1,"")</f>
        <v/>
      </c>
      <c r="AC272" s="136">
        <f>IF(E272=$AC$6,1,"")</f>
        <v/>
      </c>
      <c r="AD272" s="136">
        <f>IF(E272=$AD$6,1,"")</f>
        <v/>
      </c>
      <c r="AE272" s="136">
        <f>IF(E272=$AE$6,1,"")</f>
        <v/>
      </c>
      <c r="AF272" s="136">
        <f>IF(E272=$AF$6,1,"")</f>
        <v/>
      </c>
      <c r="AG272" s="136">
        <f>IF(E272=$AG$6,1,"")</f>
        <v/>
      </c>
      <c r="AH272" s="136">
        <f>IF(E272=$AH$6,1,"")</f>
        <v/>
      </c>
      <c r="AI272" s="136">
        <f>IF(E272=$AI$6,1,"")</f>
        <v/>
      </c>
      <c r="AJ272" s="136">
        <f>IF(E272=$AJ$6,1,"")</f>
        <v/>
      </c>
      <c r="AK272" s="81">
        <f>IF(E272=$AK$6,1,"")</f>
        <v/>
      </c>
      <c r="AL272" s="81">
        <f>IF(E272=$AL$6,1,"")</f>
        <v/>
      </c>
      <c r="AM272" s="81">
        <f>IF(E272=$AM$6,1,"")</f>
        <v/>
      </c>
      <c r="AN272" s="81">
        <f>IF(E272=$AN$6,1,"")</f>
        <v/>
      </c>
      <c r="AO272" s="81">
        <f>IF(E272=$AO$6,1,"")</f>
        <v/>
      </c>
      <c r="AP272" s="81">
        <f>IF(E272=$AP$6,1,"")</f>
        <v/>
      </c>
      <c r="AQ272" s="81">
        <f>IF(E272=$AQ$6,1,"")</f>
        <v/>
      </c>
      <c r="AR272" s="81">
        <f>IF(E272=$AR$6,1,"")</f>
        <v/>
      </c>
      <c r="AS272" s="81" t="n"/>
    </row>
    <row r="273" ht="15.75" customHeight="1" s="80">
      <c r="A273" s="157" t="n"/>
      <c r="B273" s="124" t="n"/>
      <c r="C273" s="125" t="n"/>
      <c r="D273" s="126" t="n"/>
      <c r="E273" s="127" t="n"/>
      <c r="F273" s="128" t="n"/>
      <c r="G273" s="129">
        <f>IF(F273="","",ROUND(F273/60,2))</f>
        <v/>
      </c>
      <c r="H273" s="130" t="n"/>
      <c r="I273" s="131" t="n"/>
      <c r="J273" s="131">
        <f>IF(COUNTIF(B273:E273,"*")=0,"",IF(T273=1,"Invalid Service",IF(AND(V273=1,F273=""),"Add Session Mins",IF(AND(E273&gt;0,H273="",T273=""),"Enter Contract Rate",IF(AND(E273="IEP mtg, prep, rept",F273&gt;0),(G273*H273),IF(AND(E273&gt;0,F273&gt;0,H273&gt;0,I273=""),"Enter Travel",IF(AND(F273&gt;0,I273="Y"),(G273*H273)+$M$10,IF(AND(F273&gt;0,I273="N"),(G273*H273),H273))))))))</f>
        <v/>
      </c>
      <c r="K273" s="132">
        <f>J273</f>
        <v/>
      </c>
      <c r="L273" s="148" t="n"/>
      <c r="M273" s="148" t="n"/>
      <c r="N273" s="148" t="n"/>
      <c r="O273" s="87" t="n"/>
      <c r="P273" s="81" t="n"/>
      <c r="Q273" s="81" t="n"/>
      <c r="R273" s="81" t="n"/>
      <c r="S273" s="81" t="n"/>
      <c r="T273" s="136">
        <f>IF(AND(E273&gt;0,U273=0),1,"")</f>
        <v/>
      </c>
      <c r="U273" s="136">
        <f>SUM(X273:AR273)</f>
        <v/>
      </c>
      <c r="V273" s="136">
        <f>IF(E273=$Q$16,0,SUM(X273:AI273))</f>
        <v/>
      </c>
      <c r="W273" s="136">
        <f>SUM(AK273:AR273)</f>
        <v/>
      </c>
      <c r="X273" s="136">
        <f>IF(E273=$X$6,1,"")</f>
        <v/>
      </c>
      <c r="Y273" s="136">
        <f>IF(E273=$Y$6,1,"")</f>
        <v/>
      </c>
      <c r="Z273" s="136">
        <f>IF(E273=$Z$6,1,"")</f>
        <v/>
      </c>
      <c r="AA273" s="136">
        <f>IF(E273=$AA$6,1,"")</f>
        <v/>
      </c>
      <c r="AB273" s="136">
        <f>IF(E273=$AB$6,1,"")</f>
        <v/>
      </c>
      <c r="AC273" s="136">
        <f>IF(E273=$AC$6,1,"")</f>
        <v/>
      </c>
      <c r="AD273" s="136">
        <f>IF(E273=$AD$6,1,"")</f>
        <v/>
      </c>
      <c r="AE273" s="136">
        <f>IF(E273=$AE$6,1,"")</f>
        <v/>
      </c>
      <c r="AF273" s="136">
        <f>IF(E273=$AF$6,1,"")</f>
        <v/>
      </c>
      <c r="AG273" s="136">
        <f>IF(E273=$AG$6,1,"")</f>
        <v/>
      </c>
      <c r="AH273" s="136">
        <f>IF(E273=$AH$6,1,"")</f>
        <v/>
      </c>
      <c r="AI273" s="136">
        <f>IF(E273=$AI$6,1,"")</f>
        <v/>
      </c>
      <c r="AJ273" s="136">
        <f>IF(E273=$AJ$6,1,"")</f>
        <v/>
      </c>
      <c r="AK273" s="81">
        <f>IF(E273=$AK$6,1,"")</f>
        <v/>
      </c>
      <c r="AL273" s="81">
        <f>IF(E273=$AL$6,1,"")</f>
        <v/>
      </c>
      <c r="AM273" s="81">
        <f>IF(E273=$AM$6,1,"")</f>
        <v/>
      </c>
      <c r="AN273" s="81">
        <f>IF(E273=$AN$6,1,"")</f>
        <v/>
      </c>
      <c r="AO273" s="81">
        <f>IF(E273=$AO$6,1,"")</f>
        <v/>
      </c>
      <c r="AP273" s="81">
        <f>IF(E273=$AP$6,1,"")</f>
        <v/>
      </c>
      <c r="AQ273" s="81">
        <f>IF(E273=$AQ$6,1,"")</f>
        <v/>
      </c>
      <c r="AR273" s="81">
        <f>IF(E273=$AR$6,1,"")</f>
        <v/>
      </c>
      <c r="AS273" s="81" t="n"/>
    </row>
    <row r="274" ht="15.75" customHeight="1" s="80">
      <c r="A274" s="157" t="n"/>
      <c r="B274" s="124" t="n"/>
      <c r="C274" s="125" t="n"/>
      <c r="D274" s="126" t="n"/>
      <c r="E274" s="127" t="n"/>
      <c r="F274" s="128" t="n"/>
      <c r="G274" s="129">
        <f>IF(F274="","",ROUND(F274/60,2))</f>
        <v/>
      </c>
      <c r="H274" s="130" t="n"/>
      <c r="I274" s="131" t="n"/>
      <c r="J274" s="131">
        <f>IF(COUNTIF(B274:E274,"*")=0,"",IF(T274=1,"Invalid Service",IF(AND(V274=1,F274=""),"Add Session Mins",IF(AND(E274&gt;0,H274="",T274=""),"Enter Contract Rate",IF(AND(E274="IEP mtg, prep, rept",F274&gt;0),(G274*H274),IF(AND(E274&gt;0,F274&gt;0,H274&gt;0,I274=""),"Enter Travel",IF(AND(F274&gt;0,I274="Y"),(G274*H274)+$M$10,IF(AND(F274&gt;0,I274="N"),(G274*H274),H274))))))))</f>
        <v/>
      </c>
      <c r="K274" s="132">
        <f>J274</f>
        <v/>
      </c>
      <c r="L274" s="148" t="n"/>
      <c r="M274" s="148" t="n"/>
      <c r="N274" s="148" t="n"/>
      <c r="O274" s="87" t="n"/>
      <c r="P274" s="81" t="n"/>
      <c r="Q274" s="81" t="n"/>
      <c r="R274" s="81" t="n"/>
      <c r="S274" s="81" t="n"/>
      <c r="T274" s="136">
        <f>IF(AND(E274&gt;0,U274=0),1,"")</f>
        <v/>
      </c>
      <c r="U274" s="136">
        <f>SUM(X274:AR274)</f>
        <v/>
      </c>
      <c r="V274" s="136">
        <f>IF(E274=$Q$16,0,SUM(X274:AI274))</f>
        <v/>
      </c>
      <c r="W274" s="136">
        <f>SUM(AK274:AR274)</f>
        <v/>
      </c>
      <c r="X274" s="136">
        <f>IF(E274=$X$6,1,"")</f>
        <v/>
      </c>
      <c r="Y274" s="136">
        <f>IF(E274=$Y$6,1,"")</f>
        <v/>
      </c>
      <c r="Z274" s="136">
        <f>IF(E274=$Z$6,1,"")</f>
        <v/>
      </c>
      <c r="AA274" s="136">
        <f>IF(E274=$AA$6,1,"")</f>
        <v/>
      </c>
      <c r="AB274" s="136">
        <f>IF(E274=$AB$6,1,"")</f>
        <v/>
      </c>
      <c r="AC274" s="136">
        <f>IF(E274=$AC$6,1,"")</f>
        <v/>
      </c>
      <c r="AD274" s="136">
        <f>IF(E274=$AD$6,1,"")</f>
        <v/>
      </c>
      <c r="AE274" s="136">
        <f>IF(E274=$AE$6,1,"")</f>
        <v/>
      </c>
      <c r="AF274" s="136">
        <f>IF(E274=$AF$6,1,"")</f>
        <v/>
      </c>
      <c r="AG274" s="136">
        <f>IF(E274=$AG$6,1,"")</f>
        <v/>
      </c>
      <c r="AH274" s="136">
        <f>IF(E274=$AH$6,1,"")</f>
        <v/>
      </c>
      <c r="AI274" s="136">
        <f>IF(E274=$AI$6,1,"")</f>
        <v/>
      </c>
      <c r="AJ274" s="136">
        <f>IF(E274=$AJ$6,1,"")</f>
        <v/>
      </c>
      <c r="AK274" s="81">
        <f>IF(E274=$AK$6,1,"")</f>
        <v/>
      </c>
      <c r="AL274" s="81">
        <f>IF(E274=$AL$6,1,"")</f>
        <v/>
      </c>
      <c r="AM274" s="81">
        <f>IF(E274=$AM$6,1,"")</f>
        <v/>
      </c>
      <c r="AN274" s="81">
        <f>IF(E274=$AN$6,1,"")</f>
        <v/>
      </c>
      <c r="AO274" s="81">
        <f>IF(E274=$AO$6,1,"")</f>
        <v/>
      </c>
      <c r="AP274" s="81">
        <f>IF(E274=$AP$6,1,"")</f>
        <v/>
      </c>
      <c r="AQ274" s="81">
        <f>IF(E274=$AQ$6,1,"")</f>
        <v/>
      </c>
      <c r="AR274" s="81">
        <f>IF(E274=$AR$6,1,"")</f>
        <v/>
      </c>
      <c r="AS274" s="81" t="n"/>
    </row>
    <row r="275" ht="15.75" customHeight="1" s="80">
      <c r="A275" s="157" t="n"/>
      <c r="B275" s="124" t="n"/>
      <c r="C275" s="125" t="n"/>
      <c r="D275" s="126" t="n"/>
      <c r="E275" s="127" t="n"/>
      <c r="F275" s="128" t="n"/>
      <c r="G275" s="129">
        <f>IF(F275="","",ROUND(F275/60,2))</f>
        <v/>
      </c>
      <c r="H275" s="130" t="n"/>
      <c r="I275" s="131" t="n"/>
      <c r="J275" s="131">
        <f>IF(COUNTIF(B275:E275,"*")=0,"",IF(T275=1,"Invalid Service",IF(AND(V275=1,F275=""),"Add Session Mins",IF(AND(E275&gt;0,H275="",T275=""),"Enter Contract Rate",IF(AND(E275="IEP mtg, prep, rept",F275&gt;0),(G275*H275),IF(AND(E275&gt;0,F275&gt;0,H275&gt;0,I275=""),"Enter Travel",IF(AND(F275&gt;0,I275="Y"),(G275*H275)+$M$10,IF(AND(F275&gt;0,I275="N"),(G275*H275),H275))))))))</f>
        <v/>
      </c>
      <c r="K275" s="132">
        <f>J275</f>
        <v/>
      </c>
      <c r="L275" s="148" t="n"/>
      <c r="M275" s="148" t="n"/>
      <c r="N275" s="148" t="n"/>
      <c r="O275" s="87" t="n"/>
      <c r="P275" s="81" t="n"/>
      <c r="Q275" s="81" t="n"/>
      <c r="R275" s="81" t="n"/>
      <c r="S275" s="81" t="n"/>
      <c r="T275" s="136">
        <f>IF(AND(E275&gt;0,U275=0),1,"")</f>
        <v/>
      </c>
      <c r="U275" s="136">
        <f>SUM(X275:AR275)</f>
        <v/>
      </c>
      <c r="V275" s="136">
        <f>IF(E275=$Q$16,0,SUM(X275:AI275))</f>
        <v/>
      </c>
      <c r="W275" s="136">
        <f>SUM(AK275:AR275)</f>
        <v/>
      </c>
      <c r="X275" s="136">
        <f>IF(E275=$X$6,1,"")</f>
        <v/>
      </c>
      <c r="Y275" s="136">
        <f>IF(E275=$Y$6,1,"")</f>
        <v/>
      </c>
      <c r="Z275" s="136">
        <f>IF(E275=$Z$6,1,"")</f>
        <v/>
      </c>
      <c r="AA275" s="136">
        <f>IF(E275=$AA$6,1,"")</f>
        <v/>
      </c>
      <c r="AB275" s="136">
        <f>IF(E275=$AB$6,1,"")</f>
        <v/>
      </c>
      <c r="AC275" s="136">
        <f>IF(E275=$AC$6,1,"")</f>
        <v/>
      </c>
      <c r="AD275" s="136">
        <f>IF(E275=$AD$6,1,"")</f>
        <v/>
      </c>
      <c r="AE275" s="136">
        <f>IF(E275=$AE$6,1,"")</f>
        <v/>
      </c>
      <c r="AF275" s="136">
        <f>IF(E275=$AF$6,1,"")</f>
        <v/>
      </c>
      <c r="AG275" s="136">
        <f>IF(E275=$AG$6,1,"")</f>
        <v/>
      </c>
      <c r="AH275" s="136">
        <f>IF(E275=$AH$6,1,"")</f>
        <v/>
      </c>
      <c r="AI275" s="136">
        <f>IF(E275=$AI$6,1,"")</f>
        <v/>
      </c>
      <c r="AJ275" s="136">
        <f>IF(E275=$AJ$6,1,"")</f>
        <v/>
      </c>
      <c r="AK275" s="81">
        <f>IF(E275=$AK$6,1,"")</f>
        <v/>
      </c>
      <c r="AL275" s="81">
        <f>IF(E275=$AL$6,1,"")</f>
        <v/>
      </c>
      <c r="AM275" s="81">
        <f>IF(E275=$AM$6,1,"")</f>
        <v/>
      </c>
      <c r="AN275" s="81">
        <f>IF(E275=$AN$6,1,"")</f>
        <v/>
      </c>
      <c r="AO275" s="81">
        <f>IF(E275=$AO$6,1,"")</f>
        <v/>
      </c>
      <c r="AP275" s="81">
        <f>IF(E275=$AP$6,1,"")</f>
        <v/>
      </c>
      <c r="AQ275" s="81">
        <f>IF(E275=$AQ$6,1,"")</f>
        <v/>
      </c>
      <c r="AR275" s="81">
        <f>IF(E275=$AR$6,1,"")</f>
        <v/>
      </c>
      <c r="AS275" s="81" t="n"/>
    </row>
    <row r="276" ht="15.75" customHeight="1" s="80">
      <c r="A276" s="157" t="n"/>
      <c r="B276" s="124" t="n"/>
      <c r="C276" s="125" t="n"/>
      <c r="D276" s="126" t="n"/>
      <c r="E276" s="127" t="n"/>
      <c r="F276" s="128" t="n"/>
      <c r="G276" s="129">
        <f>IF(F276="","",ROUND(F276/60,2))</f>
        <v/>
      </c>
      <c r="H276" s="130" t="n"/>
      <c r="I276" s="131" t="n"/>
      <c r="J276" s="131">
        <f>IF(COUNTIF(B276:E276,"*")=0,"",IF(T276=1,"Invalid Service",IF(AND(V276=1,F276=""),"Add Session Mins",IF(AND(E276&gt;0,H276="",T276=""),"Enter Contract Rate",IF(AND(E276="IEP mtg, prep, rept",F276&gt;0),(G276*H276),IF(AND(E276&gt;0,F276&gt;0,H276&gt;0,I276=""),"Enter Travel",IF(AND(F276&gt;0,I276="Y"),(G276*H276)+$M$10,IF(AND(F276&gt;0,I276="N"),(G276*H276),H276))))))))</f>
        <v/>
      </c>
      <c r="K276" s="132">
        <f>J276</f>
        <v/>
      </c>
      <c r="L276" s="148" t="n"/>
      <c r="M276" s="148" t="n"/>
      <c r="N276" s="148" t="n"/>
      <c r="O276" s="87" t="n"/>
      <c r="P276" s="81" t="n"/>
      <c r="Q276" s="81" t="n"/>
      <c r="R276" s="81" t="n"/>
      <c r="S276" s="81" t="n"/>
      <c r="T276" s="136">
        <f>IF(AND(E276&gt;0,U276=0),1,"")</f>
        <v/>
      </c>
      <c r="U276" s="136">
        <f>SUM(X276:AR276)</f>
        <v/>
      </c>
      <c r="V276" s="136">
        <f>IF(E276=$Q$16,0,SUM(X276:AI276))</f>
        <v/>
      </c>
      <c r="W276" s="136">
        <f>SUM(AK276:AR276)</f>
        <v/>
      </c>
      <c r="X276" s="136">
        <f>IF(E276=$X$6,1,"")</f>
        <v/>
      </c>
      <c r="Y276" s="136">
        <f>IF(E276=$Y$6,1,"")</f>
        <v/>
      </c>
      <c r="Z276" s="136">
        <f>IF(E276=$Z$6,1,"")</f>
        <v/>
      </c>
      <c r="AA276" s="136">
        <f>IF(E276=$AA$6,1,"")</f>
        <v/>
      </c>
      <c r="AB276" s="136">
        <f>IF(E276=$AB$6,1,"")</f>
        <v/>
      </c>
      <c r="AC276" s="136">
        <f>IF(E276=$AC$6,1,"")</f>
        <v/>
      </c>
      <c r="AD276" s="136">
        <f>IF(E276=$AD$6,1,"")</f>
        <v/>
      </c>
      <c r="AE276" s="136">
        <f>IF(E276=$AE$6,1,"")</f>
        <v/>
      </c>
      <c r="AF276" s="136">
        <f>IF(E276=$AF$6,1,"")</f>
        <v/>
      </c>
      <c r="AG276" s="136">
        <f>IF(E276=$AG$6,1,"")</f>
        <v/>
      </c>
      <c r="AH276" s="136">
        <f>IF(E276=$AH$6,1,"")</f>
        <v/>
      </c>
      <c r="AI276" s="136">
        <f>IF(E276=$AI$6,1,"")</f>
        <v/>
      </c>
      <c r="AJ276" s="136">
        <f>IF(E276=$AJ$6,1,"")</f>
        <v/>
      </c>
      <c r="AK276" s="81">
        <f>IF(E276=$AK$6,1,"")</f>
        <v/>
      </c>
      <c r="AL276" s="81">
        <f>IF(E276=$AL$6,1,"")</f>
        <v/>
      </c>
      <c r="AM276" s="81">
        <f>IF(E276=$AM$6,1,"")</f>
        <v/>
      </c>
      <c r="AN276" s="81">
        <f>IF(E276=$AN$6,1,"")</f>
        <v/>
      </c>
      <c r="AO276" s="81">
        <f>IF(E276=$AO$6,1,"")</f>
        <v/>
      </c>
      <c r="AP276" s="81">
        <f>IF(E276=$AP$6,1,"")</f>
        <v/>
      </c>
      <c r="AQ276" s="81">
        <f>IF(E276=$AQ$6,1,"")</f>
        <v/>
      </c>
      <c r="AR276" s="81">
        <f>IF(E276=$AR$6,1,"")</f>
        <v/>
      </c>
      <c r="AS276" s="81" t="n"/>
    </row>
    <row r="277" ht="15.75" customHeight="1" s="80">
      <c r="A277" s="157" t="n"/>
      <c r="B277" s="124" t="n"/>
      <c r="C277" s="125" t="n"/>
      <c r="D277" s="126" t="n"/>
      <c r="E277" s="127" t="n"/>
      <c r="F277" s="128" t="n"/>
      <c r="G277" s="129">
        <f>IF(F277="","",ROUND(F277/60,2))</f>
        <v/>
      </c>
      <c r="H277" s="130" t="n"/>
      <c r="I277" s="131" t="n"/>
      <c r="J277" s="131">
        <f>IF(COUNTIF(B277:E277,"*")=0,"",IF(T277=1,"Invalid Service",IF(AND(V277=1,F277=""),"Add Session Mins",IF(AND(E277&gt;0,H277="",T277=""),"Enter Contract Rate",IF(AND(E277="IEP mtg, prep, rept",F277&gt;0),(G277*H277),IF(AND(E277&gt;0,F277&gt;0,H277&gt;0,I277=""),"Enter Travel",IF(AND(F277&gt;0,I277="Y"),(G277*H277)+$M$10,IF(AND(F277&gt;0,I277="N"),(G277*H277),H277))))))))</f>
        <v/>
      </c>
      <c r="K277" s="132">
        <f>J277</f>
        <v/>
      </c>
      <c r="L277" s="148" t="n"/>
      <c r="M277" s="148" t="n"/>
      <c r="N277" s="148" t="n"/>
      <c r="O277" s="87" t="n"/>
      <c r="P277" s="81" t="n"/>
      <c r="Q277" s="81" t="n"/>
      <c r="R277" s="81" t="n"/>
      <c r="S277" s="81" t="n"/>
      <c r="T277" s="136">
        <f>IF(AND(E277&gt;0,U277=0),1,"")</f>
        <v/>
      </c>
      <c r="U277" s="136">
        <f>SUM(X277:AR277)</f>
        <v/>
      </c>
      <c r="V277" s="136">
        <f>IF(E277=$Q$16,0,SUM(X277:AI277))</f>
        <v/>
      </c>
      <c r="W277" s="136">
        <f>SUM(AK277:AR277)</f>
        <v/>
      </c>
      <c r="X277" s="136">
        <f>IF(E277=$X$6,1,"")</f>
        <v/>
      </c>
      <c r="Y277" s="136">
        <f>IF(E277=$Y$6,1,"")</f>
        <v/>
      </c>
      <c r="Z277" s="136">
        <f>IF(E277=$Z$6,1,"")</f>
        <v/>
      </c>
      <c r="AA277" s="136">
        <f>IF(E277=$AA$6,1,"")</f>
        <v/>
      </c>
      <c r="AB277" s="136">
        <f>IF(E277=$AB$6,1,"")</f>
        <v/>
      </c>
      <c r="AC277" s="136">
        <f>IF(E277=$AC$6,1,"")</f>
        <v/>
      </c>
      <c r="AD277" s="136">
        <f>IF(E277=$AD$6,1,"")</f>
        <v/>
      </c>
      <c r="AE277" s="136">
        <f>IF(E277=$AE$6,1,"")</f>
        <v/>
      </c>
      <c r="AF277" s="136">
        <f>IF(E277=$AF$6,1,"")</f>
        <v/>
      </c>
      <c r="AG277" s="136">
        <f>IF(E277=$AG$6,1,"")</f>
        <v/>
      </c>
      <c r="AH277" s="136">
        <f>IF(E277=$AH$6,1,"")</f>
        <v/>
      </c>
      <c r="AI277" s="136">
        <f>IF(E277=$AI$6,1,"")</f>
        <v/>
      </c>
      <c r="AJ277" s="136">
        <f>IF(E277=$AJ$6,1,"")</f>
        <v/>
      </c>
      <c r="AK277" s="81">
        <f>IF(E277=$AK$6,1,"")</f>
        <v/>
      </c>
      <c r="AL277" s="81">
        <f>IF(E277=$AL$6,1,"")</f>
        <v/>
      </c>
      <c r="AM277" s="81">
        <f>IF(E277=$AM$6,1,"")</f>
        <v/>
      </c>
      <c r="AN277" s="81">
        <f>IF(E277=$AN$6,1,"")</f>
        <v/>
      </c>
      <c r="AO277" s="81">
        <f>IF(E277=$AO$6,1,"")</f>
        <v/>
      </c>
      <c r="AP277" s="81">
        <f>IF(E277=$AP$6,1,"")</f>
        <v/>
      </c>
      <c r="AQ277" s="81">
        <f>IF(E277=$AQ$6,1,"")</f>
        <v/>
      </c>
      <c r="AR277" s="81">
        <f>IF(E277=$AR$6,1,"")</f>
        <v/>
      </c>
      <c r="AS277" s="81" t="n"/>
    </row>
    <row r="278" ht="15.75" customHeight="1" s="80">
      <c r="A278" s="157" t="n"/>
      <c r="B278" s="124" t="n"/>
      <c r="C278" s="125" t="n"/>
      <c r="D278" s="126" t="n"/>
      <c r="E278" s="127" t="n"/>
      <c r="F278" s="128" t="n"/>
      <c r="G278" s="129">
        <f>IF(F278="","",ROUND(F278/60,2))</f>
        <v/>
      </c>
      <c r="H278" s="130" t="n"/>
      <c r="I278" s="131" t="n"/>
      <c r="J278" s="131">
        <f>IF(COUNTIF(B278:E278,"*")=0,"",IF(T278=1,"Invalid Service",IF(AND(V278=1,F278=""),"Add Session Mins",IF(AND(E278&gt;0,H278="",T278=""),"Enter Contract Rate",IF(AND(E278="IEP mtg, prep, rept",F278&gt;0),(G278*H278),IF(AND(E278&gt;0,F278&gt;0,H278&gt;0,I278=""),"Enter Travel",IF(AND(F278&gt;0,I278="Y"),(G278*H278)+$M$10,IF(AND(F278&gt;0,I278="N"),(G278*H278),H278))))))))</f>
        <v/>
      </c>
      <c r="K278" s="132">
        <f>J278</f>
        <v/>
      </c>
      <c r="L278" s="148" t="n"/>
      <c r="M278" s="148" t="n"/>
      <c r="N278" s="148" t="n"/>
      <c r="O278" s="87" t="n"/>
      <c r="P278" s="81" t="n"/>
      <c r="Q278" s="81" t="n"/>
      <c r="R278" s="81" t="n"/>
      <c r="S278" s="81" t="n"/>
      <c r="T278" s="136">
        <f>IF(AND(E278&gt;0,U278=0),1,"")</f>
        <v/>
      </c>
      <c r="U278" s="136">
        <f>SUM(X278:AR278)</f>
        <v/>
      </c>
      <c r="V278" s="136">
        <f>IF(E278=$Q$16,0,SUM(X278:AI278))</f>
        <v/>
      </c>
      <c r="W278" s="136">
        <f>SUM(AK278:AR278)</f>
        <v/>
      </c>
      <c r="X278" s="136">
        <f>IF(E278=$X$6,1,"")</f>
        <v/>
      </c>
      <c r="Y278" s="136">
        <f>IF(E278=$Y$6,1,"")</f>
        <v/>
      </c>
      <c r="Z278" s="136">
        <f>IF(E278=$Z$6,1,"")</f>
        <v/>
      </c>
      <c r="AA278" s="136">
        <f>IF(E278=$AA$6,1,"")</f>
        <v/>
      </c>
      <c r="AB278" s="136">
        <f>IF(E278=$AB$6,1,"")</f>
        <v/>
      </c>
      <c r="AC278" s="136">
        <f>IF(E278=$AC$6,1,"")</f>
        <v/>
      </c>
      <c r="AD278" s="136">
        <f>IF(E278=$AD$6,1,"")</f>
        <v/>
      </c>
      <c r="AE278" s="136">
        <f>IF(E278=$AE$6,1,"")</f>
        <v/>
      </c>
      <c r="AF278" s="136">
        <f>IF(E278=$AF$6,1,"")</f>
        <v/>
      </c>
      <c r="AG278" s="136">
        <f>IF(E278=$AG$6,1,"")</f>
        <v/>
      </c>
      <c r="AH278" s="136">
        <f>IF(E278=$AH$6,1,"")</f>
        <v/>
      </c>
      <c r="AI278" s="136">
        <f>IF(E278=$AI$6,1,"")</f>
        <v/>
      </c>
      <c r="AJ278" s="136">
        <f>IF(E278=$AJ$6,1,"")</f>
        <v/>
      </c>
      <c r="AK278" s="81">
        <f>IF(E278=$AK$6,1,"")</f>
        <v/>
      </c>
      <c r="AL278" s="81">
        <f>IF(E278=$AL$6,1,"")</f>
        <v/>
      </c>
      <c r="AM278" s="81">
        <f>IF(E278=$AM$6,1,"")</f>
        <v/>
      </c>
      <c r="AN278" s="81">
        <f>IF(E278=$AN$6,1,"")</f>
        <v/>
      </c>
      <c r="AO278" s="81">
        <f>IF(E278=$AO$6,1,"")</f>
        <v/>
      </c>
      <c r="AP278" s="81">
        <f>IF(E278=$AP$6,1,"")</f>
        <v/>
      </c>
      <c r="AQ278" s="81">
        <f>IF(E278=$AQ$6,1,"")</f>
        <v/>
      </c>
      <c r="AR278" s="81">
        <f>IF(E278=$AR$6,1,"")</f>
        <v/>
      </c>
      <c r="AS278" s="81" t="n"/>
    </row>
    <row r="279" ht="15.75" customHeight="1" s="80">
      <c r="A279" s="157" t="n"/>
      <c r="B279" s="124" t="n"/>
      <c r="C279" s="125" t="n"/>
      <c r="D279" s="126" t="n"/>
      <c r="E279" s="127" t="n"/>
      <c r="F279" s="128" t="n"/>
      <c r="G279" s="129">
        <f>IF(F279="","",ROUND(F279/60,2))</f>
        <v/>
      </c>
      <c r="H279" s="130" t="n"/>
      <c r="I279" s="131" t="n"/>
      <c r="J279" s="131">
        <f>IF(COUNTIF(B279:E279,"*")=0,"",IF(T279=1,"Invalid Service",IF(AND(V279=1,F279=""),"Add Session Mins",IF(AND(E279&gt;0,H279="",T279=""),"Enter Contract Rate",IF(AND(E279="IEP mtg, prep, rept",F279&gt;0),(G279*H279),IF(AND(E279&gt;0,F279&gt;0,H279&gt;0,I279=""),"Enter Travel",IF(AND(F279&gt;0,I279="Y"),(G279*H279)+$M$10,IF(AND(F279&gt;0,I279="N"),(G279*H279),H279))))))))</f>
        <v/>
      </c>
      <c r="K279" s="132">
        <f>J279</f>
        <v/>
      </c>
      <c r="L279" s="148" t="n"/>
      <c r="M279" s="148" t="n"/>
      <c r="N279" s="148" t="n"/>
      <c r="O279" s="87" t="n"/>
      <c r="P279" s="81" t="n"/>
      <c r="Q279" s="81" t="n"/>
      <c r="R279" s="81" t="n"/>
      <c r="S279" s="81" t="n"/>
      <c r="T279" s="136">
        <f>IF(AND(E279&gt;0,U279=0),1,"")</f>
        <v/>
      </c>
      <c r="U279" s="136">
        <f>SUM(X279:AR279)</f>
        <v/>
      </c>
      <c r="V279" s="136">
        <f>IF(E279=$Q$16,0,SUM(X279:AI279))</f>
        <v/>
      </c>
      <c r="W279" s="136">
        <f>SUM(AK279:AR279)</f>
        <v/>
      </c>
      <c r="X279" s="136">
        <f>IF(E279=$X$6,1,"")</f>
        <v/>
      </c>
      <c r="Y279" s="136">
        <f>IF(E279=$Y$6,1,"")</f>
        <v/>
      </c>
      <c r="Z279" s="136">
        <f>IF(E279=$Z$6,1,"")</f>
        <v/>
      </c>
      <c r="AA279" s="136">
        <f>IF(E279=$AA$6,1,"")</f>
        <v/>
      </c>
      <c r="AB279" s="136">
        <f>IF(E279=$AB$6,1,"")</f>
        <v/>
      </c>
      <c r="AC279" s="136">
        <f>IF(E279=$AC$6,1,"")</f>
        <v/>
      </c>
      <c r="AD279" s="136">
        <f>IF(E279=$AD$6,1,"")</f>
        <v/>
      </c>
      <c r="AE279" s="136">
        <f>IF(E279=$AE$6,1,"")</f>
        <v/>
      </c>
      <c r="AF279" s="136">
        <f>IF(E279=$AF$6,1,"")</f>
        <v/>
      </c>
      <c r="AG279" s="136">
        <f>IF(E279=$AG$6,1,"")</f>
        <v/>
      </c>
      <c r="AH279" s="136">
        <f>IF(E279=$AH$6,1,"")</f>
        <v/>
      </c>
      <c r="AI279" s="136">
        <f>IF(E279=$AI$6,1,"")</f>
        <v/>
      </c>
      <c r="AJ279" s="136">
        <f>IF(E279=$AJ$6,1,"")</f>
        <v/>
      </c>
      <c r="AK279" s="81">
        <f>IF(E279=$AK$6,1,"")</f>
        <v/>
      </c>
      <c r="AL279" s="81">
        <f>IF(E279=$AL$6,1,"")</f>
        <v/>
      </c>
      <c r="AM279" s="81">
        <f>IF(E279=$AM$6,1,"")</f>
        <v/>
      </c>
      <c r="AN279" s="81">
        <f>IF(E279=$AN$6,1,"")</f>
        <v/>
      </c>
      <c r="AO279" s="81">
        <f>IF(E279=$AO$6,1,"")</f>
        <v/>
      </c>
      <c r="AP279" s="81">
        <f>IF(E279=$AP$6,1,"")</f>
        <v/>
      </c>
      <c r="AQ279" s="81">
        <f>IF(E279=$AQ$6,1,"")</f>
        <v/>
      </c>
      <c r="AR279" s="81">
        <f>IF(E279=$AR$6,1,"")</f>
        <v/>
      </c>
      <c r="AS279" s="81" t="n"/>
    </row>
    <row r="280" ht="15.75" customHeight="1" s="80">
      <c r="A280" s="157" t="n"/>
      <c r="B280" s="124" t="n"/>
      <c r="C280" s="125" t="n"/>
      <c r="D280" s="126" t="n"/>
      <c r="E280" s="127" t="n"/>
      <c r="F280" s="128" t="n"/>
      <c r="G280" s="129">
        <f>IF(F280="","",ROUND(F280/60,2))</f>
        <v/>
      </c>
      <c r="H280" s="130" t="n"/>
      <c r="I280" s="131" t="n"/>
      <c r="J280" s="131">
        <f>IF(COUNTIF(B280:E280,"*")=0,"",IF(T280=1,"Invalid Service",IF(AND(V280=1,F280=""),"Add Session Mins",IF(AND(E280&gt;0,H280="",T280=""),"Enter Contract Rate",IF(AND(E280="IEP mtg, prep, rept",F280&gt;0),(G280*H280),IF(AND(E280&gt;0,F280&gt;0,H280&gt;0,I280=""),"Enter Travel",IF(AND(F280&gt;0,I280="Y"),(G280*H280)+$M$10,IF(AND(F280&gt;0,I280="N"),(G280*H280),H280))))))))</f>
        <v/>
      </c>
      <c r="K280" s="132">
        <f>J280</f>
        <v/>
      </c>
      <c r="L280" s="148" t="n"/>
      <c r="M280" s="148" t="n"/>
      <c r="N280" s="148" t="n"/>
      <c r="O280" s="87" t="n"/>
      <c r="P280" s="81" t="n"/>
      <c r="Q280" s="81" t="n"/>
      <c r="R280" s="81" t="n"/>
      <c r="S280" s="81" t="n"/>
      <c r="T280" s="136">
        <f>IF(AND(E280&gt;0,U280=0),1,"")</f>
        <v/>
      </c>
      <c r="U280" s="136">
        <f>SUM(X280:AR280)</f>
        <v/>
      </c>
      <c r="V280" s="136">
        <f>IF(E280=$Q$16,0,SUM(X280:AI280))</f>
        <v/>
      </c>
      <c r="W280" s="136">
        <f>SUM(AK280:AR280)</f>
        <v/>
      </c>
      <c r="X280" s="136">
        <f>IF(E280=$X$6,1,"")</f>
        <v/>
      </c>
      <c r="Y280" s="136">
        <f>IF(E280=$Y$6,1,"")</f>
        <v/>
      </c>
      <c r="Z280" s="136">
        <f>IF(E280=$Z$6,1,"")</f>
        <v/>
      </c>
      <c r="AA280" s="136">
        <f>IF(E280=$AA$6,1,"")</f>
        <v/>
      </c>
      <c r="AB280" s="136">
        <f>IF(E280=$AB$6,1,"")</f>
        <v/>
      </c>
      <c r="AC280" s="136">
        <f>IF(E280=$AC$6,1,"")</f>
        <v/>
      </c>
      <c r="AD280" s="136">
        <f>IF(E280=$AD$6,1,"")</f>
        <v/>
      </c>
      <c r="AE280" s="136">
        <f>IF(E280=$AE$6,1,"")</f>
        <v/>
      </c>
      <c r="AF280" s="136">
        <f>IF(E280=$AF$6,1,"")</f>
        <v/>
      </c>
      <c r="AG280" s="136">
        <f>IF(E280=$AG$6,1,"")</f>
        <v/>
      </c>
      <c r="AH280" s="136">
        <f>IF(E280=$AH$6,1,"")</f>
        <v/>
      </c>
      <c r="AI280" s="136">
        <f>IF(E280=$AI$6,1,"")</f>
        <v/>
      </c>
      <c r="AJ280" s="136">
        <f>IF(E280=$AJ$6,1,"")</f>
        <v/>
      </c>
      <c r="AK280" s="81">
        <f>IF(E280=$AK$6,1,"")</f>
        <v/>
      </c>
      <c r="AL280" s="81">
        <f>IF(E280=$AL$6,1,"")</f>
        <v/>
      </c>
      <c r="AM280" s="81">
        <f>IF(E280=$AM$6,1,"")</f>
        <v/>
      </c>
      <c r="AN280" s="81">
        <f>IF(E280=$AN$6,1,"")</f>
        <v/>
      </c>
      <c r="AO280" s="81">
        <f>IF(E280=$AO$6,1,"")</f>
        <v/>
      </c>
      <c r="AP280" s="81">
        <f>IF(E280=$AP$6,1,"")</f>
        <v/>
      </c>
      <c r="AQ280" s="81">
        <f>IF(E280=$AQ$6,1,"")</f>
        <v/>
      </c>
      <c r="AR280" s="81">
        <f>IF(E280=$AR$6,1,"")</f>
        <v/>
      </c>
      <c r="AS280" s="81" t="n"/>
    </row>
    <row r="281" ht="15.75" customHeight="1" s="80">
      <c r="A281" s="157" t="n"/>
      <c r="B281" s="124" t="n"/>
      <c r="C281" s="125" t="n"/>
      <c r="D281" s="126" t="n"/>
      <c r="E281" s="127" t="n"/>
      <c r="F281" s="128" t="n"/>
      <c r="G281" s="129">
        <f>IF(F281="","",ROUND(F281/60,2))</f>
        <v/>
      </c>
      <c r="H281" s="130" t="n"/>
      <c r="I281" s="131" t="n"/>
      <c r="J281" s="131">
        <f>IF(COUNTIF(B281:E281,"*")=0,"",IF(T281=1,"Invalid Service",IF(AND(V281=1,F281=""),"Add Session Mins",IF(AND(E281&gt;0,H281="",T281=""),"Enter Contract Rate",IF(AND(E281="IEP mtg, prep, rept",F281&gt;0),(G281*H281),IF(AND(E281&gt;0,F281&gt;0,H281&gt;0,I281=""),"Enter Travel",IF(AND(F281&gt;0,I281="Y"),(G281*H281)+$M$10,IF(AND(F281&gt;0,I281="N"),(G281*H281),H281))))))))</f>
        <v/>
      </c>
      <c r="K281" s="132">
        <f>J281</f>
        <v/>
      </c>
      <c r="L281" s="148" t="n"/>
      <c r="M281" s="148" t="n"/>
      <c r="N281" s="148" t="n"/>
      <c r="O281" s="87" t="n"/>
      <c r="P281" s="81" t="n"/>
      <c r="Q281" s="81" t="n"/>
      <c r="R281" s="81" t="n"/>
      <c r="S281" s="81" t="n"/>
      <c r="T281" s="136">
        <f>IF(AND(E281&gt;0,U281=0),1,"")</f>
        <v/>
      </c>
      <c r="U281" s="136">
        <f>SUM(X281:AR281)</f>
        <v/>
      </c>
      <c r="V281" s="136">
        <f>IF(E281=$Q$16,0,SUM(X281:AI281))</f>
        <v/>
      </c>
      <c r="W281" s="136">
        <f>SUM(AK281:AR281)</f>
        <v/>
      </c>
      <c r="X281" s="136">
        <f>IF(E281=$X$6,1,"")</f>
        <v/>
      </c>
      <c r="Y281" s="136">
        <f>IF(E281=$Y$6,1,"")</f>
        <v/>
      </c>
      <c r="Z281" s="136">
        <f>IF(E281=$Z$6,1,"")</f>
        <v/>
      </c>
      <c r="AA281" s="136">
        <f>IF(E281=$AA$6,1,"")</f>
        <v/>
      </c>
      <c r="AB281" s="136">
        <f>IF(E281=$AB$6,1,"")</f>
        <v/>
      </c>
      <c r="AC281" s="136">
        <f>IF(E281=$AC$6,1,"")</f>
        <v/>
      </c>
      <c r="AD281" s="136">
        <f>IF(E281=$AD$6,1,"")</f>
        <v/>
      </c>
      <c r="AE281" s="136">
        <f>IF(E281=$AE$6,1,"")</f>
        <v/>
      </c>
      <c r="AF281" s="136">
        <f>IF(E281=$AF$6,1,"")</f>
        <v/>
      </c>
      <c r="AG281" s="136">
        <f>IF(E281=$AG$6,1,"")</f>
        <v/>
      </c>
      <c r="AH281" s="136">
        <f>IF(E281=$AH$6,1,"")</f>
        <v/>
      </c>
      <c r="AI281" s="136">
        <f>IF(E281=$AI$6,1,"")</f>
        <v/>
      </c>
      <c r="AJ281" s="136">
        <f>IF(E281=$AJ$6,1,"")</f>
        <v/>
      </c>
      <c r="AK281" s="81">
        <f>IF(E281=$AK$6,1,"")</f>
        <v/>
      </c>
      <c r="AL281" s="81">
        <f>IF(E281=$AL$6,1,"")</f>
        <v/>
      </c>
      <c r="AM281" s="81">
        <f>IF(E281=$AM$6,1,"")</f>
        <v/>
      </c>
      <c r="AN281" s="81">
        <f>IF(E281=$AN$6,1,"")</f>
        <v/>
      </c>
      <c r="AO281" s="81">
        <f>IF(E281=$AO$6,1,"")</f>
        <v/>
      </c>
      <c r="AP281" s="81">
        <f>IF(E281=$AP$6,1,"")</f>
        <v/>
      </c>
      <c r="AQ281" s="81">
        <f>IF(E281=$AQ$6,1,"")</f>
        <v/>
      </c>
      <c r="AR281" s="81">
        <f>IF(E281=$AR$6,1,"")</f>
        <v/>
      </c>
      <c r="AS281" s="81" t="n"/>
    </row>
    <row r="282" ht="15.75" customHeight="1" s="80">
      <c r="A282" s="157" t="n"/>
      <c r="B282" s="124" t="n"/>
      <c r="C282" s="125" t="n"/>
      <c r="D282" s="126" t="n"/>
      <c r="E282" s="127" t="n"/>
      <c r="F282" s="128" t="n"/>
      <c r="G282" s="129">
        <f>IF(F282="","",ROUND(F282/60,2))</f>
        <v/>
      </c>
      <c r="H282" s="130" t="n"/>
      <c r="I282" s="131" t="n"/>
      <c r="J282" s="131">
        <f>IF(COUNTIF(B282:E282,"*")=0,"",IF(T282=1,"Invalid Service",IF(AND(V282=1,F282=""),"Add Session Mins",IF(AND(E282&gt;0,H282="",T282=""),"Enter Contract Rate",IF(AND(E282="IEP mtg, prep, rept",F282&gt;0),(G282*H282),IF(AND(E282&gt;0,F282&gt;0,H282&gt;0,I282=""),"Enter Travel",IF(AND(F282&gt;0,I282="Y"),(G282*H282)+$M$10,IF(AND(F282&gt;0,I282="N"),(G282*H282),H282))))))))</f>
        <v/>
      </c>
      <c r="K282" s="132">
        <f>J282</f>
        <v/>
      </c>
      <c r="L282" s="148" t="n"/>
      <c r="M282" s="148" t="n"/>
      <c r="N282" s="148" t="n"/>
      <c r="O282" s="87" t="n"/>
      <c r="P282" s="81" t="n"/>
      <c r="Q282" s="81" t="n"/>
      <c r="R282" s="81" t="n"/>
      <c r="S282" s="81" t="n"/>
      <c r="T282" s="136">
        <f>IF(AND(E282&gt;0,U282=0),1,"")</f>
        <v/>
      </c>
      <c r="U282" s="136">
        <f>SUM(X282:AR282)</f>
        <v/>
      </c>
      <c r="V282" s="136">
        <f>IF(E282=$Q$16,0,SUM(X282:AI282))</f>
        <v/>
      </c>
      <c r="W282" s="136">
        <f>SUM(AK282:AR282)</f>
        <v/>
      </c>
      <c r="X282" s="136">
        <f>IF(E282=$X$6,1,"")</f>
        <v/>
      </c>
      <c r="Y282" s="136">
        <f>IF(E282=$Y$6,1,"")</f>
        <v/>
      </c>
      <c r="Z282" s="136">
        <f>IF(E282=$Z$6,1,"")</f>
        <v/>
      </c>
      <c r="AA282" s="136">
        <f>IF(E282=$AA$6,1,"")</f>
        <v/>
      </c>
      <c r="AB282" s="136">
        <f>IF(E282=$AB$6,1,"")</f>
        <v/>
      </c>
      <c r="AC282" s="136">
        <f>IF(E282=$AC$6,1,"")</f>
        <v/>
      </c>
      <c r="AD282" s="136">
        <f>IF(E282=$AD$6,1,"")</f>
        <v/>
      </c>
      <c r="AE282" s="136">
        <f>IF(E282=$AE$6,1,"")</f>
        <v/>
      </c>
      <c r="AF282" s="136">
        <f>IF(E282=$AF$6,1,"")</f>
        <v/>
      </c>
      <c r="AG282" s="136">
        <f>IF(E282=$AG$6,1,"")</f>
        <v/>
      </c>
      <c r="AH282" s="136">
        <f>IF(E282=$AH$6,1,"")</f>
        <v/>
      </c>
      <c r="AI282" s="136">
        <f>IF(E282=$AI$6,1,"")</f>
        <v/>
      </c>
      <c r="AJ282" s="136">
        <f>IF(E282=$AJ$6,1,"")</f>
        <v/>
      </c>
      <c r="AK282" s="81">
        <f>IF(E282=$AK$6,1,"")</f>
        <v/>
      </c>
      <c r="AL282" s="81">
        <f>IF(E282=$AL$6,1,"")</f>
        <v/>
      </c>
      <c r="AM282" s="81">
        <f>IF(E282=$AM$6,1,"")</f>
        <v/>
      </c>
      <c r="AN282" s="81">
        <f>IF(E282=$AN$6,1,"")</f>
        <v/>
      </c>
      <c r="AO282" s="81">
        <f>IF(E282=$AO$6,1,"")</f>
        <v/>
      </c>
      <c r="AP282" s="81">
        <f>IF(E282=$AP$6,1,"")</f>
        <v/>
      </c>
      <c r="AQ282" s="81">
        <f>IF(E282=$AQ$6,1,"")</f>
        <v/>
      </c>
      <c r="AR282" s="81">
        <f>IF(E282=$AR$6,1,"")</f>
        <v/>
      </c>
      <c r="AS282" s="81" t="n"/>
    </row>
    <row r="283" ht="15.75" customHeight="1" s="80">
      <c r="A283" s="157" t="n"/>
      <c r="B283" s="124" t="n"/>
      <c r="C283" s="125" t="n"/>
      <c r="D283" s="126" t="n"/>
      <c r="E283" s="127" t="n"/>
      <c r="F283" s="128" t="n"/>
      <c r="G283" s="129">
        <f>IF(F283="","",ROUND(F283/60,2))</f>
        <v/>
      </c>
      <c r="H283" s="130" t="n"/>
      <c r="I283" s="131" t="n"/>
      <c r="J283" s="131">
        <f>IF(COUNTIF(B283:E283,"*")=0,"",IF(T283=1,"Invalid Service",IF(AND(V283=1,F283=""),"Add Session Mins",IF(AND(E283&gt;0,H283="",T283=""),"Enter Contract Rate",IF(AND(E283="IEP mtg, prep, rept",F283&gt;0),(G283*H283),IF(AND(E283&gt;0,F283&gt;0,H283&gt;0,I283=""),"Enter Travel",IF(AND(F283&gt;0,I283="Y"),(G283*H283)+$M$10,IF(AND(F283&gt;0,I283="N"),(G283*H283),H283))))))))</f>
        <v/>
      </c>
      <c r="K283" s="132">
        <f>J283</f>
        <v/>
      </c>
      <c r="L283" s="148" t="n"/>
      <c r="M283" s="148" t="n"/>
      <c r="N283" s="148" t="n"/>
      <c r="O283" s="87" t="n"/>
      <c r="P283" s="81" t="n"/>
      <c r="Q283" s="81" t="n"/>
      <c r="R283" s="81" t="n"/>
      <c r="S283" s="81" t="n"/>
      <c r="T283" s="136">
        <f>IF(AND(E283&gt;0,U283=0),1,"")</f>
        <v/>
      </c>
      <c r="U283" s="136">
        <f>SUM(X283:AR283)</f>
        <v/>
      </c>
      <c r="V283" s="136">
        <f>IF(E283=$Q$16,0,SUM(X283:AI283))</f>
        <v/>
      </c>
      <c r="W283" s="136">
        <f>SUM(AK283:AR283)</f>
        <v/>
      </c>
      <c r="X283" s="136">
        <f>IF(E283=$X$6,1,"")</f>
        <v/>
      </c>
      <c r="Y283" s="136">
        <f>IF(E283=$Y$6,1,"")</f>
        <v/>
      </c>
      <c r="Z283" s="136">
        <f>IF(E283=$Z$6,1,"")</f>
        <v/>
      </c>
      <c r="AA283" s="136">
        <f>IF(E283=$AA$6,1,"")</f>
        <v/>
      </c>
      <c r="AB283" s="136">
        <f>IF(E283=$AB$6,1,"")</f>
        <v/>
      </c>
      <c r="AC283" s="136">
        <f>IF(E283=$AC$6,1,"")</f>
        <v/>
      </c>
      <c r="AD283" s="136">
        <f>IF(E283=$AD$6,1,"")</f>
        <v/>
      </c>
      <c r="AE283" s="136">
        <f>IF(E283=$AE$6,1,"")</f>
        <v/>
      </c>
      <c r="AF283" s="136">
        <f>IF(E283=$AF$6,1,"")</f>
        <v/>
      </c>
      <c r="AG283" s="136">
        <f>IF(E283=$AG$6,1,"")</f>
        <v/>
      </c>
      <c r="AH283" s="136">
        <f>IF(E283=$AH$6,1,"")</f>
        <v/>
      </c>
      <c r="AI283" s="136">
        <f>IF(E283=$AI$6,1,"")</f>
        <v/>
      </c>
      <c r="AJ283" s="136">
        <f>IF(E283=$AJ$6,1,"")</f>
        <v/>
      </c>
      <c r="AK283" s="81">
        <f>IF(E283=$AK$6,1,"")</f>
        <v/>
      </c>
      <c r="AL283" s="81">
        <f>IF(E283=$AL$6,1,"")</f>
        <v/>
      </c>
      <c r="AM283" s="81">
        <f>IF(E283=$AM$6,1,"")</f>
        <v/>
      </c>
      <c r="AN283" s="81">
        <f>IF(E283=$AN$6,1,"")</f>
        <v/>
      </c>
      <c r="AO283" s="81">
        <f>IF(E283=$AO$6,1,"")</f>
        <v/>
      </c>
      <c r="AP283" s="81">
        <f>IF(E283=$AP$6,1,"")</f>
        <v/>
      </c>
      <c r="AQ283" s="81">
        <f>IF(E283=$AQ$6,1,"")</f>
        <v/>
      </c>
      <c r="AR283" s="81">
        <f>IF(E283=$AR$6,1,"")</f>
        <v/>
      </c>
      <c r="AS283" s="81" t="n"/>
    </row>
    <row r="284" ht="15.75" customHeight="1" s="80">
      <c r="A284" s="157" t="n"/>
      <c r="B284" s="124" t="n"/>
      <c r="C284" s="125" t="n"/>
      <c r="D284" s="126" t="n"/>
      <c r="E284" s="127" t="n"/>
      <c r="F284" s="128" t="n"/>
      <c r="G284" s="129">
        <f>IF(F284="","",ROUND(F284/60,2))</f>
        <v/>
      </c>
      <c r="H284" s="130" t="n"/>
      <c r="I284" s="131" t="n"/>
      <c r="J284" s="131">
        <f>IF(COUNTIF(B284:E284,"*")=0,"",IF(T284=1,"Invalid Service",IF(AND(V284=1,F284=""),"Add Session Mins",IF(AND(E284&gt;0,H284="",T284=""),"Enter Contract Rate",IF(AND(E284="IEP mtg, prep, rept",F284&gt;0),(G284*H284),IF(AND(E284&gt;0,F284&gt;0,H284&gt;0,I284=""),"Enter Travel",IF(AND(F284&gt;0,I284="Y"),(G284*H284)+$M$10,IF(AND(F284&gt;0,I284="N"),(G284*H284),H284))))))))</f>
        <v/>
      </c>
      <c r="K284" s="132">
        <f>J284</f>
        <v/>
      </c>
      <c r="L284" s="148" t="n"/>
      <c r="M284" s="148" t="n"/>
      <c r="N284" s="148" t="n"/>
      <c r="O284" s="87" t="n"/>
      <c r="P284" s="81" t="n"/>
      <c r="Q284" s="81" t="n"/>
      <c r="R284" s="81" t="n"/>
      <c r="S284" s="81" t="n"/>
      <c r="T284" s="136">
        <f>IF(AND(E284&gt;0,U284=0),1,"")</f>
        <v/>
      </c>
      <c r="U284" s="136">
        <f>SUM(X284:AR284)</f>
        <v/>
      </c>
      <c r="V284" s="136">
        <f>IF(E284=$Q$16,0,SUM(X284:AI284))</f>
        <v/>
      </c>
      <c r="W284" s="136">
        <f>SUM(AK284:AR284)</f>
        <v/>
      </c>
      <c r="X284" s="136">
        <f>IF(E284=$X$6,1,"")</f>
        <v/>
      </c>
      <c r="Y284" s="136">
        <f>IF(E284=$Y$6,1,"")</f>
        <v/>
      </c>
      <c r="Z284" s="136">
        <f>IF(E284=$Z$6,1,"")</f>
        <v/>
      </c>
      <c r="AA284" s="136">
        <f>IF(E284=$AA$6,1,"")</f>
        <v/>
      </c>
      <c r="AB284" s="136">
        <f>IF(E284=$AB$6,1,"")</f>
        <v/>
      </c>
      <c r="AC284" s="136">
        <f>IF(E284=$AC$6,1,"")</f>
        <v/>
      </c>
      <c r="AD284" s="136">
        <f>IF(E284=$AD$6,1,"")</f>
        <v/>
      </c>
      <c r="AE284" s="136">
        <f>IF(E284=$AE$6,1,"")</f>
        <v/>
      </c>
      <c r="AF284" s="136">
        <f>IF(E284=$AF$6,1,"")</f>
        <v/>
      </c>
      <c r="AG284" s="136">
        <f>IF(E284=$AG$6,1,"")</f>
        <v/>
      </c>
      <c r="AH284" s="136">
        <f>IF(E284=$AH$6,1,"")</f>
        <v/>
      </c>
      <c r="AI284" s="136">
        <f>IF(E284=$AI$6,1,"")</f>
        <v/>
      </c>
      <c r="AJ284" s="136">
        <f>IF(E284=$AJ$6,1,"")</f>
        <v/>
      </c>
      <c r="AK284" s="81">
        <f>IF(E284=$AK$6,1,"")</f>
        <v/>
      </c>
      <c r="AL284" s="81">
        <f>IF(E284=$AL$6,1,"")</f>
        <v/>
      </c>
      <c r="AM284" s="81">
        <f>IF(E284=$AM$6,1,"")</f>
        <v/>
      </c>
      <c r="AN284" s="81">
        <f>IF(E284=$AN$6,1,"")</f>
        <v/>
      </c>
      <c r="AO284" s="81">
        <f>IF(E284=$AO$6,1,"")</f>
        <v/>
      </c>
      <c r="AP284" s="81">
        <f>IF(E284=$AP$6,1,"")</f>
        <v/>
      </c>
      <c r="AQ284" s="81">
        <f>IF(E284=$AQ$6,1,"")</f>
        <v/>
      </c>
      <c r="AR284" s="81">
        <f>IF(E284=$AR$6,1,"")</f>
        <v/>
      </c>
      <c r="AS284" s="81" t="n"/>
    </row>
    <row r="285" ht="15.75" customHeight="1" s="80">
      <c r="A285" s="157" t="n"/>
      <c r="B285" s="124" t="n"/>
      <c r="C285" s="125" t="n"/>
      <c r="D285" s="126" t="n"/>
      <c r="E285" s="127" t="n"/>
      <c r="F285" s="128" t="n"/>
      <c r="G285" s="129">
        <f>IF(F285="","",ROUND(F285/60,2))</f>
        <v/>
      </c>
      <c r="H285" s="130" t="n"/>
      <c r="I285" s="131" t="n"/>
      <c r="J285" s="131">
        <f>IF(COUNTIF(B285:E285,"*")=0,"",IF(T285=1,"Invalid Service",IF(AND(V285=1,F285=""),"Add Session Mins",IF(AND(E285&gt;0,H285="",T285=""),"Enter Contract Rate",IF(AND(E285="IEP mtg, prep, rept",F285&gt;0),(G285*H285),IF(AND(E285&gt;0,F285&gt;0,H285&gt;0,I285=""),"Enter Travel",IF(AND(F285&gt;0,I285="Y"),(G285*H285)+$M$10,IF(AND(F285&gt;0,I285="N"),(G285*H285),H285))))))))</f>
        <v/>
      </c>
      <c r="K285" s="132">
        <f>J285</f>
        <v/>
      </c>
      <c r="L285" s="148" t="n"/>
      <c r="M285" s="148" t="n"/>
      <c r="N285" s="148" t="n"/>
      <c r="O285" s="87" t="n"/>
      <c r="P285" s="81" t="n"/>
      <c r="Q285" s="81" t="n"/>
      <c r="R285" s="81" t="n"/>
      <c r="S285" s="81" t="n"/>
      <c r="T285" s="136">
        <f>IF(AND(E285&gt;0,U285=0),1,"")</f>
        <v/>
      </c>
      <c r="U285" s="136">
        <f>SUM(X285:AR285)</f>
        <v/>
      </c>
      <c r="V285" s="136">
        <f>IF(E285=$Q$16,0,SUM(X285:AI285))</f>
        <v/>
      </c>
      <c r="W285" s="136">
        <f>SUM(AK285:AR285)</f>
        <v/>
      </c>
      <c r="X285" s="136">
        <f>IF(E285=$X$6,1,"")</f>
        <v/>
      </c>
      <c r="Y285" s="136">
        <f>IF(E285=$Y$6,1,"")</f>
        <v/>
      </c>
      <c r="Z285" s="136">
        <f>IF(E285=$Z$6,1,"")</f>
        <v/>
      </c>
      <c r="AA285" s="136">
        <f>IF(E285=$AA$6,1,"")</f>
        <v/>
      </c>
      <c r="AB285" s="136">
        <f>IF(E285=$AB$6,1,"")</f>
        <v/>
      </c>
      <c r="AC285" s="136">
        <f>IF(E285=$AC$6,1,"")</f>
        <v/>
      </c>
      <c r="AD285" s="136">
        <f>IF(E285=$AD$6,1,"")</f>
        <v/>
      </c>
      <c r="AE285" s="136">
        <f>IF(E285=$AE$6,1,"")</f>
        <v/>
      </c>
      <c r="AF285" s="136">
        <f>IF(E285=$AF$6,1,"")</f>
        <v/>
      </c>
      <c r="AG285" s="136">
        <f>IF(E285=$AG$6,1,"")</f>
        <v/>
      </c>
      <c r="AH285" s="136">
        <f>IF(E285=$AH$6,1,"")</f>
        <v/>
      </c>
      <c r="AI285" s="136">
        <f>IF(E285=$AI$6,1,"")</f>
        <v/>
      </c>
      <c r="AJ285" s="136">
        <f>IF(E285=$AJ$6,1,"")</f>
        <v/>
      </c>
      <c r="AK285" s="81">
        <f>IF(E285=$AK$6,1,"")</f>
        <v/>
      </c>
      <c r="AL285" s="81">
        <f>IF(E285=$AL$6,1,"")</f>
        <v/>
      </c>
      <c r="AM285" s="81">
        <f>IF(E285=$AM$6,1,"")</f>
        <v/>
      </c>
      <c r="AN285" s="81">
        <f>IF(E285=$AN$6,1,"")</f>
        <v/>
      </c>
      <c r="AO285" s="81">
        <f>IF(E285=$AO$6,1,"")</f>
        <v/>
      </c>
      <c r="AP285" s="81">
        <f>IF(E285=$AP$6,1,"")</f>
        <v/>
      </c>
      <c r="AQ285" s="81">
        <f>IF(E285=$AQ$6,1,"")</f>
        <v/>
      </c>
      <c r="AR285" s="81">
        <f>IF(E285=$AR$6,1,"")</f>
        <v/>
      </c>
      <c r="AS285" s="81" t="n"/>
    </row>
    <row r="286" ht="15.75" customHeight="1" s="80">
      <c r="A286" s="157" t="n"/>
      <c r="B286" s="124" t="n"/>
      <c r="C286" s="125" t="n"/>
      <c r="D286" s="126" t="n"/>
      <c r="E286" s="127" t="n"/>
      <c r="F286" s="128" t="n"/>
      <c r="G286" s="129">
        <f>IF(F286="","",ROUND(F286/60,2))</f>
        <v/>
      </c>
      <c r="H286" s="130" t="n"/>
      <c r="I286" s="131" t="n"/>
      <c r="J286" s="131">
        <f>IF(COUNTIF(B286:E286,"*")=0,"",IF(T286=1,"Invalid Service",IF(AND(V286=1,F286=""),"Add Session Mins",IF(AND(E286&gt;0,H286="",T286=""),"Enter Contract Rate",IF(AND(E286="IEP mtg, prep, rept",F286&gt;0),(G286*H286),IF(AND(E286&gt;0,F286&gt;0,H286&gt;0,I286=""),"Enter Travel",IF(AND(F286&gt;0,I286="Y"),(G286*H286)+$M$10,IF(AND(F286&gt;0,I286="N"),(G286*H286),H286))))))))</f>
        <v/>
      </c>
      <c r="K286" s="132">
        <f>J286</f>
        <v/>
      </c>
      <c r="L286" s="148" t="n"/>
      <c r="M286" s="148" t="n"/>
      <c r="N286" s="148" t="n"/>
      <c r="O286" s="87" t="n"/>
      <c r="P286" s="81" t="n"/>
      <c r="Q286" s="81" t="n"/>
      <c r="R286" s="81" t="n"/>
      <c r="S286" s="81" t="n"/>
      <c r="T286" s="136">
        <f>IF(AND(E286&gt;0,U286=0),1,"")</f>
        <v/>
      </c>
      <c r="U286" s="136">
        <f>SUM(X286:AR286)</f>
        <v/>
      </c>
      <c r="V286" s="136">
        <f>IF(E286=$Q$16,0,SUM(X286:AI286))</f>
        <v/>
      </c>
      <c r="W286" s="136">
        <f>SUM(AK286:AR286)</f>
        <v/>
      </c>
      <c r="X286" s="136">
        <f>IF(E286=$X$6,1,"")</f>
        <v/>
      </c>
      <c r="Y286" s="136">
        <f>IF(E286=$Y$6,1,"")</f>
        <v/>
      </c>
      <c r="Z286" s="136">
        <f>IF(E286=$Z$6,1,"")</f>
        <v/>
      </c>
      <c r="AA286" s="136">
        <f>IF(E286=$AA$6,1,"")</f>
        <v/>
      </c>
      <c r="AB286" s="136">
        <f>IF(E286=$AB$6,1,"")</f>
        <v/>
      </c>
      <c r="AC286" s="136">
        <f>IF(E286=$AC$6,1,"")</f>
        <v/>
      </c>
      <c r="AD286" s="136">
        <f>IF(E286=$AD$6,1,"")</f>
        <v/>
      </c>
      <c r="AE286" s="136">
        <f>IF(E286=$AE$6,1,"")</f>
        <v/>
      </c>
      <c r="AF286" s="136">
        <f>IF(E286=$AF$6,1,"")</f>
        <v/>
      </c>
      <c r="AG286" s="136">
        <f>IF(E286=$AG$6,1,"")</f>
        <v/>
      </c>
      <c r="AH286" s="136">
        <f>IF(E286=$AH$6,1,"")</f>
        <v/>
      </c>
      <c r="AI286" s="136">
        <f>IF(E286=$AI$6,1,"")</f>
        <v/>
      </c>
      <c r="AJ286" s="136">
        <f>IF(E286=$AJ$6,1,"")</f>
        <v/>
      </c>
      <c r="AK286" s="81">
        <f>IF(E286=$AK$6,1,"")</f>
        <v/>
      </c>
      <c r="AL286" s="81">
        <f>IF(E286=$AL$6,1,"")</f>
        <v/>
      </c>
      <c r="AM286" s="81">
        <f>IF(E286=$AM$6,1,"")</f>
        <v/>
      </c>
      <c r="AN286" s="81">
        <f>IF(E286=$AN$6,1,"")</f>
        <v/>
      </c>
      <c r="AO286" s="81">
        <f>IF(E286=$AO$6,1,"")</f>
        <v/>
      </c>
      <c r="AP286" s="81">
        <f>IF(E286=$AP$6,1,"")</f>
        <v/>
      </c>
      <c r="AQ286" s="81">
        <f>IF(E286=$AQ$6,1,"")</f>
        <v/>
      </c>
      <c r="AR286" s="81">
        <f>IF(E286=$AR$6,1,"")</f>
        <v/>
      </c>
      <c r="AS286" s="81" t="n"/>
    </row>
    <row r="287" ht="15.75" customHeight="1" s="80">
      <c r="A287" s="157" t="n"/>
      <c r="B287" s="124" t="n"/>
      <c r="C287" s="125" t="n"/>
      <c r="D287" s="126" t="n"/>
      <c r="E287" s="127" t="n"/>
      <c r="F287" s="128" t="n"/>
      <c r="G287" s="129">
        <f>IF(F287="","",ROUND(F287/60,2))</f>
        <v/>
      </c>
      <c r="H287" s="130" t="n"/>
      <c r="I287" s="131" t="n"/>
      <c r="J287" s="131">
        <f>IF(COUNTIF(B287:E287,"*")=0,"",IF(T287=1,"Invalid Service",IF(AND(V287=1,F287=""),"Add Session Mins",IF(AND(E287&gt;0,H287="",T287=""),"Enter Contract Rate",IF(AND(E287="IEP mtg, prep, rept",F287&gt;0),(G287*H287),IF(AND(E287&gt;0,F287&gt;0,H287&gt;0,I287=""),"Enter Travel",IF(AND(F287&gt;0,I287="Y"),(G287*H287)+$M$10,IF(AND(F287&gt;0,I287="N"),(G287*H287),H287))))))))</f>
        <v/>
      </c>
      <c r="K287" s="132">
        <f>J287</f>
        <v/>
      </c>
      <c r="L287" s="148" t="n"/>
      <c r="M287" s="148" t="n"/>
      <c r="N287" s="148" t="n"/>
      <c r="O287" s="87" t="n"/>
      <c r="P287" s="81" t="n"/>
      <c r="Q287" s="81" t="n"/>
      <c r="R287" s="81" t="n"/>
      <c r="S287" s="81" t="n"/>
      <c r="T287" s="136">
        <f>IF(AND(E287&gt;0,U287=0),1,"")</f>
        <v/>
      </c>
      <c r="U287" s="136">
        <f>SUM(X287:AR287)</f>
        <v/>
      </c>
      <c r="V287" s="136">
        <f>IF(E287=$Q$16,0,SUM(X287:AI287))</f>
        <v/>
      </c>
      <c r="W287" s="136">
        <f>SUM(AK287:AR287)</f>
        <v/>
      </c>
      <c r="X287" s="136">
        <f>IF(E287=$X$6,1,"")</f>
        <v/>
      </c>
      <c r="Y287" s="136">
        <f>IF(E287=$Y$6,1,"")</f>
        <v/>
      </c>
      <c r="Z287" s="136">
        <f>IF(E287=$Z$6,1,"")</f>
        <v/>
      </c>
      <c r="AA287" s="136">
        <f>IF(E287=$AA$6,1,"")</f>
        <v/>
      </c>
      <c r="AB287" s="136">
        <f>IF(E287=$AB$6,1,"")</f>
        <v/>
      </c>
      <c r="AC287" s="136">
        <f>IF(E287=$AC$6,1,"")</f>
        <v/>
      </c>
      <c r="AD287" s="136">
        <f>IF(E287=$AD$6,1,"")</f>
        <v/>
      </c>
      <c r="AE287" s="136">
        <f>IF(E287=$AE$6,1,"")</f>
        <v/>
      </c>
      <c r="AF287" s="136">
        <f>IF(E287=$AF$6,1,"")</f>
        <v/>
      </c>
      <c r="AG287" s="136">
        <f>IF(E287=$AG$6,1,"")</f>
        <v/>
      </c>
      <c r="AH287" s="136">
        <f>IF(E287=$AH$6,1,"")</f>
        <v/>
      </c>
      <c r="AI287" s="136">
        <f>IF(E287=$AI$6,1,"")</f>
        <v/>
      </c>
      <c r="AJ287" s="136">
        <f>IF(E287=$AJ$6,1,"")</f>
        <v/>
      </c>
      <c r="AK287" s="81">
        <f>IF(E287=$AK$6,1,"")</f>
        <v/>
      </c>
      <c r="AL287" s="81">
        <f>IF(E287=$AL$6,1,"")</f>
        <v/>
      </c>
      <c r="AM287" s="81">
        <f>IF(E287=$AM$6,1,"")</f>
        <v/>
      </c>
      <c r="AN287" s="81">
        <f>IF(E287=$AN$6,1,"")</f>
        <v/>
      </c>
      <c r="AO287" s="81">
        <f>IF(E287=$AO$6,1,"")</f>
        <v/>
      </c>
      <c r="AP287" s="81">
        <f>IF(E287=$AP$6,1,"")</f>
        <v/>
      </c>
      <c r="AQ287" s="81">
        <f>IF(E287=$AQ$6,1,"")</f>
        <v/>
      </c>
      <c r="AR287" s="81">
        <f>IF(E287=$AR$6,1,"")</f>
        <v/>
      </c>
      <c r="AS287" s="81" t="n"/>
    </row>
    <row r="288" ht="15.75" customHeight="1" s="80">
      <c r="A288" s="157" t="n"/>
      <c r="B288" s="124" t="n"/>
      <c r="C288" s="125" t="n"/>
      <c r="D288" s="126" t="n"/>
      <c r="E288" s="127" t="n"/>
      <c r="F288" s="128" t="n"/>
      <c r="G288" s="129">
        <f>IF(F288="","",ROUND(F288/60,2))</f>
        <v/>
      </c>
      <c r="H288" s="130" t="n"/>
      <c r="I288" s="131" t="n"/>
      <c r="J288" s="131">
        <f>IF(COUNTIF(B288:E288,"*")=0,"",IF(T288=1,"Invalid Service",IF(AND(V288=1,F288=""),"Add Session Mins",IF(AND(E288&gt;0,H288="",T288=""),"Enter Contract Rate",IF(AND(E288="IEP mtg, prep, rept",F288&gt;0),(G288*H288),IF(AND(E288&gt;0,F288&gt;0,H288&gt;0,I288=""),"Enter Travel",IF(AND(F288&gt;0,I288="Y"),(G288*H288)+$M$10,IF(AND(F288&gt;0,I288="N"),(G288*H288),H288))))))))</f>
        <v/>
      </c>
      <c r="K288" s="132">
        <f>J288</f>
        <v/>
      </c>
      <c r="L288" s="148" t="n"/>
      <c r="M288" s="148" t="n"/>
      <c r="N288" s="148" t="n"/>
      <c r="O288" s="87" t="n"/>
      <c r="P288" s="81" t="n"/>
      <c r="Q288" s="81" t="n"/>
      <c r="R288" s="81" t="n"/>
      <c r="S288" s="81" t="n"/>
      <c r="T288" s="136">
        <f>IF(AND(E288&gt;0,U288=0),1,"")</f>
        <v/>
      </c>
      <c r="U288" s="136">
        <f>SUM(X288:AR288)</f>
        <v/>
      </c>
      <c r="V288" s="136">
        <f>IF(E288=$Q$16,0,SUM(X288:AI288))</f>
        <v/>
      </c>
      <c r="W288" s="136">
        <f>SUM(AK288:AR288)</f>
        <v/>
      </c>
      <c r="X288" s="136">
        <f>IF(E288=$X$6,1,"")</f>
        <v/>
      </c>
      <c r="Y288" s="136">
        <f>IF(E288=$Y$6,1,"")</f>
        <v/>
      </c>
      <c r="Z288" s="136">
        <f>IF(E288=$Z$6,1,"")</f>
        <v/>
      </c>
      <c r="AA288" s="136">
        <f>IF(E288=$AA$6,1,"")</f>
        <v/>
      </c>
      <c r="AB288" s="136">
        <f>IF(E288=$AB$6,1,"")</f>
        <v/>
      </c>
      <c r="AC288" s="136">
        <f>IF(E288=$AC$6,1,"")</f>
        <v/>
      </c>
      <c r="AD288" s="136">
        <f>IF(E288=$AD$6,1,"")</f>
        <v/>
      </c>
      <c r="AE288" s="136">
        <f>IF(E288=$AE$6,1,"")</f>
        <v/>
      </c>
      <c r="AF288" s="136">
        <f>IF(E288=$AF$6,1,"")</f>
        <v/>
      </c>
      <c r="AG288" s="136">
        <f>IF(E288=$AG$6,1,"")</f>
        <v/>
      </c>
      <c r="AH288" s="136">
        <f>IF(E288=$AH$6,1,"")</f>
        <v/>
      </c>
      <c r="AI288" s="136">
        <f>IF(E288=$AI$6,1,"")</f>
        <v/>
      </c>
      <c r="AJ288" s="136">
        <f>IF(E288=$AJ$6,1,"")</f>
        <v/>
      </c>
      <c r="AK288" s="81">
        <f>IF(E288=$AK$6,1,"")</f>
        <v/>
      </c>
      <c r="AL288" s="81">
        <f>IF(E288=$AL$6,1,"")</f>
        <v/>
      </c>
      <c r="AM288" s="81">
        <f>IF(E288=$AM$6,1,"")</f>
        <v/>
      </c>
      <c r="AN288" s="81">
        <f>IF(E288=$AN$6,1,"")</f>
        <v/>
      </c>
      <c r="AO288" s="81">
        <f>IF(E288=$AO$6,1,"")</f>
        <v/>
      </c>
      <c r="AP288" s="81">
        <f>IF(E288=$AP$6,1,"")</f>
        <v/>
      </c>
      <c r="AQ288" s="81">
        <f>IF(E288=$AQ$6,1,"")</f>
        <v/>
      </c>
      <c r="AR288" s="81">
        <f>IF(E288=$AR$6,1,"")</f>
        <v/>
      </c>
      <c r="AS288" s="81" t="n"/>
    </row>
    <row r="289" ht="15.75" customHeight="1" s="80">
      <c r="A289" s="157" t="n"/>
      <c r="B289" s="124" t="n"/>
      <c r="C289" s="125" t="n"/>
      <c r="D289" s="126" t="n"/>
      <c r="E289" s="127" t="n"/>
      <c r="F289" s="128" t="n"/>
      <c r="G289" s="129">
        <f>IF(F289="","",ROUND(F289/60,2))</f>
        <v/>
      </c>
      <c r="H289" s="130" t="n"/>
      <c r="I289" s="131" t="n"/>
      <c r="J289" s="131">
        <f>IF(COUNTIF(B289:E289,"*")=0,"",IF(T289=1,"Invalid Service",IF(AND(V289=1,F289=""),"Add Session Mins",IF(AND(E289&gt;0,H289="",T289=""),"Enter Contract Rate",IF(AND(E289="IEP mtg, prep, rept",F289&gt;0),(G289*H289),IF(AND(E289&gt;0,F289&gt;0,H289&gt;0,I289=""),"Enter Travel",IF(AND(F289&gt;0,I289="Y"),(G289*H289)+$M$10,IF(AND(F289&gt;0,I289="N"),(G289*H289),H289))))))))</f>
        <v/>
      </c>
      <c r="K289" s="132">
        <f>J289</f>
        <v/>
      </c>
      <c r="L289" s="148" t="n"/>
      <c r="M289" s="148" t="n"/>
      <c r="N289" s="148" t="n"/>
      <c r="O289" s="87" t="n"/>
      <c r="P289" s="81" t="n"/>
      <c r="Q289" s="81" t="n"/>
      <c r="R289" s="81" t="n"/>
      <c r="S289" s="81" t="n"/>
      <c r="T289" s="136">
        <f>IF(AND(E289&gt;0,U289=0),1,"")</f>
        <v/>
      </c>
      <c r="U289" s="136">
        <f>SUM(X289:AR289)</f>
        <v/>
      </c>
      <c r="V289" s="136">
        <f>IF(E289=$Q$16,0,SUM(X289:AI289))</f>
        <v/>
      </c>
      <c r="W289" s="136">
        <f>SUM(AK289:AR289)</f>
        <v/>
      </c>
      <c r="X289" s="136">
        <f>IF(E289=$X$6,1,"")</f>
        <v/>
      </c>
      <c r="Y289" s="136">
        <f>IF(E289=$Y$6,1,"")</f>
        <v/>
      </c>
      <c r="Z289" s="136">
        <f>IF(E289=$Z$6,1,"")</f>
        <v/>
      </c>
      <c r="AA289" s="136">
        <f>IF(E289=$AA$6,1,"")</f>
        <v/>
      </c>
      <c r="AB289" s="136">
        <f>IF(E289=$AB$6,1,"")</f>
        <v/>
      </c>
      <c r="AC289" s="136">
        <f>IF(E289=$AC$6,1,"")</f>
        <v/>
      </c>
      <c r="AD289" s="136">
        <f>IF(E289=$AD$6,1,"")</f>
        <v/>
      </c>
      <c r="AE289" s="136">
        <f>IF(E289=$AE$6,1,"")</f>
        <v/>
      </c>
      <c r="AF289" s="136">
        <f>IF(E289=$AF$6,1,"")</f>
        <v/>
      </c>
      <c r="AG289" s="136">
        <f>IF(E289=$AG$6,1,"")</f>
        <v/>
      </c>
      <c r="AH289" s="136">
        <f>IF(E289=$AH$6,1,"")</f>
        <v/>
      </c>
      <c r="AI289" s="136">
        <f>IF(E289=$AI$6,1,"")</f>
        <v/>
      </c>
      <c r="AJ289" s="136">
        <f>IF(E289=$AJ$6,1,"")</f>
        <v/>
      </c>
      <c r="AK289" s="81">
        <f>IF(E289=$AK$6,1,"")</f>
        <v/>
      </c>
      <c r="AL289" s="81">
        <f>IF(E289=$AL$6,1,"")</f>
        <v/>
      </c>
      <c r="AM289" s="81">
        <f>IF(E289=$AM$6,1,"")</f>
        <v/>
      </c>
      <c r="AN289" s="81">
        <f>IF(E289=$AN$6,1,"")</f>
        <v/>
      </c>
      <c r="AO289" s="81">
        <f>IF(E289=$AO$6,1,"")</f>
        <v/>
      </c>
      <c r="AP289" s="81">
        <f>IF(E289=$AP$6,1,"")</f>
        <v/>
      </c>
      <c r="AQ289" s="81">
        <f>IF(E289=$AQ$6,1,"")</f>
        <v/>
      </c>
      <c r="AR289" s="81">
        <f>IF(E289=$AR$6,1,"")</f>
        <v/>
      </c>
      <c r="AS289" s="81" t="n"/>
    </row>
    <row r="290" ht="15.75" customHeight="1" s="80">
      <c r="A290" s="157" t="n"/>
      <c r="B290" s="124" t="n"/>
      <c r="C290" s="125" t="n"/>
      <c r="D290" s="126" t="n"/>
      <c r="E290" s="127" t="n"/>
      <c r="F290" s="128" t="n"/>
      <c r="G290" s="129">
        <f>IF(F290="","",ROUND(F290/60,2))</f>
        <v/>
      </c>
      <c r="H290" s="130" t="n"/>
      <c r="I290" s="131" t="n"/>
      <c r="J290" s="131">
        <f>IF(COUNTIF(B290:E290,"*")=0,"",IF(T290=1,"Invalid Service",IF(AND(V290=1,F290=""),"Add Session Mins",IF(AND(E290&gt;0,H290="",T290=""),"Enter Contract Rate",IF(AND(E290="IEP mtg, prep, rept",F290&gt;0),(G290*H290),IF(AND(E290&gt;0,F290&gt;0,H290&gt;0,I290=""),"Enter Travel",IF(AND(F290&gt;0,I290="Y"),(G290*H290)+$M$10,IF(AND(F290&gt;0,I290="N"),(G290*H290),H290))))))))</f>
        <v/>
      </c>
      <c r="K290" s="132">
        <f>J290</f>
        <v/>
      </c>
      <c r="L290" s="148" t="n"/>
      <c r="M290" s="148" t="n"/>
      <c r="N290" s="148" t="n"/>
      <c r="O290" s="87" t="n"/>
      <c r="P290" s="81" t="n"/>
      <c r="Q290" s="81" t="n"/>
      <c r="R290" s="81" t="n"/>
      <c r="S290" s="81" t="n"/>
      <c r="T290" s="136">
        <f>IF(AND(E290&gt;0,U290=0),1,"")</f>
        <v/>
      </c>
      <c r="U290" s="136">
        <f>SUM(X290:AR290)</f>
        <v/>
      </c>
      <c r="V290" s="136">
        <f>IF(E290=$Q$16,0,SUM(X290:AI290))</f>
        <v/>
      </c>
      <c r="W290" s="136">
        <f>SUM(AK290:AR290)</f>
        <v/>
      </c>
      <c r="X290" s="136">
        <f>IF(E290=$X$6,1,"")</f>
        <v/>
      </c>
      <c r="Y290" s="136">
        <f>IF(E290=$Y$6,1,"")</f>
        <v/>
      </c>
      <c r="Z290" s="136">
        <f>IF(E290=$Z$6,1,"")</f>
        <v/>
      </c>
      <c r="AA290" s="136">
        <f>IF(E290=$AA$6,1,"")</f>
        <v/>
      </c>
      <c r="AB290" s="136">
        <f>IF(E290=$AB$6,1,"")</f>
        <v/>
      </c>
      <c r="AC290" s="136">
        <f>IF(E290=$AC$6,1,"")</f>
        <v/>
      </c>
      <c r="AD290" s="136">
        <f>IF(E290=$AD$6,1,"")</f>
        <v/>
      </c>
      <c r="AE290" s="136">
        <f>IF(E290=$AE$6,1,"")</f>
        <v/>
      </c>
      <c r="AF290" s="136">
        <f>IF(E290=$AF$6,1,"")</f>
        <v/>
      </c>
      <c r="AG290" s="136">
        <f>IF(E290=$AG$6,1,"")</f>
        <v/>
      </c>
      <c r="AH290" s="136">
        <f>IF(E290=$AH$6,1,"")</f>
        <v/>
      </c>
      <c r="AI290" s="136">
        <f>IF(E290=$AI$6,1,"")</f>
        <v/>
      </c>
      <c r="AJ290" s="136">
        <f>IF(E290=$AJ$6,1,"")</f>
        <v/>
      </c>
      <c r="AK290" s="81">
        <f>IF(E290=$AK$6,1,"")</f>
        <v/>
      </c>
      <c r="AL290" s="81">
        <f>IF(E290=$AL$6,1,"")</f>
        <v/>
      </c>
      <c r="AM290" s="81">
        <f>IF(E290=$AM$6,1,"")</f>
        <v/>
      </c>
      <c r="AN290" s="81">
        <f>IF(E290=$AN$6,1,"")</f>
        <v/>
      </c>
      <c r="AO290" s="81">
        <f>IF(E290=$AO$6,1,"")</f>
        <v/>
      </c>
      <c r="AP290" s="81">
        <f>IF(E290=$AP$6,1,"")</f>
        <v/>
      </c>
      <c r="AQ290" s="81">
        <f>IF(E290=$AQ$6,1,"")</f>
        <v/>
      </c>
      <c r="AR290" s="81">
        <f>IF(E290=$AR$6,1,"")</f>
        <v/>
      </c>
      <c r="AS290" s="81" t="n"/>
    </row>
    <row r="291" ht="15.75" customHeight="1" s="80">
      <c r="A291" s="157" t="n"/>
      <c r="B291" s="124" t="n"/>
      <c r="C291" s="125" t="n"/>
      <c r="D291" s="126" t="n"/>
      <c r="E291" s="127" t="n"/>
      <c r="F291" s="128" t="n"/>
      <c r="G291" s="129">
        <f>IF(F291="","",ROUND(F291/60,2))</f>
        <v/>
      </c>
      <c r="H291" s="130" t="n"/>
      <c r="I291" s="131" t="n"/>
      <c r="J291" s="131">
        <f>IF(COUNTIF(B291:E291,"*")=0,"",IF(T291=1,"Invalid Service",IF(AND(V291=1,F291=""),"Add Session Mins",IF(AND(E291&gt;0,H291="",T291=""),"Enter Contract Rate",IF(AND(E291="IEP mtg, prep, rept",F291&gt;0),(G291*H291),IF(AND(E291&gt;0,F291&gt;0,H291&gt;0,I291=""),"Enter Travel",IF(AND(F291&gt;0,I291="Y"),(G291*H291)+$M$10,IF(AND(F291&gt;0,I291="N"),(G291*H291),H291))))))))</f>
        <v/>
      </c>
      <c r="K291" s="132">
        <f>J291</f>
        <v/>
      </c>
      <c r="L291" s="148" t="n"/>
      <c r="M291" s="148" t="n"/>
      <c r="N291" s="148" t="n"/>
      <c r="O291" s="87" t="n"/>
      <c r="P291" s="81" t="n"/>
      <c r="Q291" s="81" t="n"/>
      <c r="R291" s="81" t="n"/>
      <c r="S291" s="81" t="n"/>
      <c r="T291" s="136">
        <f>IF(AND(E291&gt;0,U291=0),1,"")</f>
        <v/>
      </c>
      <c r="U291" s="136">
        <f>SUM(X291:AR291)</f>
        <v/>
      </c>
      <c r="V291" s="136">
        <f>IF(E291=$Q$16,0,SUM(X291:AI291))</f>
        <v/>
      </c>
      <c r="W291" s="136">
        <f>SUM(AK291:AR291)</f>
        <v/>
      </c>
      <c r="X291" s="136">
        <f>IF(E291=$X$6,1,"")</f>
        <v/>
      </c>
      <c r="Y291" s="136">
        <f>IF(E291=$Y$6,1,"")</f>
        <v/>
      </c>
      <c r="Z291" s="136">
        <f>IF(E291=$Z$6,1,"")</f>
        <v/>
      </c>
      <c r="AA291" s="136">
        <f>IF(E291=$AA$6,1,"")</f>
        <v/>
      </c>
      <c r="AB291" s="136">
        <f>IF(E291=$AB$6,1,"")</f>
        <v/>
      </c>
      <c r="AC291" s="136">
        <f>IF(E291=$AC$6,1,"")</f>
        <v/>
      </c>
      <c r="AD291" s="136">
        <f>IF(E291=$AD$6,1,"")</f>
        <v/>
      </c>
      <c r="AE291" s="136">
        <f>IF(E291=$AE$6,1,"")</f>
        <v/>
      </c>
      <c r="AF291" s="136">
        <f>IF(E291=$AF$6,1,"")</f>
        <v/>
      </c>
      <c r="AG291" s="136">
        <f>IF(E291=$AG$6,1,"")</f>
        <v/>
      </c>
      <c r="AH291" s="136">
        <f>IF(E291=$AH$6,1,"")</f>
        <v/>
      </c>
      <c r="AI291" s="136">
        <f>IF(E291=$AI$6,1,"")</f>
        <v/>
      </c>
      <c r="AJ291" s="136">
        <f>IF(E291=$AJ$6,1,"")</f>
        <v/>
      </c>
      <c r="AK291" s="81">
        <f>IF(E291=$AK$6,1,"")</f>
        <v/>
      </c>
      <c r="AL291" s="81">
        <f>IF(E291=$AL$6,1,"")</f>
        <v/>
      </c>
      <c r="AM291" s="81">
        <f>IF(E291=$AM$6,1,"")</f>
        <v/>
      </c>
      <c r="AN291" s="81">
        <f>IF(E291=$AN$6,1,"")</f>
        <v/>
      </c>
      <c r="AO291" s="81">
        <f>IF(E291=$AO$6,1,"")</f>
        <v/>
      </c>
      <c r="AP291" s="81">
        <f>IF(E291=$AP$6,1,"")</f>
        <v/>
      </c>
      <c r="AQ291" s="81">
        <f>IF(E291=$AQ$6,1,"")</f>
        <v/>
      </c>
      <c r="AR291" s="81">
        <f>IF(E291=$AR$6,1,"")</f>
        <v/>
      </c>
      <c r="AS291" s="81" t="n"/>
    </row>
    <row r="292" ht="15.75" customHeight="1" s="80">
      <c r="A292" s="157" t="n"/>
      <c r="B292" s="124" t="n"/>
      <c r="C292" s="125" t="n"/>
      <c r="D292" s="126" t="n"/>
      <c r="E292" s="127" t="n"/>
      <c r="F292" s="128" t="n"/>
      <c r="G292" s="129">
        <f>IF(F292="","",ROUND(F292/60,2))</f>
        <v/>
      </c>
      <c r="H292" s="130" t="n"/>
      <c r="I292" s="131" t="n"/>
      <c r="J292" s="131">
        <f>IF(COUNTIF(B292:E292,"*")=0,"",IF(T292=1,"Invalid Service",IF(AND(V292=1,F292=""),"Add Session Mins",IF(AND(E292&gt;0,H292="",T292=""),"Enter Contract Rate",IF(AND(E292="IEP mtg, prep, rept",F292&gt;0),(G292*H292),IF(AND(E292&gt;0,F292&gt;0,H292&gt;0,I292=""),"Enter Travel",IF(AND(F292&gt;0,I292="Y"),(G292*H292)+$M$10,IF(AND(F292&gt;0,I292="N"),(G292*H292),H292))))))))</f>
        <v/>
      </c>
      <c r="K292" s="132">
        <f>J292</f>
        <v/>
      </c>
      <c r="L292" s="148" t="n"/>
      <c r="M292" s="148" t="n"/>
      <c r="N292" s="148" t="n"/>
      <c r="O292" s="87" t="n"/>
      <c r="P292" s="81" t="n"/>
      <c r="Q292" s="81" t="n"/>
      <c r="R292" s="81" t="n"/>
      <c r="S292" s="81" t="n"/>
      <c r="T292" s="136">
        <f>IF(AND(E292&gt;0,U292=0),1,"")</f>
        <v/>
      </c>
      <c r="U292" s="136">
        <f>SUM(X292:AR292)</f>
        <v/>
      </c>
      <c r="V292" s="136">
        <f>IF(E292=$Q$16,0,SUM(X292:AI292))</f>
        <v/>
      </c>
      <c r="W292" s="136">
        <f>SUM(AK292:AR292)</f>
        <v/>
      </c>
      <c r="X292" s="136">
        <f>IF(E292=$X$6,1,"")</f>
        <v/>
      </c>
      <c r="Y292" s="136">
        <f>IF(E292=$Y$6,1,"")</f>
        <v/>
      </c>
      <c r="Z292" s="136">
        <f>IF(E292=$Z$6,1,"")</f>
        <v/>
      </c>
      <c r="AA292" s="136">
        <f>IF(E292=$AA$6,1,"")</f>
        <v/>
      </c>
      <c r="AB292" s="136">
        <f>IF(E292=$AB$6,1,"")</f>
        <v/>
      </c>
      <c r="AC292" s="136">
        <f>IF(E292=$AC$6,1,"")</f>
        <v/>
      </c>
      <c r="AD292" s="136">
        <f>IF(E292=$AD$6,1,"")</f>
        <v/>
      </c>
      <c r="AE292" s="136">
        <f>IF(E292=$AE$6,1,"")</f>
        <v/>
      </c>
      <c r="AF292" s="136">
        <f>IF(E292=$AF$6,1,"")</f>
        <v/>
      </c>
      <c r="AG292" s="136">
        <f>IF(E292=$AG$6,1,"")</f>
        <v/>
      </c>
      <c r="AH292" s="136">
        <f>IF(E292=$AH$6,1,"")</f>
        <v/>
      </c>
      <c r="AI292" s="136">
        <f>IF(E292=$AI$6,1,"")</f>
        <v/>
      </c>
      <c r="AJ292" s="136">
        <f>IF(E292=$AJ$6,1,"")</f>
        <v/>
      </c>
      <c r="AK292" s="81">
        <f>IF(E292=$AK$6,1,"")</f>
        <v/>
      </c>
      <c r="AL292" s="81">
        <f>IF(E292=$AL$6,1,"")</f>
        <v/>
      </c>
      <c r="AM292" s="81">
        <f>IF(E292=$AM$6,1,"")</f>
        <v/>
      </c>
      <c r="AN292" s="81">
        <f>IF(E292=$AN$6,1,"")</f>
        <v/>
      </c>
      <c r="AO292" s="81">
        <f>IF(E292=$AO$6,1,"")</f>
        <v/>
      </c>
      <c r="AP292" s="81">
        <f>IF(E292=$AP$6,1,"")</f>
        <v/>
      </c>
      <c r="AQ292" s="81">
        <f>IF(E292=$AQ$6,1,"")</f>
        <v/>
      </c>
      <c r="AR292" s="81">
        <f>IF(E292=$AR$6,1,"")</f>
        <v/>
      </c>
      <c r="AS292" s="81" t="n"/>
    </row>
    <row r="293" ht="15.75" customHeight="1" s="80">
      <c r="A293" s="157" t="n"/>
      <c r="B293" s="124" t="n"/>
      <c r="C293" s="125" t="n"/>
      <c r="D293" s="126" t="n"/>
      <c r="E293" s="127" t="n"/>
      <c r="F293" s="128" t="n"/>
      <c r="G293" s="129">
        <f>IF(F293="","",ROUND(F293/60,2))</f>
        <v/>
      </c>
      <c r="H293" s="130" t="n"/>
      <c r="I293" s="131" t="n"/>
      <c r="J293" s="131">
        <f>IF(COUNTIF(B293:E293,"*")=0,"",IF(T293=1,"Invalid Service",IF(AND(V293=1,F293=""),"Add Session Mins",IF(AND(E293&gt;0,H293="",T293=""),"Enter Contract Rate",IF(AND(E293="IEP mtg, prep, rept",F293&gt;0),(G293*H293),IF(AND(E293&gt;0,F293&gt;0,H293&gt;0,I293=""),"Enter Travel",IF(AND(F293&gt;0,I293="Y"),(G293*H293)+$M$10,IF(AND(F293&gt;0,I293="N"),(G293*H293),H293))))))))</f>
        <v/>
      </c>
      <c r="K293" s="132">
        <f>J293</f>
        <v/>
      </c>
      <c r="L293" s="148" t="n"/>
      <c r="M293" s="148" t="n"/>
      <c r="N293" s="148" t="n"/>
      <c r="O293" s="87" t="n"/>
      <c r="P293" s="81" t="n"/>
      <c r="Q293" s="81" t="n"/>
      <c r="R293" s="81" t="n"/>
      <c r="S293" s="81" t="n"/>
      <c r="T293" s="136">
        <f>IF(AND(E293&gt;0,U293=0),1,"")</f>
        <v/>
      </c>
      <c r="U293" s="136">
        <f>SUM(X293:AR293)</f>
        <v/>
      </c>
      <c r="V293" s="136">
        <f>IF(E293=$Q$16,0,SUM(X293:AI293))</f>
        <v/>
      </c>
      <c r="W293" s="136">
        <f>SUM(AK293:AR293)</f>
        <v/>
      </c>
      <c r="X293" s="136">
        <f>IF(E293=$X$6,1,"")</f>
        <v/>
      </c>
      <c r="Y293" s="136">
        <f>IF(E293=$Y$6,1,"")</f>
        <v/>
      </c>
      <c r="Z293" s="136">
        <f>IF(E293=$Z$6,1,"")</f>
        <v/>
      </c>
      <c r="AA293" s="136">
        <f>IF(E293=$AA$6,1,"")</f>
        <v/>
      </c>
      <c r="AB293" s="136">
        <f>IF(E293=$AB$6,1,"")</f>
        <v/>
      </c>
      <c r="AC293" s="136">
        <f>IF(E293=$AC$6,1,"")</f>
        <v/>
      </c>
      <c r="AD293" s="136">
        <f>IF(E293=$AD$6,1,"")</f>
        <v/>
      </c>
      <c r="AE293" s="136">
        <f>IF(E293=$AE$6,1,"")</f>
        <v/>
      </c>
      <c r="AF293" s="136">
        <f>IF(E293=$AF$6,1,"")</f>
        <v/>
      </c>
      <c r="AG293" s="136">
        <f>IF(E293=$AG$6,1,"")</f>
        <v/>
      </c>
      <c r="AH293" s="136">
        <f>IF(E293=$AH$6,1,"")</f>
        <v/>
      </c>
      <c r="AI293" s="136">
        <f>IF(E293=$AI$6,1,"")</f>
        <v/>
      </c>
      <c r="AJ293" s="136">
        <f>IF(E293=$AJ$6,1,"")</f>
        <v/>
      </c>
      <c r="AK293" s="81">
        <f>IF(E293=$AK$6,1,"")</f>
        <v/>
      </c>
      <c r="AL293" s="81">
        <f>IF(E293=$AL$6,1,"")</f>
        <v/>
      </c>
      <c r="AM293" s="81">
        <f>IF(E293=$AM$6,1,"")</f>
        <v/>
      </c>
      <c r="AN293" s="81">
        <f>IF(E293=$AN$6,1,"")</f>
        <v/>
      </c>
      <c r="AO293" s="81">
        <f>IF(E293=$AO$6,1,"")</f>
        <v/>
      </c>
      <c r="AP293" s="81">
        <f>IF(E293=$AP$6,1,"")</f>
        <v/>
      </c>
      <c r="AQ293" s="81">
        <f>IF(E293=$AQ$6,1,"")</f>
        <v/>
      </c>
      <c r="AR293" s="81">
        <f>IF(E293=$AR$6,1,"")</f>
        <v/>
      </c>
      <c r="AS293" s="81" t="n"/>
    </row>
    <row r="294" ht="15.75" customHeight="1" s="80">
      <c r="A294" s="157" t="n"/>
      <c r="B294" s="124" t="n"/>
      <c r="C294" s="125" t="n"/>
      <c r="D294" s="126" t="n"/>
      <c r="E294" s="127" t="n"/>
      <c r="F294" s="128" t="n"/>
      <c r="G294" s="129">
        <f>IF(F294="","",ROUND(F294/60,2))</f>
        <v/>
      </c>
      <c r="H294" s="130" t="n"/>
      <c r="I294" s="131" t="n"/>
      <c r="J294" s="131">
        <f>IF(COUNTIF(B294:E294,"*")=0,"",IF(T294=1,"Invalid Service",IF(AND(V294=1,F294=""),"Add Session Mins",IF(AND(E294&gt;0,H294="",T294=""),"Enter Contract Rate",IF(AND(E294="IEP mtg, prep, rept",F294&gt;0),(G294*H294),IF(AND(E294&gt;0,F294&gt;0,H294&gt;0,I294=""),"Enter Travel",IF(AND(F294&gt;0,I294="Y"),(G294*H294)+$M$10,IF(AND(F294&gt;0,I294="N"),(G294*H294),H294))))))))</f>
        <v/>
      </c>
      <c r="K294" s="132">
        <f>J294</f>
        <v/>
      </c>
      <c r="L294" s="148" t="n"/>
      <c r="M294" s="148" t="n"/>
      <c r="N294" s="148" t="n"/>
      <c r="O294" s="87" t="n"/>
      <c r="P294" s="81" t="n"/>
      <c r="Q294" s="81" t="n"/>
      <c r="R294" s="81" t="n"/>
      <c r="S294" s="81" t="n"/>
      <c r="T294" s="136">
        <f>IF(AND(E294&gt;0,U294=0),1,"")</f>
        <v/>
      </c>
      <c r="U294" s="136">
        <f>SUM(X294:AR294)</f>
        <v/>
      </c>
      <c r="V294" s="136">
        <f>IF(E294=$Q$16,0,SUM(X294:AI294))</f>
        <v/>
      </c>
      <c r="W294" s="136">
        <f>SUM(AK294:AR294)</f>
        <v/>
      </c>
      <c r="X294" s="136">
        <f>IF(E294=$X$6,1,"")</f>
        <v/>
      </c>
      <c r="Y294" s="136">
        <f>IF(E294=$Y$6,1,"")</f>
        <v/>
      </c>
      <c r="Z294" s="136">
        <f>IF(E294=$Z$6,1,"")</f>
        <v/>
      </c>
      <c r="AA294" s="136">
        <f>IF(E294=$AA$6,1,"")</f>
        <v/>
      </c>
      <c r="AB294" s="136">
        <f>IF(E294=$AB$6,1,"")</f>
        <v/>
      </c>
      <c r="AC294" s="136">
        <f>IF(E294=$AC$6,1,"")</f>
        <v/>
      </c>
      <c r="AD294" s="136">
        <f>IF(E294=$AD$6,1,"")</f>
        <v/>
      </c>
      <c r="AE294" s="136">
        <f>IF(E294=$AE$6,1,"")</f>
        <v/>
      </c>
      <c r="AF294" s="136">
        <f>IF(E294=$AF$6,1,"")</f>
        <v/>
      </c>
      <c r="AG294" s="136">
        <f>IF(E294=$AG$6,1,"")</f>
        <v/>
      </c>
      <c r="AH294" s="136">
        <f>IF(E294=$AH$6,1,"")</f>
        <v/>
      </c>
      <c r="AI294" s="136">
        <f>IF(E294=$AI$6,1,"")</f>
        <v/>
      </c>
      <c r="AJ294" s="136">
        <f>IF(E294=$AJ$6,1,"")</f>
        <v/>
      </c>
      <c r="AK294" s="81">
        <f>IF(E294=$AK$6,1,"")</f>
        <v/>
      </c>
      <c r="AL294" s="81">
        <f>IF(E294=$AL$6,1,"")</f>
        <v/>
      </c>
      <c r="AM294" s="81">
        <f>IF(E294=$AM$6,1,"")</f>
        <v/>
      </c>
      <c r="AN294" s="81">
        <f>IF(E294=$AN$6,1,"")</f>
        <v/>
      </c>
      <c r="AO294" s="81">
        <f>IF(E294=$AO$6,1,"")</f>
        <v/>
      </c>
      <c r="AP294" s="81">
        <f>IF(E294=$AP$6,1,"")</f>
        <v/>
      </c>
      <c r="AQ294" s="81">
        <f>IF(E294=$AQ$6,1,"")</f>
        <v/>
      </c>
      <c r="AR294" s="81">
        <f>IF(E294=$AR$6,1,"")</f>
        <v/>
      </c>
      <c r="AS294" s="81" t="n"/>
    </row>
    <row r="295" ht="15.75" customHeight="1" s="80">
      <c r="A295" s="157" t="n"/>
      <c r="B295" s="124" t="n"/>
      <c r="C295" s="125" t="n"/>
      <c r="D295" s="126" t="n"/>
      <c r="E295" s="127" t="n"/>
      <c r="F295" s="128" t="n"/>
      <c r="G295" s="129">
        <f>IF(F295="","",ROUND(F295/60,2))</f>
        <v/>
      </c>
      <c r="H295" s="130" t="n"/>
      <c r="I295" s="131" t="n"/>
      <c r="J295" s="131">
        <f>IF(COUNTIF(B295:E295,"*")=0,"",IF(T295=1,"Invalid Service",IF(AND(V295=1,F295=""),"Add Session Mins",IF(AND(E295&gt;0,H295="",T295=""),"Enter Contract Rate",IF(AND(E295="IEP mtg, prep, rept",F295&gt;0),(G295*H295),IF(AND(E295&gt;0,F295&gt;0,H295&gt;0,I295=""),"Enter Travel",IF(AND(F295&gt;0,I295="Y"),(G295*H295)+$M$10,IF(AND(F295&gt;0,I295="N"),(G295*H295),H295))))))))</f>
        <v/>
      </c>
      <c r="K295" s="132">
        <f>J295</f>
        <v/>
      </c>
      <c r="L295" s="148" t="n"/>
      <c r="M295" s="148" t="n"/>
      <c r="N295" s="148" t="n"/>
      <c r="O295" s="87" t="n"/>
      <c r="P295" s="81" t="n"/>
      <c r="Q295" s="81" t="n"/>
      <c r="R295" s="81" t="n"/>
      <c r="S295" s="81" t="n"/>
      <c r="T295" s="136">
        <f>IF(AND(E295&gt;0,U295=0),1,"")</f>
        <v/>
      </c>
      <c r="U295" s="136">
        <f>SUM(X295:AR295)</f>
        <v/>
      </c>
      <c r="V295" s="136">
        <f>IF(E295=$Q$16,0,SUM(X295:AI295))</f>
        <v/>
      </c>
      <c r="W295" s="136">
        <f>SUM(AK295:AR295)</f>
        <v/>
      </c>
      <c r="X295" s="136">
        <f>IF(E295=$X$6,1,"")</f>
        <v/>
      </c>
      <c r="Y295" s="136">
        <f>IF(E295=$Y$6,1,"")</f>
        <v/>
      </c>
      <c r="Z295" s="136">
        <f>IF(E295=$Z$6,1,"")</f>
        <v/>
      </c>
      <c r="AA295" s="136">
        <f>IF(E295=$AA$6,1,"")</f>
        <v/>
      </c>
      <c r="AB295" s="136">
        <f>IF(E295=$AB$6,1,"")</f>
        <v/>
      </c>
      <c r="AC295" s="136">
        <f>IF(E295=$AC$6,1,"")</f>
        <v/>
      </c>
      <c r="AD295" s="136">
        <f>IF(E295=$AD$6,1,"")</f>
        <v/>
      </c>
      <c r="AE295" s="136">
        <f>IF(E295=$AE$6,1,"")</f>
        <v/>
      </c>
      <c r="AF295" s="136">
        <f>IF(E295=$AF$6,1,"")</f>
        <v/>
      </c>
      <c r="AG295" s="136">
        <f>IF(E295=$AG$6,1,"")</f>
        <v/>
      </c>
      <c r="AH295" s="136">
        <f>IF(E295=$AH$6,1,"")</f>
        <v/>
      </c>
      <c r="AI295" s="136">
        <f>IF(E295=$AI$6,1,"")</f>
        <v/>
      </c>
      <c r="AJ295" s="136">
        <f>IF(E295=$AJ$6,1,"")</f>
        <v/>
      </c>
      <c r="AK295" s="81">
        <f>IF(E295=$AK$6,1,"")</f>
        <v/>
      </c>
      <c r="AL295" s="81">
        <f>IF(E295=$AL$6,1,"")</f>
        <v/>
      </c>
      <c r="AM295" s="81">
        <f>IF(E295=$AM$6,1,"")</f>
        <v/>
      </c>
      <c r="AN295" s="81">
        <f>IF(E295=$AN$6,1,"")</f>
        <v/>
      </c>
      <c r="AO295" s="81">
        <f>IF(E295=$AO$6,1,"")</f>
        <v/>
      </c>
      <c r="AP295" s="81">
        <f>IF(E295=$AP$6,1,"")</f>
        <v/>
      </c>
      <c r="AQ295" s="81">
        <f>IF(E295=$AQ$6,1,"")</f>
        <v/>
      </c>
      <c r="AR295" s="81">
        <f>IF(E295=$AR$6,1,"")</f>
        <v/>
      </c>
      <c r="AS295" s="81" t="n"/>
    </row>
    <row r="296" ht="15.75" customHeight="1" s="80">
      <c r="A296" s="157" t="n"/>
      <c r="B296" s="124" t="n"/>
      <c r="C296" s="125" t="n"/>
      <c r="D296" s="126" t="n"/>
      <c r="E296" s="127" t="n"/>
      <c r="F296" s="128" t="n"/>
      <c r="G296" s="129">
        <f>IF(F296="","",ROUND(F296/60,2))</f>
        <v/>
      </c>
      <c r="H296" s="130" t="n"/>
      <c r="I296" s="131" t="n"/>
      <c r="J296" s="131">
        <f>IF(COUNTIF(B296:E296,"*")=0,"",IF(T296=1,"Invalid Service",IF(AND(V296=1,F296=""),"Add Session Mins",IF(AND(E296&gt;0,H296="",T296=""),"Enter Contract Rate",IF(AND(E296="IEP mtg, prep, rept",F296&gt;0),(G296*H296),IF(AND(E296&gt;0,F296&gt;0,H296&gt;0,I296=""),"Enter Travel",IF(AND(F296&gt;0,I296="Y"),(G296*H296)+$M$10,IF(AND(F296&gt;0,I296="N"),(G296*H296),H296))))))))</f>
        <v/>
      </c>
      <c r="K296" s="132">
        <f>J296</f>
        <v/>
      </c>
      <c r="L296" s="148" t="n"/>
      <c r="M296" s="148" t="n"/>
      <c r="N296" s="148" t="n"/>
      <c r="O296" s="87" t="n"/>
      <c r="P296" s="81" t="n"/>
      <c r="Q296" s="81" t="n"/>
      <c r="R296" s="81" t="n"/>
      <c r="S296" s="81" t="n"/>
      <c r="T296" s="136">
        <f>IF(AND(E296&gt;0,U296=0),1,"")</f>
        <v/>
      </c>
      <c r="U296" s="136">
        <f>SUM(X296:AR296)</f>
        <v/>
      </c>
      <c r="V296" s="136">
        <f>IF(E296=$Q$16,0,SUM(X296:AI296))</f>
        <v/>
      </c>
      <c r="W296" s="136">
        <f>SUM(AK296:AR296)</f>
        <v/>
      </c>
      <c r="X296" s="136">
        <f>IF(E296=$X$6,1,"")</f>
        <v/>
      </c>
      <c r="Y296" s="136">
        <f>IF(E296=$Y$6,1,"")</f>
        <v/>
      </c>
      <c r="Z296" s="136">
        <f>IF(E296=$Z$6,1,"")</f>
        <v/>
      </c>
      <c r="AA296" s="136">
        <f>IF(E296=$AA$6,1,"")</f>
        <v/>
      </c>
      <c r="AB296" s="136">
        <f>IF(E296=$AB$6,1,"")</f>
        <v/>
      </c>
      <c r="AC296" s="136">
        <f>IF(E296=$AC$6,1,"")</f>
        <v/>
      </c>
      <c r="AD296" s="136">
        <f>IF(E296=$AD$6,1,"")</f>
        <v/>
      </c>
      <c r="AE296" s="136">
        <f>IF(E296=$AE$6,1,"")</f>
        <v/>
      </c>
      <c r="AF296" s="136">
        <f>IF(E296=$AF$6,1,"")</f>
        <v/>
      </c>
      <c r="AG296" s="136">
        <f>IF(E296=$AG$6,1,"")</f>
        <v/>
      </c>
      <c r="AH296" s="136">
        <f>IF(E296=$AH$6,1,"")</f>
        <v/>
      </c>
      <c r="AI296" s="136">
        <f>IF(E296=$AI$6,1,"")</f>
        <v/>
      </c>
      <c r="AJ296" s="136">
        <f>IF(E296=$AJ$6,1,"")</f>
        <v/>
      </c>
      <c r="AK296" s="81">
        <f>IF(E296=$AK$6,1,"")</f>
        <v/>
      </c>
      <c r="AL296" s="81">
        <f>IF(E296=$AL$6,1,"")</f>
        <v/>
      </c>
      <c r="AM296" s="81">
        <f>IF(E296=$AM$6,1,"")</f>
        <v/>
      </c>
      <c r="AN296" s="81">
        <f>IF(E296=$AN$6,1,"")</f>
        <v/>
      </c>
      <c r="AO296" s="81">
        <f>IF(E296=$AO$6,1,"")</f>
        <v/>
      </c>
      <c r="AP296" s="81">
        <f>IF(E296=$AP$6,1,"")</f>
        <v/>
      </c>
      <c r="AQ296" s="81">
        <f>IF(E296=$AQ$6,1,"")</f>
        <v/>
      </c>
      <c r="AR296" s="81">
        <f>IF(E296=$AR$6,1,"")</f>
        <v/>
      </c>
      <c r="AS296" s="81" t="n"/>
    </row>
    <row r="297" ht="15.75" customHeight="1" s="80">
      <c r="A297" s="157" t="n"/>
      <c r="B297" s="124" t="n"/>
      <c r="C297" s="125" t="n"/>
      <c r="D297" s="126" t="n"/>
      <c r="E297" s="127" t="n"/>
      <c r="F297" s="128" t="n"/>
      <c r="G297" s="129">
        <f>IF(F297="","",ROUND(F297/60,2))</f>
        <v/>
      </c>
      <c r="H297" s="130" t="n"/>
      <c r="I297" s="131" t="n"/>
      <c r="J297" s="131">
        <f>IF(COUNTIF(B297:E297,"*")=0,"",IF(T297=1,"Invalid Service",IF(AND(V297=1,F297=""),"Add Session Mins",IF(AND(E297&gt;0,H297="",T297=""),"Enter Contract Rate",IF(AND(E297="IEP mtg, prep, rept",F297&gt;0),(G297*H297),IF(AND(E297&gt;0,F297&gt;0,H297&gt;0,I297=""),"Enter Travel",IF(AND(F297&gt;0,I297="Y"),(G297*H297)+$M$10,IF(AND(F297&gt;0,I297="N"),(G297*H297),H297))))))))</f>
        <v/>
      </c>
      <c r="K297" s="132">
        <f>J297</f>
        <v/>
      </c>
      <c r="L297" s="148" t="n"/>
      <c r="M297" s="148" t="n"/>
      <c r="N297" s="148" t="n"/>
      <c r="O297" s="87" t="n"/>
      <c r="P297" s="81" t="n"/>
      <c r="Q297" s="81" t="n"/>
      <c r="R297" s="81" t="n"/>
      <c r="S297" s="81" t="n"/>
      <c r="T297" s="136">
        <f>IF(AND(E297&gt;0,U297=0),1,"")</f>
        <v/>
      </c>
      <c r="U297" s="136">
        <f>SUM(X297:AR297)</f>
        <v/>
      </c>
      <c r="V297" s="136">
        <f>IF(E297=$Q$16,0,SUM(X297:AI297))</f>
        <v/>
      </c>
      <c r="W297" s="136">
        <f>SUM(AK297:AR297)</f>
        <v/>
      </c>
      <c r="X297" s="136">
        <f>IF(E297=$X$6,1,"")</f>
        <v/>
      </c>
      <c r="Y297" s="136">
        <f>IF(E297=$Y$6,1,"")</f>
        <v/>
      </c>
      <c r="Z297" s="136">
        <f>IF(E297=$Z$6,1,"")</f>
        <v/>
      </c>
      <c r="AA297" s="136">
        <f>IF(E297=$AA$6,1,"")</f>
        <v/>
      </c>
      <c r="AB297" s="136">
        <f>IF(E297=$AB$6,1,"")</f>
        <v/>
      </c>
      <c r="AC297" s="136">
        <f>IF(E297=$AC$6,1,"")</f>
        <v/>
      </c>
      <c r="AD297" s="136">
        <f>IF(E297=$AD$6,1,"")</f>
        <v/>
      </c>
      <c r="AE297" s="136">
        <f>IF(E297=$AE$6,1,"")</f>
        <v/>
      </c>
      <c r="AF297" s="136">
        <f>IF(E297=$AF$6,1,"")</f>
        <v/>
      </c>
      <c r="AG297" s="136">
        <f>IF(E297=$AG$6,1,"")</f>
        <v/>
      </c>
      <c r="AH297" s="136">
        <f>IF(E297=$AH$6,1,"")</f>
        <v/>
      </c>
      <c r="AI297" s="136">
        <f>IF(E297=$AI$6,1,"")</f>
        <v/>
      </c>
      <c r="AJ297" s="136">
        <f>IF(E297=$AJ$6,1,"")</f>
        <v/>
      </c>
      <c r="AK297" s="81">
        <f>IF(E297=$AK$6,1,"")</f>
        <v/>
      </c>
      <c r="AL297" s="81">
        <f>IF(E297=$AL$6,1,"")</f>
        <v/>
      </c>
      <c r="AM297" s="81">
        <f>IF(E297=$AM$6,1,"")</f>
        <v/>
      </c>
      <c r="AN297" s="81">
        <f>IF(E297=$AN$6,1,"")</f>
        <v/>
      </c>
      <c r="AO297" s="81">
        <f>IF(E297=$AO$6,1,"")</f>
        <v/>
      </c>
      <c r="AP297" s="81">
        <f>IF(E297=$AP$6,1,"")</f>
        <v/>
      </c>
      <c r="AQ297" s="81">
        <f>IF(E297=$AQ$6,1,"")</f>
        <v/>
      </c>
      <c r="AR297" s="81">
        <f>IF(E297=$AR$6,1,"")</f>
        <v/>
      </c>
      <c r="AS297" s="81" t="n"/>
    </row>
    <row r="298" ht="15.75" customHeight="1" s="80">
      <c r="A298" s="157" t="n"/>
      <c r="B298" s="124" t="n"/>
      <c r="C298" s="125" t="n"/>
      <c r="D298" s="126" t="n"/>
      <c r="E298" s="127" t="n"/>
      <c r="F298" s="128" t="n"/>
      <c r="G298" s="129">
        <f>IF(F298="","",ROUND(F298/60,2))</f>
        <v/>
      </c>
      <c r="H298" s="130" t="n"/>
      <c r="I298" s="131" t="n"/>
      <c r="J298" s="131">
        <f>IF(COUNTIF(B298:E298,"*")=0,"",IF(T298=1,"Invalid Service",IF(AND(V298=1,F298=""),"Add Session Mins",IF(AND(E298&gt;0,H298="",T298=""),"Enter Contract Rate",IF(AND(E298="IEP mtg, prep, rept",F298&gt;0),(G298*H298),IF(AND(E298&gt;0,F298&gt;0,H298&gt;0,I298=""),"Enter Travel",IF(AND(F298&gt;0,I298="Y"),(G298*H298)+$M$10,IF(AND(F298&gt;0,I298="N"),(G298*H298),H298))))))))</f>
        <v/>
      </c>
      <c r="K298" s="132">
        <f>J298</f>
        <v/>
      </c>
      <c r="L298" s="148" t="n"/>
      <c r="M298" s="148" t="n"/>
      <c r="N298" s="148" t="n"/>
      <c r="O298" s="87" t="n"/>
      <c r="P298" s="81" t="n"/>
      <c r="Q298" s="81" t="n"/>
      <c r="R298" s="81" t="n"/>
      <c r="S298" s="81" t="n"/>
      <c r="T298" s="136">
        <f>IF(AND(E298&gt;0,U298=0),1,"")</f>
        <v/>
      </c>
      <c r="U298" s="136">
        <f>SUM(X298:AR298)</f>
        <v/>
      </c>
      <c r="V298" s="136">
        <f>IF(E298=$Q$16,0,SUM(X298:AI298))</f>
        <v/>
      </c>
      <c r="W298" s="136">
        <f>SUM(AK298:AR298)</f>
        <v/>
      </c>
      <c r="X298" s="136">
        <f>IF(E298=$X$6,1,"")</f>
        <v/>
      </c>
      <c r="Y298" s="136">
        <f>IF(E298=$Y$6,1,"")</f>
        <v/>
      </c>
      <c r="Z298" s="136">
        <f>IF(E298=$Z$6,1,"")</f>
        <v/>
      </c>
      <c r="AA298" s="136">
        <f>IF(E298=$AA$6,1,"")</f>
        <v/>
      </c>
      <c r="AB298" s="136">
        <f>IF(E298=$AB$6,1,"")</f>
        <v/>
      </c>
      <c r="AC298" s="136">
        <f>IF(E298=$AC$6,1,"")</f>
        <v/>
      </c>
      <c r="AD298" s="136">
        <f>IF(E298=$AD$6,1,"")</f>
        <v/>
      </c>
      <c r="AE298" s="136">
        <f>IF(E298=$AE$6,1,"")</f>
        <v/>
      </c>
      <c r="AF298" s="136">
        <f>IF(E298=$AF$6,1,"")</f>
        <v/>
      </c>
      <c r="AG298" s="136">
        <f>IF(E298=$AG$6,1,"")</f>
        <v/>
      </c>
      <c r="AH298" s="136">
        <f>IF(E298=$AH$6,1,"")</f>
        <v/>
      </c>
      <c r="AI298" s="136">
        <f>IF(E298=$AI$6,1,"")</f>
        <v/>
      </c>
      <c r="AJ298" s="136">
        <f>IF(E298=$AJ$6,1,"")</f>
        <v/>
      </c>
      <c r="AK298" s="81">
        <f>IF(E298=$AK$6,1,"")</f>
        <v/>
      </c>
      <c r="AL298" s="81">
        <f>IF(E298=$AL$6,1,"")</f>
        <v/>
      </c>
      <c r="AM298" s="81">
        <f>IF(E298=$AM$6,1,"")</f>
        <v/>
      </c>
      <c r="AN298" s="81">
        <f>IF(E298=$AN$6,1,"")</f>
        <v/>
      </c>
      <c r="AO298" s="81">
        <f>IF(E298=$AO$6,1,"")</f>
        <v/>
      </c>
      <c r="AP298" s="81">
        <f>IF(E298=$AP$6,1,"")</f>
        <v/>
      </c>
      <c r="AQ298" s="81">
        <f>IF(E298=$AQ$6,1,"")</f>
        <v/>
      </c>
      <c r="AR298" s="81">
        <f>IF(E298=$AR$6,1,"")</f>
        <v/>
      </c>
      <c r="AS298" s="81" t="n"/>
    </row>
    <row r="299" ht="15.75" customHeight="1" s="80">
      <c r="A299" s="157" t="n"/>
      <c r="B299" s="124" t="n"/>
      <c r="C299" s="125" t="n"/>
      <c r="D299" s="126" t="n"/>
      <c r="E299" s="127" t="n"/>
      <c r="F299" s="128" t="n"/>
      <c r="G299" s="129">
        <f>IF(F299="","",ROUND(F299/60,2))</f>
        <v/>
      </c>
      <c r="H299" s="130" t="n"/>
      <c r="I299" s="131" t="n"/>
      <c r="J299" s="131">
        <f>IF(COUNTIF(B299:E299,"*")=0,"",IF(T299=1,"Invalid Service",IF(AND(V299=1,F299=""),"Add Session Mins",IF(AND(E299&gt;0,H299="",T299=""),"Enter Contract Rate",IF(AND(E299="IEP mtg, prep, rept",F299&gt;0),(G299*H299),IF(AND(E299&gt;0,F299&gt;0,H299&gt;0,I299=""),"Enter Travel",IF(AND(F299&gt;0,I299="Y"),(G299*H299)+$M$10,IF(AND(F299&gt;0,I299="N"),(G299*H299),H299))))))))</f>
        <v/>
      </c>
      <c r="K299" s="132">
        <f>J299</f>
        <v/>
      </c>
      <c r="L299" s="148" t="n"/>
      <c r="M299" s="148" t="n"/>
      <c r="N299" s="148" t="n"/>
      <c r="O299" s="87" t="n"/>
      <c r="P299" s="81" t="n"/>
      <c r="Q299" s="81" t="n"/>
      <c r="R299" s="81" t="n"/>
      <c r="S299" s="81" t="n"/>
      <c r="T299" s="136">
        <f>IF(AND(E299&gt;0,U299=0),1,"")</f>
        <v/>
      </c>
      <c r="U299" s="136">
        <f>SUM(X299:AR299)</f>
        <v/>
      </c>
      <c r="V299" s="136">
        <f>IF(E299=$Q$16,0,SUM(X299:AI299))</f>
        <v/>
      </c>
      <c r="W299" s="136">
        <f>SUM(AK299:AR299)</f>
        <v/>
      </c>
      <c r="X299" s="136">
        <f>IF(E299=$X$6,1,"")</f>
        <v/>
      </c>
      <c r="Y299" s="136">
        <f>IF(E299=$Y$6,1,"")</f>
        <v/>
      </c>
      <c r="Z299" s="136">
        <f>IF(E299=$Z$6,1,"")</f>
        <v/>
      </c>
      <c r="AA299" s="136">
        <f>IF(E299=$AA$6,1,"")</f>
        <v/>
      </c>
      <c r="AB299" s="136">
        <f>IF(E299=$AB$6,1,"")</f>
        <v/>
      </c>
      <c r="AC299" s="136">
        <f>IF(E299=$AC$6,1,"")</f>
        <v/>
      </c>
      <c r="AD299" s="136">
        <f>IF(E299=$AD$6,1,"")</f>
        <v/>
      </c>
      <c r="AE299" s="136">
        <f>IF(E299=$AE$6,1,"")</f>
        <v/>
      </c>
      <c r="AF299" s="136">
        <f>IF(E299=$AF$6,1,"")</f>
        <v/>
      </c>
      <c r="AG299" s="136">
        <f>IF(E299=$AG$6,1,"")</f>
        <v/>
      </c>
      <c r="AH299" s="136">
        <f>IF(E299=$AH$6,1,"")</f>
        <v/>
      </c>
      <c r="AI299" s="136">
        <f>IF(E299=$AI$6,1,"")</f>
        <v/>
      </c>
      <c r="AJ299" s="136">
        <f>IF(E299=$AJ$6,1,"")</f>
        <v/>
      </c>
      <c r="AK299" s="81">
        <f>IF(E299=$AK$6,1,"")</f>
        <v/>
      </c>
      <c r="AL299" s="81">
        <f>IF(E299=$AL$6,1,"")</f>
        <v/>
      </c>
      <c r="AM299" s="81">
        <f>IF(E299=$AM$6,1,"")</f>
        <v/>
      </c>
      <c r="AN299" s="81">
        <f>IF(E299=$AN$6,1,"")</f>
        <v/>
      </c>
      <c r="AO299" s="81">
        <f>IF(E299=$AO$6,1,"")</f>
        <v/>
      </c>
      <c r="AP299" s="81">
        <f>IF(E299=$AP$6,1,"")</f>
        <v/>
      </c>
      <c r="AQ299" s="81">
        <f>IF(E299=$AQ$6,1,"")</f>
        <v/>
      </c>
      <c r="AR299" s="81">
        <f>IF(E299=$AR$6,1,"")</f>
        <v/>
      </c>
      <c r="AS299" s="81" t="n"/>
    </row>
    <row r="300" ht="15.75" customHeight="1" s="80">
      <c r="A300" s="157" t="n"/>
      <c r="B300" s="124" t="n"/>
      <c r="C300" s="125" t="n"/>
      <c r="D300" s="126" t="n"/>
      <c r="E300" s="127" t="n"/>
      <c r="F300" s="128" t="n"/>
      <c r="G300" s="129">
        <f>IF(F300="","",ROUND(F300/60,2))</f>
        <v/>
      </c>
      <c r="H300" s="130" t="n"/>
      <c r="I300" s="131" t="n"/>
      <c r="J300" s="131">
        <f>IF(COUNTIF(B300:E300,"*")=0,"",IF(T300=1,"Invalid Service",IF(AND(V300=1,F300=""),"Add Session Mins",IF(AND(E300&gt;0,H300="",T300=""),"Enter Contract Rate",IF(AND(E300="IEP mtg, prep, rept",F300&gt;0),(G300*H300),IF(AND(E300&gt;0,F300&gt;0,H300&gt;0,I300=""),"Enter Travel",IF(AND(F300&gt;0,I300="Y"),(G300*H300)+$M$10,IF(AND(F300&gt;0,I300="N"),(G300*H300),H300))))))))</f>
        <v/>
      </c>
      <c r="K300" s="132">
        <f>J300</f>
        <v/>
      </c>
      <c r="L300" s="148" t="n"/>
      <c r="M300" s="148" t="n"/>
      <c r="N300" s="148" t="n"/>
      <c r="O300" s="87" t="n"/>
      <c r="P300" s="81" t="n"/>
      <c r="Q300" s="81" t="n"/>
      <c r="R300" s="81" t="n"/>
      <c r="S300" s="81" t="n"/>
      <c r="T300" s="136">
        <f>IF(AND(E300&gt;0,U300=0),1,"")</f>
        <v/>
      </c>
      <c r="U300" s="136">
        <f>SUM(X300:AR300)</f>
        <v/>
      </c>
      <c r="V300" s="136">
        <f>IF(E300=$Q$16,0,SUM(X300:AI300))</f>
        <v/>
      </c>
      <c r="W300" s="136">
        <f>SUM(AK300:AR300)</f>
        <v/>
      </c>
      <c r="X300" s="136">
        <f>IF(E300=$X$6,1,"")</f>
        <v/>
      </c>
      <c r="Y300" s="136">
        <f>IF(E300=$Y$6,1,"")</f>
        <v/>
      </c>
      <c r="Z300" s="136">
        <f>IF(E300=$Z$6,1,"")</f>
        <v/>
      </c>
      <c r="AA300" s="136">
        <f>IF(E300=$AA$6,1,"")</f>
        <v/>
      </c>
      <c r="AB300" s="136">
        <f>IF(E300=$AB$6,1,"")</f>
        <v/>
      </c>
      <c r="AC300" s="136">
        <f>IF(E300=$AC$6,1,"")</f>
        <v/>
      </c>
      <c r="AD300" s="136">
        <f>IF(E300=$AD$6,1,"")</f>
        <v/>
      </c>
      <c r="AE300" s="136">
        <f>IF(E300=$AE$6,1,"")</f>
        <v/>
      </c>
      <c r="AF300" s="136">
        <f>IF(E300=$AF$6,1,"")</f>
        <v/>
      </c>
      <c r="AG300" s="136">
        <f>IF(E300=$AG$6,1,"")</f>
        <v/>
      </c>
      <c r="AH300" s="136">
        <f>IF(E300=$AH$6,1,"")</f>
        <v/>
      </c>
      <c r="AI300" s="136">
        <f>IF(E300=$AI$6,1,"")</f>
        <v/>
      </c>
      <c r="AJ300" s="136">
        <f>IF(E300=$AJ$6,1,"")</f>
        <v/>
      </c>
      <c r="AK300" s="81">
        <f>IF(E300=$AK$6,1,"")</f>
        <v/>
      </c>
      <c r="AL300" s="81">
        <f>IF(E300=$AL$6,1,"")</f>
        <v/>
      </c>
      <c r="AM300" s="81">
        <f>IF(E300=$AM$6,1,"")</f>
        <v/>
      </c>
      <c r="AN300" s="81">
        <f>IF(E300=$AN$6,1,"")</f>
        <v/>
      </c>
      <c r="AO300" s="81">
        <f>IF(E300=$AO$6,1,"")</f>
        <v/>
      </c>
      <c r="AP300" s="81">
        <f>IF(E300=$AP$6,1,"")</f>
        <v/>
      </c>
      <c r="AQ300" s="81">
        <f>IF(E300=$AQ$6,1,"")</f>
        <v/>
      </c>
      <c r="AR300" s="81">
        <f>IF(E300=$AR$6,1,"")</f>
        <v/>
      </c>
      <c r="AS300" s="81" t="n"/>
    </row>
    <row r="301" ht="15.75" customHeight="1" s="80">
      <c r="A301" s="157" t="n"/>
      <c r="B301" s="124" t="n"/>
      <c r="C301" s="125" t="n"/>
      <c r="D301" s="126" t="n"/>
      <c r="E301" s="127" t="n"/>
      <c r="F301" s="128" t="n"/>
      <c r="G301" s="129">
        <f>IF(F301="","",ROUND(F301/60,2))</f>
        <v/>
      </c>
      <c r="H301" s="130" t="n"/>
      <c r="I301" s="131" t="n"/>
      <c r="J301" s="131">
        <f>IF(COUNTIF(B301:E301,"*")=0,"",IF(T301=1,"Invalid Service",IF(AND(V301=1,F301=""),"Add Session Mins",IF(AND(E301&gt;0,H301="",T301=""),"Enter Contract Rate",IF(AND(E301="IEP mtg, prep, rept",F301&gt;0),(G301*H301),IF(AND(E301&gt;0,F301&gt;0,H301&gt;0,I301=""),"Enter Travel",IF(AND(F301&gt;0,I301="Y"),(G301*H301)+$M$10,IF(AND(F301&gt;0,I301="N"),(G301*H301),H301))))))))</f>
        <v/>
      </c>
      <c r="K301" s="132">
        <f>J301</f>
        <v/>
      </c>
      <c r="L301" s="148" t="n"/>
      <c r="M301" s="148" t="n"/>
      <c r="N301" s="148" t="n"/>
      <c r="O301" s="87" t="n"/>
      <c r="P301" s="81" t="n"/>
      <c r="Q301" s="81" t="n"/>
      <c r="R301" s="81" t="n"/>
      <c r="S301" s="81" t="n"/>
      <c r="T301" s="136">
        <f>IF(AND(E301&gt;0,U301=0),1,"")</f>
        <v/>
      </c>
      <c r="U301" s="136">
        <f>SUM(X301:AR301)</f>
        <v/>
      </c>
      <c r="V301" s="136">
        <f>IF(E301=$Q$16,0,SUM(X301:AI301))</f>
        <v/>
      </c>
      <c r="W301" s="136">
        <f>SUM(AK301:AR301)</f>
        <v/>
      </c>
      <c r="X301" s="136">
        <f>IF(E301=$X$6,1,"")</f>
        <v/>
      </c>
      <c r="Y301" s="136">
        <f>IF(E301=$Y$6,1,"")</f>
        <v/>
      </c>
      <c r="Z301" s="136">
        <f>IF(E301=$Z$6,1,"")</f>
        <v/>
      </c>
      <c r="AA301" s="136">
        <f>IF(E301=$AA$6,1,"")</f>
        <v/>
      </c>
      <c r="AB301" s="136">
        <f>IF(E301=$AB$6,1,"")</f>
        <v/>
      </c>
      <c r="AC301" s="136">
        <f>IF(E301=$AC$6,1,"")</f>
        <v/>
      </c>
      <c r="AD301" s="136">
        <f>IF(E301=$AD$6,1,"")</f>
        <v/>
      </c>
      <c r="AE301" s="136">
        <f>IF(E301=$AE$6,1,"")</f>
        <v/>
      </c>
      <c r="AF301" s="136">
        <f>IF(E301=$AF$6,1,"")</f>
        <v/>
      </c>
      <c r="AG301" s="136">
        <f>IF(E301=$AG$6,1,"")</f>
        <v/>
      </c>
      <c r="AH301" s="136">
        <f>IF(E301=$AH$6,1,"")</f>
        <v/>
      </c>
      <c r="AI301" s="136">
        <f>IF(E301=$AI$6,1,"")</f>
        <v/>
      </c>
      <c r="AJ301" s="136">
        <f>IF(E301=$AJ$6,1,"")</f>
        <v/>
      </c>
      <c r="AK301" s="81">
        <f>IF(E301=$AK$6,1,"")</f>
        <v/>
      </c>
      <c r="AL301" s="81">
        <f>IF(E301=$AL$6,1,"")</f>
        <v/>
      </c>
      <c r="AM301" s="81">
        <f>IF(E301=$AM$6,1,"")</f>
        <v/>
      </c>
      <c r="AN301" s="81">
        <f>IF(E301=$AN$6,1,"")</f>
        <v/>
      </c>
      <c r="AO301" s="81">
        <f>IF(E301=$AO$6,1,"")</f>
        <v/>
      </c>
      <c r="AP301" s="81">
        <f>IF(E301=$AP$6,1,"")</f>
        <v/>
      </c>
      <c r="AQ301" s="81">
        <f>IF(E301=$AQ$6,1,"")</f>
        <v/>
      </c>
      <c r="AR301" s="81">
        <f>IF(E301=$AR$6,1,"")</f>
        <v/>
      </c>
      <c r="AS301" s="81" t="n"/>
    </row>
    <row r="302" ht="15.75" customHeight="1" s="80">
      <c r="A302" s="157" t="n"/>
      <c r="B302" s="124" t="n"/>
      <c r="C302" s="125" t="n"/>
      <c r="D302" s="126" t="n"/>
      <c r="E302" s="127" t="n"/>
      <c r="F302" s="128" t="n"/>
      <c r="G302" s="129">
        <f>IF(F302="","",ROUND(F302/60,2))</f>
        <v/>
      </c>
      <c r="H302" s="130" t="n"/>
      <c r="I302" s="131" t="n"/>
      <c r="J302" s="131">
        <f>IF(COUNTIF(B302:E302,"*")=0,"",IF(T302=1,"Invalid Service",IF(AND(V302=1,F302=""),"Add Session Mins",IF(AND(E302&gt;0,H302="",T302=""),"Enter Contract Rate",IF(AND(E302="IEP mtg, prep, rept",F302&gt;0),(G302*H302),IF(AND(E302&gt;0,F302&gt;0,H302&gt;0,I302=""),"Enter Travel",IF(AND(F302&gt;0,I302="Y"),(G302*H302)+$M$10,IF(AND(F302&gt;0,I302="N"),(G302*H302),H302))))))))</f>
        <v/>
      </c>
      <c r="K302" s="132">
        <f>J302</f>
        <v/>
      </c>
      <c r="L302" s="148" t="n"/>
      <c r="M302" s="148" t="n"/>
      <c r="N302" s="148" t="n"/>
      <c r="O302" s="87" t="n"/>
      <c r="P302" s="81" t="n"/>
      <c r="Q302" s="81" t="n"/>
      <c r="R302" s="81" t="n"/>
      <c r="S302" s="81" t="n"/>
      <c r="T302" s="136">
        <f>IF(AND(E302&gt;0,U302=0),1,"")</f>
        <v/>
      </c>
      <c r="U302" s="136">
        <f>SUM(X302:AR302)</f>
        <v/>
      </c>
      <c r="V302" s="136">
        <f>IF(E302=$Q$16,0,SUM(X302:AI302))</f>
        <v/>
      </c>
      <c r="W302" s="136">
        <f>SUM(AK302:AR302)</f>
        <v/>
      </c>
      <c r="X302" s="136">
        <f>IF(E302=$X$6,1,"")</f>
        <v/>
      </c>
      <c r="Y302" s="136">
        <f>IF(E302=$Y$6,1,"")</f>
        <v/>
      </c>
      <c r="Z302" s="136">
        <f>IF(E302=$Z$6,1,"")</f>
        <v/>
      </c>
      <c r="AA302" s="136">
        <f>IF(E302=$AA$6,1,"")</f>
        <v/>
      </c>
      <c r="AB302" s="136">
        <f>IF(E302=$AB$6,1,"")</f>
        <v/>
      </c>
      <c r="AC302" s="136">
        <f>IF(E302=$AC$6,1,"")</f>
        <v/>
      </c>
      <c r="AD302" s="136">
        <f>IF(E302=$AD$6,1,"")</f>
        <v/>
      </c>
      <c r="AE302" s="136">
        <f>IF(E302=$AE$6,1,"")</f>
        <v/>
      </c>
      <c r="AF302" s="136">
        <f>IF(E302=$AF$6,1,"")</f>
        <v/>
      </c>
      <c r="AG302" s="136">
        <f>IF(E302=$AG$6,1,"")</f>
        <v/>
      </c>
      <c r="AH302" s="136">
        <f>IF(E302=$AH$6,1,"")</f>
        <v/>
      </c>
      <c r="AI302" s="136">
        <f>IF(E302=$AI$6,1,"")</f>
        <v/>
      </c>
      <c r="AJ302" s="136">
        <f>IF(E302=$AJ$6,1,"")</f>
        <v/>
      </c>
      <c r="AK302" s="81">
        <f>IF(E302=$AK$6,1,"")</f>
        <v/>
      </c>
      <c r="AL302" s="81">
        <f>IF(E302=$AL$6,1,"")</f>
        <v/>
      </c>
      <c r="AM302" s="81">
        <f>IF(E302=$AM$6,1,"")</f>
        <v/>
      </c>
      <c r="AN302" s="81">
        <f>IF(E302=$AN$6,1,"")</f>
        <v/>
      </c>
      <c r="AO302" s="81">
        <f>IF(E302=$AO$6,1,"")</f>
        <v/>
      </c>
      <c r="AP302" s="81">
        <f>IF(E302=$AP$6,1,"")</f>
        <v/>
      </c>
      <c r="AQ302" s="81">
        <f>IF(E302=$AQ$6,1,"")</f>
        <v/>
      </c>
      <c r="AR302" s="81">
        <f>IF(E302=$AR$6,1,"")</f>
        <v/>
      </c>
      <c r="AS302" s="81" t="n"/>
    </row>
    <row r="303" ht="15.75" customHeight="1" s="80">
      <c r="A303" s="157" t="n"/>
      <c r="B303" s="124" t="n"/>
      <c r="C303" s="125" t="n"/>
      <c r="D303" s="126" t="n"/>
      <c r="E303" s="127" t="n"/>
      <c r="F303" s="128" t="n"/>
      <c r="G303" s="129">
        <f>IF(F303="","",ROUND(F303/60,2))</f>
        <v/>
      </c>
      <c r="H303" s="130" t="n"/>
      <c r="I303" s="131" t="n"/>
      <c r="J303" s="131">
        <f>IF(COUNTIF(B303:E303,"*")=0,"",IF(T303=1,"Invalid Service",IF(AND(V303=1,F303=""),"Add Session Mins",IF(AND(E303&gt;0,H303="",T303=""),"Enter Contract Rate",IF(AND(E303="IEP mtg, prep, rept",F303&gt;0),(G303*H303),IF(AND(E303&gt;0,F303&gt;0,H303&gt;0,I303=""),"Enter Travel",IF(AND(F303&gt;0,I303="Y"),(G303*H303)+$M$10,IF(AND(F303&gt;0,I303="N"),(G303*H303),H303))))))))</f>
        <v/>
      </c>
      <c r="K303" s="132">
        <f>J303</f>
        <v/>
      </c>
      <c r="L303" s="148" t="n"/>
      <c r="M303" s="148" t="n"/>
      <c r="N303" s="148" t="n"/>
      <c r="O303" s="87" t="n"/>
      <c r="P303" s="81" t="n"/>
      <c r="Q303" s="81" t="n"/>
      <c r="R303" s="81" t="n"/>
      <c r="S303" s="81" t="n"/>
      <c r="T303" s="136">
        <f>IF(AND(E303&gt;0,U303=0),1,"")</f>
        <v/>
      </c>
      <c r="U303" s="136">
        <f>SUM(X303:AR303)</f>
        <v/>
      </c>
      <c r="V303" s="136">
        <f>IF(E303=$Q$16,0,SUM(X303:AI303))</f>
        <v/>
      </c>
      <c r="W303" s="136">
        <f>SUM(AK303:AR303)</f>
        <v/>
      </c>
      <c r="X303" s="136">
        <f>IF(E303=$X$6,1,"")</f>
        <v/>
      </c>
      <c r="Y303" s="136">
        <f>IF(E303=$Y$6,1,"")</f>
        <v/>
      </c>
      <c r="Z303" s="136">
        <f>IF(E303=$Z$6,1,"")</f>
        <v/>
      </c>
      <c r="AA303" s="136">
        <f>IF(E303=$AA$6,1,"")</f>
        <v/>
      </c>
      <c r="AB303" s="136">
        <f>IF(E303=$AB$6,1,"")</f>
        <v/>
      </c>
      <c r="AC303" s="136">
        <f>IF(E303=$AC$6,1,"")</f>
        <v/>
      </c>
      <c r="AD303" s="136">
        <f>IF(E303=$AD$6,1,"")</f>
        <v/>
      </c>
      <c r="AE303" s="136">
        <f>IF(E303=$AE$6,1,"")</f>
        <v/>
      </c>
      <c r="AF303" s="136">
        <f>IF(E303=$AF$6,1,"")</f>
        <v/>
      </c>
      <c r="AG303" s="136">
        <f>IF(E303=$AG$6,1,"")</f>
        <v/>
      </c>
      <c r="AH303" s="136">
        <f>IF(E303=$AH$6,1,"")</f>
        <v/>
      </c>
      <c r="AI303" s="136">
        <f>IF(E303=$AI$6,1,"")</f>
        <v/>
      </c>
      <c r="AJ303" s="136">
        <f>IF(E303=$AJ$6,1,"")</f>
        <v/>
      </c>
      <c r="AK303" s="81">
        <f>IF(E303=$AK$6,1,"")</f>
        <v/>
      </c>
      <c r="AL303" s="81">
        <f>IF(E303=$AL$6,1,"")</f>
        <v/>
      </c>
      <c r="AM303" s="81">
        <f>IF(E303=$AM$6,1,"")</f>
        <v/>
      </c>
      <c r="AN303" s="81">
        <f>IF(E303=$AN$6,1,"")</f>
        <v/>
      </c>
      <c r="AO303" s="81">
        <f>IF(E303=$AO$6,1,"")</f>
        <v/>
      </c>
      <c r="AP303" s="81">
        <f>IF(E303=$AP$6,1,"")</f>
        <v/>
      </c>
      <c r="AQ303" s="81">
        <f>IF(E303=$AQ$6,1,"")</f>
        <v/>
      </c>
      <c r="AR303" s="81">
        <f>IF(E303=$AR$6,1,"")</f>
        <v/>
      </c>
      <c r="AS303" s="81" t="n"/>
    </row>
    <row r="304" ht="15.75" customHeight="1" s="80">
      <c r="A304" s="157" t="n"/>
      <c r="B304" s="124" t="n"/>
      <c r="C304" s="125" t="n"/>
      <c r="D304" s="126" t="n"/>
      <c r="E304" s="127" t="n"/>
      <c r="F304" s="128" t="n"/>
      <c r="G304" s="129">
        <f>IF(F304="","",ROUND(F304/60,2))</f>
        <v/>
      </c>
      <c r="H304" s="130" t="n"/>
      <c r="I304" s="131" t="n"/>
      <c r="J304" s="131">
        <f>IF(COUNTIF(B304:E304,"*")=0,"",IF(T304=1,"Invalid Service",IF(AND(V304=1,F304=""),"Add Session Mins",IF(AND(E304&gt;0,H304="",T304=""),"Enter Contract Rate",IF(AND(E304="IEP mtg, prep, rept",F304&gt;0),(G304*H304),IF(AND(E304&gt;0,F304&gt;0,H304&gt;0,I304=""),"Enter Travel",IF(AND(F304&gt;0,I304="Y"),(G304*H304)+$M$10,IF(AND(F304&gt;0,I304="N"),(G304*H304),H304))))))))</f>
        <v/>
      </c>
      <c r="K304" s="132">
        <f>J304</f>
        <v/>
      </c>
      <c r="L304" s="148" t="n"/>
      <c r="M304" s="148" t="n"/>
      <c r="N304" s="148" t="n"/>
      <c r="O304" s="87" t="n"/>
      <c r="P304" s="81" t="n"/>
      <c r="Q304" s="81" t="n"/>
      <c r="R304" s="81" t="n"/>
      <c r="S304" s="81" t="n"/>
      <c r="T304" s="136">
        <f>IF(AND(E304&gt;0,U304=0),1,"")</f>
        <v/>
      </c>
      <c r="U304" s="136">
        <f>SUM(X304:AR304)</f>
        <v/>
      </c>
      <c r="V304" s="136">
        <f>IF(E304=$Q$16,0,SUM(X304:AI304))</f>
        <v/>
      </c>
      <c r="W304" s="136">
        <f>SUM(AK304:AR304)</f>
        <v/>
      </c>
      <c r="X304" s="136">
        <f>IF(E304=$X$6,1,"")</f>
        <v/>
      </c>
      <c r="Y304" s="136">
        <f>IF(E304=$Y$6,1,"")</f>
        <v/>
      </c>
      <c r="Z304" s="136">
        <f>IF(E304=$Z$6,1,"")</f>
        <v/>
      </c>
      <c r="AA304" s="136">
        <f>IF(E304=$AA$6,1,"")</f>
        <v/>
      </c>
      <c r="AB304" s="136">
        <f>IF(E304=$AB$6,1,"")</f>
        <v/>
      </c>
      <c r="AC304" s="136">
        <f>IF(E304=$AC$6,1,"")</f>
        <v/>
      </c>
      <c r="AD304" s="136">
        <f>IF(E304=$AD$6,1,"")</f>
        <v/>
      </c>
      <c r="AE304" s="136">
        <f>IF(E304=$AE$6,1,"")</f>
        <v/>
      </c>
      <c r="AF304" s="136">
        <f>IF(E304=$AF$6,1,"")</f>
        <v/>
      </c>
      <c r="AG304" s="136">
        <f>IF(E304=$AG$6,1,"")</f>
        <v/>
      </c>
      <c r="AH304" s="136">
        <f>IF(E304=$AH$6,1,"")</f>
        <v/>
      </c>
      <c r="AI304" s="136">
        <f>IF(E304=$AI$6,1,"")</f>
        <v/>
      </c>
      <c r="AJ304" s="136">
        <f>IF(E304=$AJ$6,1,"")</f>
        <v/>
      </c>
      <c r="AK304" s="81">
        <f>IF(E304=$AK$6,1,"")</f>
        <v/>
      </c>
      <c r="AL304" s="81">
        <f>IF(E304=$AL$6,1,"")</f>
        <v/>
      </c>
      <c r="AM304" s="81">
        <f>IF(E304=$AM$6,1,"")</f>
        <v/>
      </c>
      <c r="AN304" s="81">
        <f>IF(E304=$AN$6,1,"")</f>
        <v/>
      </c>
      <c r="AO304" s="81">
        <f>IF(E304=$AO$6,1,"")</f>
        <v/>
      </c>
      <c r="AP304" s="81">
        <f>IF(E304=$AP$6,1,"")</f>
        <v/>
      </c>
      <c r="AQ304" s="81">
        <f>IF(E304=$AQ$6,1,"")</f>
        <v/>
      </c>
      <c r="AR304" s="81">
        <f>IF(E304=$AR$6,1,"")</f>
        <v/>
      </c>
      <c r="AS304" s="81" t="n"/>
    </row>
    <row r="305" ht="15.75" customHeight="1" s="80">
      <c r="A305" s="157" t="n"/>
      <c r="B305" s="124" t="n"/>
      <c r="C305" s="125" t="n"/>
      <c r="D305" s="126" t="n"/>
      <c r="E305" s="127" t="n"/>
      <c r="F305" s="128" t="n"/>
      <c r="G305" s="129">
        <f>IF(F305="","",ROUND(F305/60,2))</f>
        <v/>
      </c>
      <c r="H305" s="130" t="n"/>
      <c r="I305" s="131" t="n"/>
      <c r="J305" s="131">
        <f>IF(COUNTIF(B305:E305,"*")=0,"",IF(T305=1,"Invalid Service",IF(AND(V305=1,F305=""),"Add Session Mins",IF(AND(E305&gt;0,H305="",T305=""),"Enter Contract Rate",IF(AND(E305="IEP mtg, prep, rept",F305&gt;0),(G305*H305),IF(AND(E305&gt;0,F305&gt;0,H305&gt;0,I305=""),"Enter Travel",IF(AND(F305&gt;0,I305="Y"),(G305*H305)+$M$10,IF(AND(F305&gt;0,I305="N"),(G305*H305),H305))))))))</f>
        <v/>
      </c>
      <c r="K305" s="132">
        <f>J305</f>
        <v/>
      </c>
      <c r="L305" s="148" t="n"/>
      <c r="M305" s="148" t="n"/>
      <c r="N305" s="148" t="n"/>
      <c r="O305" s="87" t="n"/>
      <c r="P305" s="81" t="n"/>
      <c r="Q305" s="81" t="n"/>
      <c r="R305" s="81" t="n"/>
      <c r="S305" s="81" t="n"/>
      <c r="T305" s="136">
        <f>IF(AND(E305&gt;0,U305=0),1,"")</f>
        <v/>
      </c>
      <c r="U305" s="136">
        <f>SUM(X305:AR305)</f>
        <v/>
      </c>
      <c r="V305" s="136">
        <f>IF(E305=$Q$16,0,SUM(X305:AI305))</f>
        <v/>
      </c>
      <c r="W305" s="136">
        <f>SUM(AK305:AR305)</f>
        <v/>
      </c>
      <c r="X305" s="136">
        <f>IF(E305=$X$6,1,"")</f>
        <v/>
      </c>
      <c r="Y305" s="136">
        <f>IF(E305=$Y$6,1,"")</f>
        <v/>
      </c>
      <c r="Z305" s="136">
        <f>IF(E305=$Z$6,1,"")</f>
        <v/>
      </c>
      <c r="AA305" s="136">
        <f>IF(E305=$AA$6,1,"")</f>
        <v/>
      </c>
      <c r="AB305" s="136">
        <f>IF(E305=$AB$6,1,"")</f>
        <v/>
      </c>
      <c r="AC305" s="136">
        <f>IF(E305=$AC$6,1,"")</f>
        <v/>
      </c>
      <c r="AD305" s="136">
        <f>IF(E305=$AD$6,1,"")</f>
        <v/>
      </c>
      <c r="AE305" s="136">
        <f>IF(E305=$AE$6,1,"")</f>
        <v/>
      </c>
      <c r="AF305" s="136">
        <f>IF(E305=$AF$6,1,"")</f>
        <v/>
      </c>
      <c r="AG305" s="136">
        <f>IF(E305=$AG$6,1,"")</f>
        <v/>
      </c>
      <c r="AH305" s="136">
        <f>IF(E305=$AH$6,1,"")</f>
        <v/>
      </c>
      <c r="AI305" s="136">
        <f>IF(E305=$AI$6,1,"")</f>
        <v/>
      </c>
      <c r="AJ305" s="136">
        <f>IF(E305=$AJ$6,1,"")</f>
        <v/>
      </c>
      <c r="AK305" s="81">
        <f>IF(E305=$AK$6,1,"")</f>
        <v/>
      </c>
      <c r="AL305" s="81">
        <f>IF(E305=$AL$6,1,"")</f>
        <v/>
      </c>
      <c r="AM305" s="81">
        <f>IF(E305=$AM$6,1,"")</f>
        <v/>
      </c>
      <c r="AN305" s="81">
        <f>IF(E305=$AN$6,1,"")</f>
        <v/>
      </c>
      <c r="AO305" s="81">
        <f>IF(E305=$AO$6,1,"")</f>
        <v/>
      </c>
      <c r="AP305" s="81">
        <f>IF(E305=$AP$6,1,"")</f>
        <v/>
      </c>
      <c r="AQ305" s="81">
        <f>IF(E305=$AQ$6,1,"")</f>
        <v/>
      </c>
      <c r="AR305" s="81">
        <f>IF(E305=$AR$6,1,"")</f>
        <v/>
      </c>
      <c r="AS305" s="81" t="n"/>
    </row>
    <row r="306" ht="15.75" customHeight="1" s="80">
      <c r="A306" s="157" t="n"/>
      <c r="B306" s="124" t="n"/>
      <c r="C306" s="125" t="n"/>
      <c r="D306" s="126" t="n"/>
      <c r="E306" s="127" t="n"/>
      <c r="F306" s="128" t="n"/>
      <c r="G306" s="129">
        <f>IF(F306="","",ROUND(F306/60,2))</f>
        <v/>
      </c>
      <c r="H306" s="130" t="n"/>
      <c r="I306" s="131" t="n"/>
      <c r="J306" s="131">
        <f>IF(COUNTIF(B306:E306,"*")=0,"",IF(T306=1,"Invalid Service",IF(AND(V306=1,F306=""),"Add Session Mins",IF(AND(E306&gt;0,H306="",T306=""),"Enter Contract Rate",IF(AND(E306="IEP mtg, prep, rept",F306&gt;0),(G306*H306),IF(AND(E306&gt;0,F306&gt;0,H306&gt;0,I306=""),"Enter Travel",IF(AND(F306&gt;0,I306="Y"),(G306*H306)+$M$10,IF(AND(F306&gt;0,I306="N"),(G306*H306),H306))))))))</f>
        <v/>
      </c>
      <c r="K306" s="132">
        <f>J306</f>
        <v/>
      </c>
      <c r="L306" s="148" t="n"/>
      <c r="M306" s="148" t="n"/>
      <c r="N306" s="148" t="n"/>
      <c r="O306" s="87" t="n"/>
      <c r="P306" s="81" t="n"/>
      <c r="Q306" s="81" t="n"/>
      <c r="R306" s="81" t="n"/>
      <c r="S306" s="81" t="n"/>
      <c r="T306" s="136">
        <f>IF(AND(E306&gt;0,U306=0),1,"")</f>
        <v/>
      </c>
      <c r="U306" s="136">
        <f>SUM(X306:AR306)</f>
        <v/>
      </c>
      <c r="V306" s="136">
        <f>IF(E306=$Q$16,0,SUM(X306:AI306))</f>
        <v/>
      </c>
      <c r="W306" s="136">
        <f>SUM(AK306:AR306)</f>
        <v/>
      </c>
      <c r="X306" s="136">
        <f>IF(E306=$X$6,1,"")</f>
        <v/>
      </c>
      <c r="Y306" s="136">
        <f>IF(E306=$Y$6,1,"")</f>
        <v/>
      </c>
      <c r="Z306" s="136">
        <f>IF(E306=$Z$6,1,"")</f>
        <v/>
      </c>
      <c r="AA306" s="136">
        <f>IF(E306=$AA$6,1,"")</f>
        <v/>
      </c>
      <c r="AB306" s="136">
        <f>IF(E306=$AB$6,1,"")</f>
        <v/>
      </c>
      <c r="AC306" s="136">
        <f>IF(E306=$AC$6,1,"")</f>
        <v/>
      </c>
      <c r="AD306" s="136">
        <f>IF(E306=$AD$6,1,"")</f>
        <v/>
      </c>
      <c r="AE306" s="136">
        <f>IF(E306=$AE$6,1,"")</f>
        <v/>
      </c>
      <c r="AF306" s="136">
        <f>IF(E306=$AF$6,1,"")</f>
        <v/>
      </c>
      <c r="AG306" s="136">
        <f>IF(E306=$AG$6,1,"")</f>
        <v/>
      </c>
      <c r="AH306" s="136">
        <f>IF(E306=$AH$6,1,"")</f>
        <v/>
      </c>
      <c r="AI306" s="136">
        <f>IF(E306=$AI$6,1,"")</f>
        <v/>
      </c>
      <c r="AJ306" s="136">
        <f>IF(E306=$AJ$6,1,"")</f>
        <v/>
      </c>
      <c r="AK306" s="81">
        <f>IF(E306=$AK$6,1,"")</f>
        <v/>
      </c>
      <c r="AL306" s="81">
        <f>IF(E306=$AL$6,1,"")</f>
        <v/>
      </c>
      <c r="AM306" s="81">
        <f>IF(E306=$AM$6,1,"")</f>
        <v/>
      </c>
      <c r="AN306" s="81">
        <f>IF(E306=$AN$6,1,"")</f>
        <v/>
      </c>
      <c r="AO306" s="81">
        <f>IF(E306=$AO$6,1,"")</f>
        <v/>
      </c>
      <c r="AP306" s="81">
        <f>IF(E306=$AP$6,1,"")</f>
        <v/>
      </c>
      <c r="AQ306" s="81">
        <f>IF(E306=$AQ$6,1,"")</f>
        <v/>
      </c>
      <c r="AR306" s="81">
        <f>IF(E306=$AR$6,1,"")</f>
        <v/>
      </c>
      <c r="AS306" s="81" t="n"/>
    </row>
    <row r="307" ht="15.75" customHeight="1" s="80">
      <c r="A307" s="157" t="n"/>
      <c r="B307" s="124" t="n"/>
      <c r="C307" s="125" t="n"/>
      <c r="D307" s="126" t="n"/>
      <c r="E307" s="127" t="n"/>
      <c r="F307" s="128" t="n"/>
      <c r="G307" s="129">
        <f>IF(F307="","",ROUND(F307/60,2))</f>
        <v/>
      </c>
      <c r="H307" s="130" t="n"/>
      <c r="I307" s="131" t="n"/>
      <c r="J307" s="131">
        <f>IF(COUNTIF(B307:E307,"*")=0,"",IF(T307=1,"Invalid Service",IF(AND(V307=1,F307=""),"Add Session Mins",IF(AND(E307&gt;0,H307="",T307=""),"Enter Contract Rate",IF(AND(E307="IEP mtg, prep, rept",F307&gt;0),(G307*H307),IF(AND(E307&gt;0,F307&gt;0,H307&gt;0,I307=""),"Enter Travel",IF(AND(F307&gt;0,I307="Y"),(G307*H307)+$M$10,IF(AND(F307&gt;0,I307="N"),(G307*H307),H307))))))))</f>
        <v/>
      </c>
      <c r="K307" s="132">
        <f>J307</f>
        <v/>
      </c>
      <c r="L307" s="148" t="n"/>
      <c r="M307" s="148" t="n"/>
      <c r="N307" s="148" t="n"/>
      <c r="O307" s="87" t="n"/>
      <c r="P307" s="81" t="n"/>
      <c r="Q307" s="81" t="n"/>
      <c r="R307" s="81" t="n"/>
      <c r="S307" s="81" t="n"/>
      <c r="T307" s="136">
        <f>IF(AND(E307&gt;0,U307=0),1,"")</f>
        <v/>
      </c>
      <c r="U307" s="136">
        <f>SUM(X307:AR307)</f>
        <v/>
      </c>
      <c r="V307" s="136">
        <f>IF(E307=$Q$16,0,SUM(X307:AI307))</f>
        <v/>
      </c>
      <c r="W307" s="136">
        <f>SUM(AK307:AR307)</f>
        <v/>
      </c>
      <c r="X307" s="136">
        <f>IF(E307=$X$6,1,"")</f>
        <v/>
      </c>
      <c r="Y307" s="136">
        <f>IF(E307=$Y$6,1,"")</f>
        <v/>
      </c>
      <c r="Z307" s="136">
        <f>IF(E307=$Z$6,1,"")</f>
        <v/>
      </c>
      <c r="AA307" s="136">
        <f>IF(E307=$AA$6,1,"")</f>
        <v/>
      </c>
      <c r="AB307" s="136">
        <f>IF(E307=$AB$6,1,"")</f>
        <v/>
      </c>
      <c r="AC307" s="136">
        <f>IF(E307=$AC$6,1,"")</f>
        <v/>
      </c>
      <c r="AD307" s="136">
        <f>IF(E307=$AD$6,1,"")</f>
        <v/>
      </c>
      <c r="AE307" s="136">
        <f>IF(E307=$AE$6,1,"")</f>
        <v/>
      </c>
      <c r="AF307" s="136">
        <f>IF(E307=$AF$6,1,"")</f>
        <v/>
      </c>
      <c r="AG307" s="136">
        <f>IF(E307=$AG$6,1,"")</f>
        <v/>
      </c>
      <c r="AH307" s="136">
        <f>IF(E307=$AH$6,1,"")</f>
        <v/>
      </c>
      <c r="AI307" s="136">
        <f>IF(E307=$AI$6,1,"")</f>
        <v/>
      </c>
      <c r="AJ307" s="136">
        <f>IF(E307=$AJ$6,1,"")</f>
        <v/>
      </c>
      <c r="AK307" s="81">
        <f>IF(E307=$AK$6,1,"")</f>
        <v/>
      </c>
      <c r="AL307" s="81">
        <f>IF(E307=$AL$6,1,"")</f>
        <v/>
      </c>
      <c r="AM307" s="81">
        <f>IF(E307=$AM$6,1,"")</f>
        <v/>
      </c>
      <c r="AN307" s="81">
        <f>IF(E307=$AN$6,1,"")</f>
        <v/>
      </c>
      <c r="AO307" s="81">
        <f>IF(E307=$AO$6,1,"")</f>
        <v/>
      </c>
      <c r="AP307" s="81">
        <f>IF(E307=$AP$6,1,"")</f>
        <v/>
      </c>
      <c r="AQ307" s="81">
        <f>IF(E307=$AQ$6,1,"")</f>
        <v/>
      </c>
      <c r="AR307" s="81">
        <f>IF(E307=$AR$6,1,"")</f>
        <v/>
      </c>
      <c r="AS307" s="81" t="n"/>
    </row>
    <row r="308" ht="15.75" customHeight="1" s="80">
      <c r="A308" s="157" t="n"/>
      <c r="B308" s="124" t="n"/>
      <c r="C308" s="125" t="n"/>
      <c r="D308" s="126" t="n"/>
      <c r="E308" s="127" t="n"/>
      <c r="F308" s="128" t="n"/>
      <c r="G308" s="129">
        <f>IF(F308="","",ROUND(F308/60,2))</f>
        <v/>
      </c>
      <c r="H308" s="130" t="n"/>
      <c r="I308" s="131" t="n"/>
      <c r="J308" s="131">
        <f>IF(COUNTIF(B308:E308,"*")=0,"",IF(T308=1,"Invalid Service",IF(AND(V308=1,F308=""),"Add Session Mins",IF(AND(E308&gt;0,H308="",T308=""),"Enter Contract Rate",IF(AND(E308="IEP mtg, prep, rept",F308&gt;0),(G308*H308),IF(AND(E308&gt;0,F308&gt;0,H308&gt;0,I308=""),"Enter Travel",IF(AND(F308&gt;0,I308="Y"),(G308*H308)+$M$10,IF(AND(F308&gt;0,I308="N"),(G308*H308),H308))))))))</f>
        <v/>
      </c>
      <c r="K308" s="132">
        <f>J308</f>
        <v/>
      </c>
      <c r="L308" s="148" t="n"/>
      <c r="M308" s="148" t="n"/>
      <c r="N308" s="148" t="n"/>
      <c r="O308" s="87" t="n"/>
      <c r="P308" s="81" t="n"/>
      <c r="Q308" s="81" t="n"/>
      <c r="R308" s="81" t="n"/>
      <c r="S308" s="81" t="n"/>
      <c r="T308" s="136">
        <f>IF(AND(E308&gt;0,U308=0),1,"")</f>
        <v/>
      </c>
      <c r="U308" s="136">
        <f>SUM(X308:AR308)</f>
        <v/>
      </c>
      <c r="V308" s="136">
        <f>IF(E308=$Q$16,0,SUM(X308:AI308))</f>
        <v/>
      </c>
      <c r="W308" s="136">
        <f>SUM(AK308:AR308)</f>
        <v/>
      </c>
      <c r="X308" s="136">
        <f>IF(E308=$X$6,1,"")</f>
        <v/>
      </c>
      <c r="Y308" s="136">
        <f>IF(E308=$Y$6,1,"")</f>
        <v/>
      </c>
      <c r="Z308" s="136">
        <f>IF(E308=$Z$6,1,"")</f>
        <v/>
      </c>
      <c r="AA308" s="136">
        <f>IF(E308=$AA$6,1,"")</f>
        <v/>
      </c>
      <c r="AB308" s="136">
        <f>IF(E308=$AB$6,1,"")</f>
        <v/>
      </c>
      <c r="AC308" s="136">
        <f>IF(E308=$AC$6,1,"")</f>
        <v/>
      </c>
      <c r="AD308" s="136">
        <f>IF(E308=$AD$6,1,"")</f>
        <v/>
      </c>
      <c r="AE308" s="136">
        <f>IF(E308=$AE$6,1,"")</f>
        <v/>
      </c>
      <c r="AF308" s="136">
        <f>IF(E308=$AF$6,1,"")</f>
        <v/>
      </c>
      <c r="AG308" s="136">
        <f>IF(E308=$AG$6,1,"")</f>
        <v/>
      </c>
      <c r="AH308" s="136">
        <f>IF(E308=$AH$6,1,"")</f>
        <v/>
      </c>
      <c r="AI308" s="136">
        <f>IF(E308=$AI$6,1,"")</f>
        <v/>
      </c>
      <c r="AJ308" s="136">
        <f>IF(E308=$AJ$6,1,"")</f>
        <v/>
      </c>
      <c r="AK308" s="81">
        <f>IF(E308=$AK$6,1,"")</f>
        <v/>
      </c>
      <c r="AL308" s="81">
        <f>IF(E308=$AL$6,1,"")</f>
        <v/>
      </c>
      <c r="AM308" s="81">
        <f>IF(E308=$AM$6,1,"")</f>
        <v/>
      </c>
      <c r="AN308" s="81">
        <f>IF(E308=$AN$6,1,"")</f>
        <v/>
      </c>
      <c r="AO308" s="81">
        <f>IF(E308=$AO$6,1,"")</f>
        <v/>
      </c>
      <c r="AP308" s="81">
        <f>IF(E308=$AP$6,1,"")</f>
        <v/>
      </c>
      <c r="AQ308" s="81">
        <f>IF(E308=$AQ$6,1,"")</f>
        <v/>
      </c>
      <c r="AR308" s="81">
        <f>IF(E308=$AR$6,1,"")</f>
        <v/>
      </c>
      <c r="AS308" s="81" t="n"/>
    </row>
    <row r="309" ht="15.75" customHeight="1" s="80">
      <c r="A309" s="157" t="n"/>
      <c r="B309" s="124" t="n"/>
      <c r="C309" s="125" t="n"/>
      <c r="D309" s="126" t="n"/>
      <c r="E309" s="127" t="n"/>
      <c r="F309" s="128" t="n"/>
      <c r="G309" s="129">
        <f>IF(F309="","",ROUND(F309/60,2))</f>
        <v/>
      </c>
      <c r="H309" s="130" t="n"/>
      <c r="I309" s="131" t="n"/>
      <c r="J309" s="131">
        <f>IF(COUNTIF(B309:E309,"*")=0,"",IF(T309=1,"Invalid Service",IF(AND(V309=1,F309=""),"Add Session Mins",IF(AND(E309&gt;0,H309="",T309=""),"Enter Contract Rate",IF(AND(E309="IEP mtg, prep, rept",F309&gt;0),(G309*H309),IF(AND(E309&gt;0,F309&gt;0,H309&gt;0,I309=""),"Enter Travel",IF(AND(F309&gt;0,I309="Y"),(G309*H309)+$M$10,IF(AND(F309&gt;0,I309="N"),(G309*H309),H309))))))))</f>
        <v/>
      </c>
      <c r="K309" s="132">
        <f>J309</f>
        <v/>
      </c>
      <c r="L309" s="148" t="n"/>
      <c r="M309" s="148" t="n"/>
      <c r="N309" s="148" t="n"/>
      <c r="O309" s="87" t="n"/>
      <c r="P309" s="81" t="n"/>
      <c r="Q309" s="81" t="n"/>
      <c r="R309" s="81" t="n"/>
      <c r="S309" s="81" t="n"/>
      <c r="T309" s="136">
        <f>IF(AND(E309&gt;0,U309=0),1,"")</f>
        <v/>
      </c>
      <c r="U309" s="136">
        <f>SUM(X309:AR309)</f>
        <v/>
      </c>
      <c r="V309" s="136">
        <f>IF(E309=$Q$16,0,SUM(X309:AI309))</f>
        <v/>
      </c>
      <c r="W309" s="136">
        <f>SUM(AK309:AR309)</f>
        <v/>
      </c>
      <c r="X309" s="136">
        <f>IF(E309=$X$6,1,"")</f>
        <v/>
      </c>
      <c r="Y309" s="136">
        <f>IF(E309=$Y$6,1,"")</f>
        <v/>
      </c>
      <c r="Z309" s="136">
        <f>IF(E309=$Z$6,1,"")</f>
        <v/>
      </c>
      <c r="AA309" s="136">
        <f>IF(E309=$AA$6,1,"")</f>
        <v/>
      </c>
      <c r="AB309" s="136">
        <f>IF(E309=$AB$6,1,"")</f>
        <v/>
      </c>
      <c r="AC309" s="136">
        <f>IF(E309=$AC$6,1,"")</f>
        <v/>
      </c>
      <c r="AD309" s="136">
        <f>IF(E309=$AD$6,1,"")</f>
        <v/>
      </c>
      <c r="AE309" s="136">
        <f>IF(E309=$AE$6,1,"")</f>
        <v/>
      </c>
      <c r="AF309" s="136">
        <f>IF(E309=$AF$6,1,"")</f>
        <v/>
      </c>
      <c r="AG309" s="136">
        <f>IF(E309=$AG$6,1,"")</f>
        <v/>
      </c>
      <c r="AH309" s="136">
        <f>IF(E309=$AH$6,1,"")</f>
        <v/>
      </c>
      <c r="AI309" s="136">
        <f>IF(E309=$AI$6,1,"")</f>
        <v/>
      </c>
      <c r="AJ309" s="136">
        <f>IF(E309=$AJ$6,1,"")</f>
        <v/>
      </c>
      <c r="AK309" s="81">
        <f>IF(E309=$AK$6,1,"")</f>
        <v/>
      </c>
      <c r="AL309" s="81">
        <f>IF(E309=$AL$6,1,"")</f>
        <v/>
      </c>
      <c r="AM309" s="81">
        <f>IF(E309=$AM$6,1,"")</f>
        <v/>
      </c>
      <c r="AN309" s="81">
        <f>IF(E309=$AN$6,1,"")</f>
        <v/>
      </c>
      <c r="AO309" s="81">
        <f>IF(E309=$AO$6,1,"")</f>
        <v/>
      </c>
      <c r="AP309" s="81">
        <f>IF(E309=$AP$6,1,"")</f>
        <v/>
      </c>
      <c r="AQ309" s="81">
        <f>IF(E309=$AQ$6,1,"")</f>
        <v/>
      </c>
      <c r="AR309" s="81">
        <f>IF(E309=$AR$6,1,"")</f>
        <v/>
      </c>
      <c r="AS309" s="81" t="n"/>
    </row>
    <row r="310" ht="15.75" customHeight="1" s="80">
      <c r="A310" s="157" t="n"/>
      <c r="B310" s="124" t="n"/>
      <c r="C310" s="125" t="n"/>
      <c r="D310" s="126" t="n"/>
      <c r="E310" s="127" t="n"/>
      <c r="F310" s="128" t="n"/>
      <c r="G310" s="129">
        <f>IF(F310="","",ROUND(F310/60,2))</f>
        <v/>
      </c>
      <c r="H310" s="130" t="n"/>
      <c r="I310" s="131" t="n"/>
      <c r="J310" s="131">
        <f>IF(COUNTIF(B310:E310,"*")=0,"",IF(T310=1,"Invalid Service",IF(AND(V310=1,F310=""),"Add Session Mins",IF(AND(E310&gt;0,H310="",T310=""),"Enter Contract Rate",IF(AND(E310="IEP mtg, prep, rept",F310&gt;0),(G310*H310),IF(AND(E310&gt;0,F310&gt;0,H310&gt;0,I310=""),"Enter Travel",IF(AND(F310&gt;0,I310="Y"),(G310*H310)+$M$10,IF(AND(F310&gt;0,I310="N"),(G310*H310),H310))))))))</f>
        <v/>
      </c>
      <c r="K310" s="132">
        <f>J310</f>
        <v/>
      </c>
      <c r="L310" s="148" t="n"/>
      <c r="M310" s="148" t="n"/>
      <c r="N310" s="148" t="n"/>
      <c r="O310" s="87" t="n"/>
      <c r="P310" s="81" t="n"/>
      <c r="Q310" s="81" t="n"/>
      <c r="R310" s="81" t="n"/>
      <c r="S310" s="81" t="n"/>
      <c r="T310" s="136">
        <f>IF(AND(E310&gt;0,U310=0),1,"")</f>
        <v/>
      </c>
      <c r="U310" s="136">
        <f>SUM(X310:AR310)</f>
        <v/>
      </c>
      <c r="V310" s="136">
        <f>IF(E310=$Q$16,0,SUM(X310:AI310))</f>
        <v/>
      </c>
      <c r="W310" s="136">
        <f>SUM(AK310:AR310)</f>
        <v/>
      </c>
      <c r="X310" s="136">
        <f>IF(E310=$X$6,1,"")</f>
        <v/>
      </c>
      <c r="Y310" s="136">
        <f>IF(E310=$Y$6,1,"")</f>
        <v/>
      </c>
      <c r="Z310" s="136">
        <f>IF(E310=$Z$6,1,"")</f>
        <v/>
      </c>
      <c r="AA310" s="136">
        <f>IF(E310=$AA$6,1,"")</f>
        <v/>
      </c>
      <c r="AB310" s="136">
        <f>IF(E310=$AB$6,1,"")</f>
        <v/>
      </c>
      <c r="AC310" s="136">
        <f>IF(E310=$AC$6,1,"")</f>
        <v/>
      </c>
      <c r="AD310" s="136">
        <f>IF(E310=$AD$6,1,"")</f>
        <v/>
      </c>
      <c r="AE310" s="136">
        <f>IF(E310=$AE$6,1,"")</f>
        <v/>
      </c>
      <c r="AF310" s="136">
        <f>IF(E310=$AF$6,1,"")</f>
        <v/>
      </c>
      <c r="AG310" s="136">
        <f>IF(E310=$AG$6,1,"")</f>
        <v/>
      </c>
      <c r="AH310" s="136">
        <f>IF(E310=$AH$6,1,"")</f>
        <v/>
      </c>
      <c r="AI310" s="136">
        <f>IF(E310=$AI$6,1,"")</f>
        <v/>
      </c>
      <c r="AJ310" s="136">
        <f>IF(E310=$AJ$6,1,"")</f>
        <v/>
      </c>
      <c r="AK310" s="81">
        <f>IF(E310=$AK$6,1,"")</f>
        <v/>
      </c>
      <c r="AL310" s="81">
        <f>IF(E310=$AL$6,1,"")</f>
        <v/>
      </c>
      <c r="AM310" s="81">
        <f>IF(E310=$AM$6,1,"")</f>
        <v/>
      </c>
      <c r="AN310" s="81">
        <f>IF(E310=$AN$6,1,"")</f>
        <v/>
      </c>
      <c r="AO310" s="81">
        <f>IF(E310=$AO$6,1,"")</f>
        <v/>
      </c>
      <c r="AP310" s="81">
        <f>IF(E310=$AP$6,1,"")</f>
        <v/>
      </c>
      <c r="AQ310" s="81">
        <f>IF(E310=$AQ$6,1,"")</f>
        <v/>
      </c>
      <c r="AR310" s="81">
        <f>IF(E310=$AR$6,1,"")</f>
        <v/>
      </c>
      <c r="AS310" s="81" t="n"/>
    </row>
    <row r="311" ht="15.75" customHeight="1" s="80">
      <c r="A311" s="157" t="n"/>
      <c r="B311" s="124" t="n"/>
      <c r="C311" s="125" t="n"/>
      <c r="D311" s="126" t="n"/>
      <c r="E311" s="127" t="n"/>
      <c r="F311" s="128" t="n"/>
      <c r="G311" s="129">
        <f>IF(F311="","",ROUND(F311/60,2))</f>
        <v/>
      </c>
      <c r="H311" s="130" t="n"/>
      <c r="I311" s="131" t="n"/>
      <c r="J311" s="131">
        <f>IF(COUNTIF(B311:E311,"*")=0,"",IF(T311=1,"Invalid Service",IF(AND(V311=1,F311=""),"Add Session Mins",IF(AND(E311&gt;0,H311="",T311=""),"Enter Contract Rate",IF(AND(E311="IEP mtg, prep, rept",F311&gt;0),(G311*H311),IF(AND(E311&gt;0,F311&gt;0,H311&gt;0,I311=""),"Enter Travel",IF(AND(F311&gt;0,I311="Y"),(G311*H311)+$M$10,IF(AND(F311&gt;0,I311="N"),(G311*H311),H311))))))))</f>
        <v/>
      </c>
      <c r="K311" s="132">
        <f>J311</f>
        <v/>
      </c>
      <c r="L311" s="148" t="n"/>
      <c r="M311" s="148" t="n"/>
      <c r="N311" s="148" t="n"/>
      <c r="O311" s="87" t="n"/>
      <c r="P311" s="81" t="n"/>
      <c r="Q311" s="81" t="n"/>
      <c r="R311" s="81" t="n"/>
      <c r="S311" s="81" t="n"/>
      <c r="T311" s="136">
        <f>IF(AND(E311&gt;0,U311=0),1,"")</f>
        <v/>
      </c>
      <c r="U311" s="136">
        <f>SUM(X311:AR311)</f>
        <v/>
      </c>
      <c r="V311" s="136">
        <f>IF(E311=$Q$16,0,SUM(X311:AI311))</f>
        <v/>
      </c>
      <c r="W311" s="136">
        <f>SUM(AK311:AR311)</f>
        <v/>
      </c>
      <c r="X311" s="136">
        <f>IF(E311=$X$6,1,"")</f>
        <v/>
      </c>
      <c r="Y311" s="136">
        <f>IF(E311=$Y$6,1,"")</f>
        <v/>
      </c>
      <c r="Z311" s="136">
        <f>IF(E311=$Z$6,1,"")</f>
        <v/>
      </c>
      <c r="AA311" s="136">
        <f>IF(E311=$AA$6,1,"")</f>
        <v/>
      </c>
      <c r="AB311" s="136">
        <f>IF(E311=$AB$6,1,"")</f>
        <v/>
      </c>
      <c r="AC311" s="136">
        <f>IF(E311=$AC$6,1,"")</f>
        <v/>
      </c>
      <c r="AD311" s="136">
        <f>IF(E311=$AD$6,1,"")</f>
        <v/>
      </c>
      <c r="AE311" s="136">
        <f>IF(E311=$AE$6,1,"")</f>
        <v/>
      </c>
      <c r="AF311" s="136">
        <f>IF(E311=$AF$6,1,"")</f>
        <v/>
      </c>
      <c r="AG311" s="136">
        <f>IF(E311=$AG$6,1,"")</f>
        <v/>
      </c>
      <c r="AH311" s="136">
        <f>IF(E311=$AH$6,1,"")</f>
        <v/>
      </c>
      <c r="AI311" s="136">
        <f>IF(E311=$AI$6,1,"")</f>
        <v/>
      </c>
      <c r="AJ311" s="136">
        <f>IF(E311=$AJ$6,1,"")</f>
        <v/>
      </c>
      <c r="AK311" s="81">
        <f>IF(E311=$AK$6,1,"")</f>
        <v/>
      </c>
      <c r="AL311" s="81">
        <f>IF(E311=$AL$6,1,"")</f>
        <v/>
      </c>
      <c r="AM311" s="81">
        <f>IF(E311=$AM$6,1,"")</f>
        <v/>
      </c>
      <c r="AN311" s="81">
        <f>IF(E311=$AN$6,1,"")</f>
        <v/>
      </c>
      <c r="AO311" s="81">
        <f>IF(E311=$AO$6,1,"")</f>
        <v/>
      </c>
      <c r="AP311" s="81">
        <f>IF(E311=$AP$6,1,"")</f>
        <v/>
      </c>
      <c r="AQ311" s="81">
        <f>IF(E311=$AQ$6,1,"")</f>
        <v/>
      </c>
      <c r="AR311" s="81">
        <f>IF(E311=$AR$6,1,"")</f>
        <v/>
      </c>
      <c r="AS311" s="81" t="n"/>
    </row>
    <row r="312" ht="15.75" customHeight="1" s="80">
      <c r="A312" s="157" t="n"/>
      <c r="B312" s="124" t="n"/>
      <c r="C312" s="125" t="n"/>
      <c r="D312" s="126" t="n"/>
      <c r="E312" s="127" t="n"/>
      <c r="F312" s="128" t="n"/>
      <c r="G312" s="129">
        <f>IF(F312="","",ROUND(F312/60,2))</f>
        <v/>
      </c>
      <c r="H312" s="130" t="n"/>
      <c r="I312" s="131" t="n"/>
      <c r="J312" s="131">
        <f>IF(COUNTIF(B312:E312,"*")=0,"",IF(T312=1,"Invalid Service",IF(AND(V312=1,F312=""),"Add Session Mins",IF(AND(E312&gt;0,H312="",T312=""),"Enter Contract Rate",IF(AND(E312="IEP mtg, prep, rept",F312&gt;0),(G312*H312),IF(AND(E312&gt;0,F312&gt;0,H312&gt;0,I312=""),"Enter Travel",IF(AND(F312&gt;0,I312="Y"),(G312*H312)+$M$10,IF(AND(F312&gt;0,I312="N"),(G312*H312),H312))))))))</f>
        <v/>
      </c>
      <c r="K312" s="132">
        <f>J312</f>
        <v/>
      </c>
      <c r="L312" s="148" t="n"/>
      <c r="M312" s="148" t="n"/>
      <c r="N312" s="148" t="n"/>
      <c r="O312" s="87" t="n"/>
      <c r="P312" s="81" t="n"/>
      <c r="Q312" s="81" t="n"/>
      <c r="R312" s="81" t="n"/>
      <c r="S312" s="81" t="n"/>
      <c r="T312" s="136">
        <f>IF(AND(E312&gt;0,U312=0),1,"")</f>
        <v/>
      </c>
      <c r="U312" s="136">
        <f>SUM(X312:AR312)</f>
        <v/>
      </c>
      <c r="V312" s="136">
        <f>IF(E312=$Q$16,0,SUM(X312:AI312))</f>
        <v/>
      </c>
      <c r="W312" s="136">
        <f>SUM(AK312:AR312)</f>
        <v/>
      </c>
      <c r="X312" s="136">
        <f>IF(E312=$X$6,1,"")</f>
        <v/>
      </c>
      <c r="Y312" s="136">
        <f>IF(E312=$Y$6,1,"")</f>
        <v/>
      </c>
      <c r="Z312" s="136">
        <f>IF(E312=$Z$6,1,"")</f>
        <v/>
      </c>
      <c r="AA312" s="136">
        <f>IF(E312=$AA$6,1,"")</f>
        <v/>
      </c>
      <c r="AB312" s="136">
        <f>IF(E312=$AB$6,1,"")</f>
        <v/>
      </c>
      <c r="AC312" s="136">
        <f>IF(E312=$AC$6,1,"")</f>
        <v/>
      </c>
      <c r="AD312" s="136">
        <f>IF(E312=$AD$6,1,"")</f>
        <v/>
      </c>
      <c r="AE312" s="136">
        <f>IF(E312=$AE$6,1,"")</f>
        <v/>
      </c>
      <c r="AF312" s="136">
        <f>IF(E312=$AF$6,1,"")</f>
        <v/>
      </c>
      <c r="AG312" s="136">
        <f>IF(E312=$AG$6,1,"")</f>
        <v/>
      </c>
      <c r="AH312" s="136">
        <f>IF(E312=$AH$6,1,"")</f>
        <v/>
      </c>
      <c r="AI312" s="136">
        <f>IF(E312=$AI$6,1,"")</f>
        <v/>
      </c>
      <c r="AJ312" s="136">
        <f>IF(E312=$AJ$6,1,"")</f>
        <v/>
      </c>
      <c r="AK312" s="81">
        <f>IF(E312=$AK$6,1,"")</f>
        <v/>
      </c>
      <c r="AL312" s="81">
        <f>IF(E312=$AL$6,1,"")</f>
        <v/>
      </c>
      <c r="AM312" s="81">
        <f>IF(E312=$AM$6,1,"")</f>
        <v/>
      </c>
      <c r="AN312" s="81">
        <f>IF(E312=$AN$6,1,"")</f>
        <v/>
      </c>
      <c r="AO312" s="81">
        <f>IF(E312=$AO$6,1,"")</f>
        <v/>
      </c>
      <c r="AP312" s="81">
        <f>IF(E312=$AP$6,1,"")</f>
        <v/>
      </c>
      <c r="AQ312" s="81">
        <f>IF(E312=$AQ$6,1,"")</f>
        <v/>
      </c>
      <c r="AR312" s="81">
        <f>IF(E312=$AR$6,1,"")</f>
        <v/>
      </c>
      <c r="AS312" s="81" t="n"/>
    </row>
    <row r="313" ht="15.75" customHeight="1" s="80">
      <c r="A313" s="157" t="n"/>
      <c r="B313" s="124" t="n"/>
      <c r="C313" s="125" t="n"/>
      <c r="D313" s="126" t="n"/>
      <c r="E313" s="127" t="n"/>
      <c r="F313" s="128" t="n"/>
      <c r="G313" s="129">
        <f>IF(F313="","",ROUND(F313/60,2))</f>
        <v/>
      </c>
      <c r="H313" s="130" t="n"/>
      <c r="I313" s="131" t="n"/>
      <c r="J313" s="131">
        <f>IF(COUNTIF(B313:E313,"*")=0,"",IF(T313=1,"Invalid Service",IF(AND(V313=1,F313=""),"Add Session Mins",IF(AND(E313&gt;0,H313="",T313=""),"Enter Contract Rate",IF(AND(E313="IEP mtg, prep, rept",F313&gt;0),(G313*H313),IF(AND(E313&gt;0,F313&gt;0,H313&gt;0,I313=""),"Enter Travel",IF(AND(F313&gt;0,I313="Y"),(G313*H313)+$M$10,IF(AND(F313&gt;0,I313="N"),(G313*H313),H313))))))))</f>
        <v/>
      </c>
      <c r="K313" s="132">
        <f>J313</f>
        <v/>
      </c>
      <c r="L313" s="148" t="n"/>
      <c r="M313" s="148" t="n"/>
      <c r="N313" s="148" t="n"/>
      <c r="O313" s="87" t="n"/>
      <c r="P313" s="81" t="n"/>
      <c r="Q313" s="81" t="n"/>
      <c r="R313" s="81" t="n"/>
      <c r="S313" s="81" t="n"/>
      <c r="T313" s="136">
        <f>IF(AND(E313&gt;0,U313=0),1,"")</f>
        <v/>
      </c>
      <c r="U313" s="136">
        <f>SUM(X313:AR313)</f>
        <v/>
      </c>
      <c r="V313" s="136">
        <f>IF(E313=$Q$16,0,SUM(X313:AI313))</f>
        <v/>
      </c>
      <c r="W313" s="136">
        <f>SUM(AK313:AR313)</f>
        <v/>
      </c>
      <c r="X313" s="136">
        <f>IF(E313=$X$6,1,"")</f>
        <v/>
      </c>
      <c r="Y313" s="136">
        <f>IF(E313=$Y$6,1,"")</f>
        <v/>
      </c>
      <c r="Z313" s="136">
        <f>IF(E313=$Z$6,1,"")</f>
        <v/>
      </c>
      <c r="AA313" s="136">
        <f>IF(E313=$AA$6,1,"")</f>
        <v/>
      </c>
      <c r="AB313" s="136">
        <f>IF(E313=$AB$6,1,"")</f>
        <v/>
      </c>
      <c r="AC313" s="136">
        <f>IF(E313=$AC$6,1,"")</f>
        <v/>
      </c>
      <c r="AD313" s="136">
        <f>IF(E313=$AD$6,1,"")</f>
        <v/>
      </c>
      <c r="AE313" s="136">
        <f>IF(E313=$AE$6,1,"")</f>
        <v/>
      </c>
      <c r="AF313" s="136">
        <f>IF(E313=$AF$6,1,"")</f>
        <v/>
      </c>
      <c r="AG313" s="136">
        <f>IF(E313=$AG$6,1,"")</f>
        <v/>
      </c>
      <c r="AH313" s="136">
        <f>IF(E313=$AH$6,1,"")</f>
        <v/>
      </c>
      <c r="AI313" s="136">
        <f>IF(E313=$AI$6,1,"")</f>
        <v/>
      </c>
      <c r="AJ313" s="136">
        <f>IF(E313=$AJ$6,1,"")</f>
        <v/>
      </c>
      <c r="AK313" s="81">
        <f>IF(E313=$AK$6,1,"")</f>
        <v/>
      </c>
      <c r="AL313" s="81">
        <f>IF(E313=$AL$6,1,"")</f>
        <v/>
      </c>
      <c r="AM313" s="81">
        <f>IF(E313=$AM$6,1,"")</f>
        <v/>
      </c>
      <c r="AN313" s="81">
        <f>IF(E313=$AN$6,1,"")</f>
        <v/>
      </c>
      <c r="AO313" s="81">
        <f>IF(E313=$AO$6,1,"")</f>
        <v/>
      </c>
      <c r="AP313" s="81">
        <f>IF(E313=$AP$6,1,"")</f>
        <v/>
      </c>
      <c r="AQ313" s="81">
        <f>IF(E313=$AQ$6,1,"")</f>
        <v/>
      </c>
      <c r="AR313" s="81">
        <f>IF(E313=$AR$6,1,"")</f>
        <v/>
      </c>
      <c r="AS313" s="81" t="n"/>
    </row>
    <row r="314" ht="15.75" customHeight="1" s="80">
      <c r="A314" s="157" t="n"/>
      <c r="B314" s="124" t="n"/>
      <c r="C314" s="125" t="n"/>
      <c r="D314" s="126" t="n"/>
      <c r="E314" s="127" t="n"/>
      <c r="F314" s="128" t="n"/>
      <c r="G314" s="129">
        <f>IF(F314="","",ROUND(F314/60,2))</f>
        <v/>
      </c>
      <c r="H314" s="130" t="n"/>
      <c r="I314" s="131" t="n"/>
      <c r="J314" s="131">
        <f>IF(COUNTIF(B314:E314,"*")=0,"",IF(T314=1,"Invalid Service",IF(AND(V314=1,F314=""),"Add Session Mins",IF(AND(E314&gt;0,H314="",T314=""),"Enter Contract Rate",IF(AND(E314="IEP mtg, prep, rept",F314&gt;0),(G314*H314),IF(AND(E314&gt;0,F314&gt;0,H314&gt;0,I314=""),"Enter Travel",IF(AND(F314&gt;0,I314="Y"),(G314*H314)+$M$10,IF(AND(F314&gt;0,I314="N"),(G314*H314),H314))))))))</f>
        <v/>
      </c>
      <c r="K314" s="132">
        <f>J314</f>
        <v/>
      </c>
      <c r="L314" s="148" t="n"/>
      <c r="M314" s="148" t="n"/>
      <c r="N314" s="148" t="n"/>
      <c r="O314" s="87" t="n"/>
      <c r="P314" s="81" t="n"/>
      <c r="Q314" s="81" t="n"/>
      <c r="R314" s="81" t="n"/>
      <c r="S314" s="81" t="n"/>
      <c r="T314" s="136">
        <f>IF(AND(E314&gt;0,U314=0),1,"")</f>
        <v/>
      </c>
      <c r="U314" s="136">
        <f>SUM(X314:AR314)</f>
        <v/>
      </c>
      <c r="V314" s="136">
        <f>IF(E314=$Q$16,0,SUM(X314:AI314))</f>
        <v/>
      </c>
      <c r="W314" s="136">
        <f>SUM(AK314:AR314)</f>
        <v/>
      </c>
      <c r="X314" s="136">
        <f>IF(E314=$X$6,1,"")</f>
        <v/>
      </c>
      <c r="Y314" s="136">
        <f>IF(E314=$Y$6,1,"")</f>
        <v/>
      </c>
      <c r="Z314" s="136">
        <f>IF(E314=$Z$6,1,"")</f>
        <v/>
      </c>
      <c r="AA314" s="136">
        <f>IF(E314=$AA$6,1,"")</f>
        <v/>
      </c>
      <c r="AB314" s="136">
        <f>IF(E314=$AB$6,1,"")</f>
        <v/>
      </c>
      <c r="AC314" s="136">
        <f>IF(E314=$AC$6,1,"")</f>
        <v/>
      </c>
      <c r="AD314" s="136">
        <f>IF(E314=$AD$6,1,"")</f>
        <v/>
      </c>
      <c r="AE314" s="136">
        <f>IF(E314=$AE$6,1,"")</f>
        <v/>
      </c>
      <c r="AF314" s="136">
        <f>IF(E314=$AF$6,1,"")</f>
        <v/>
      </c>
      <c r="AG314" s="136">
        <f>IF(E314=$AG$6,1,"")</f>
        <v/>
      </c>
      <c r="AH314" s="136">
        <f>IF(E314=$AH$6,1,"")</f>
        <v/>
      </c>
      <c r="AI314" s="136">
        <f>IF(E314=$AI$6,1,"")</f>
        <v/>
      </c>
      <c r="AJ314" s="136">
        <f>IF(E314=$AJ$6,1,"")</f>
        <v/>
      </c>
      <c r="AK314" s="81">
        <f>IF(E314=$AK$6,1,"")</f>
        <v/>
      </c>
      <c r="AL314" s="81">
        <f>IF(E314=$AL$6,1,"")</f>
        <v/>
      </c>
      <c r="AM314" s="81">
        <f>IF(E314=$AM$6,1,"")</f>
        <v/>
      </c>
      <c r="AN314" s="81">
        <f>IF(E314=$AN$6,1,"")</f>
        <v/>
      </c>
      <c r="AO314" s="81">
        <f>IF(E314=$AO$6,1,"")</f>
        <v/>
      </c>
      <c r="AP314" s="81">
        <f>IF(E314=$AP$6,1,"")</f>
        <v/>
      </c>
      <c r="AQ314" s="81">
        <f>IF(E314=$AQ$6,1,"")</f>
        <v/>
      </c>
      <c r="AR314" s="81">
        <f>IF(E314=$AR$6,1,"")</f>
        <v/>
      </c>
      <c r="AS314" s="81" t="n"/>
    </row>
    <row r="315" ht="15.75" customHeight="1" s="80">
      <c r="A315" s="157" t="n"/>
      <c r="B315" s="124" t="n"/>
      <c r="C315" s="125" t="n"/>
      <c r="D315" s="126" t="n"/>
      <c r="E315" s="127" t="n"/>
      <c r="F315" s="128" t="n"/>
      <c r="G315" s="129">
        <f>IF(F315="","",ROUND(F315/60,2))</f>
        <v/>
      </c>
      <c r="H315" s="130" t="n"/>
      <c r="I315" s="131" t="n"/>
      <c r="J315" s="131">
        <f>IF(COUNTIF(B315:E315,"*")=0,"",IF(T315=1,"Invalid Service",IF(AND(V315=1,F315=""),"Add Session Mins",IF(AND(E315&gt;0,H315="",T315=""),"Enter Contract Rate",IF(AND(E315="IEP mtg, prep, rept",F315&gt;0),(G315*H315),IF(AND(E315&gt;0,F315&gt;0,H315&gt;0,I315=""),"Enter Travel",IF(AND(F315&gt;0,I315="Y"),(G315*H315)+$M$10,IF(AND(F315&gt;0,I315="N"),(G315*H315),H315))))))))</f>
        <v/>
      </c>
      <c r="K315" s="132">
        <f>J315</f>
        <v/>
      </c>
      <c r="L315" s="148" t="n"/>
      <c r="M315" s="148" t="n"/>
      <c r="N315" s="148" t="n"/>
      <c r="O315" s="87" t="n"/>
      <c r="P315" s="81" t="n"/>
      <c r="Q315" s="81" t="n"/>
      <c r="R315" s="81" t="n"/>
      <c r="S315" s="81" t="n"/>
      <c r="T315" s="136">
        <f>IF(AND(E315&gt;0,U315=0),1,"")</f>
        <v/>
      </c>
      <c r="U315" s="136">
        <f>SUM(X315:AR315)</f>
        <v/>
      </c>
      <c r="V315" s="136">
        <f>IF(E315=$Q$16,0,SUM(X315:AI315))</f>
        <v/>
      </c>
      <c r="W315" s="136">
        <f>SUM(AK315:AR315)</f>
        <v/>
      </c>
      <c r="X315" s="136">
        <f>IF(E315=$X$6,1,"")</f>
        <v/>
      </c>
      <c r="Y315" s="136">
        <f>IF(E315=$Y$6,1,"")</f>
        <v/>
      </c>
      <c r="Z315" s="136">
        <f>IF(E315=$Z$6,1,"")</f>
        <v/>
      </c>
      <c r="AA315" s="136">
        <f>IF(E315=$AA$6,1,"")</f>
        <v/>
      </c>
      <c r="AB315" s="136">
        <f>IF(E315=$AB$6,1,"")</f>
        <v/>
      </c>
      <c r="AC315" s="136">
        <f>IF(E315=$AC$6,1,"")</f>
        <v/>
      </c>
      <c r="AD315" s="136">
        <f>IF(E315=$AD$6,1,"")</f>
        <v/>
      </c>
      <c r="AE315" s="136">
        <f>IF(E315=$AE$6,1,"")</f>
        <v/>
      </c>
      <c r="AF315" s="136">
        <f>IF(E315=$AF$6,1,"")</f>
        <v/>
      </c>
      <c r="AG315" s="136">
        <f>IF(E315=$AG$6,1,"")</f>
        <v/>
      </c>
      <c r="AH315" s="136">
        <f>IF(E315=$AH$6,1,"")</f>
        <v/>
      </c>
      <c r="AI315" s="136">
        <f>IF(E315=$AI$6,1,"")</f>
        <v/>
      </c>
      <c r="AJ315" s="136">
        <f>IF(E315=$AJ$6,1,"")</f>
        <v/>
      </c>
      <c r="AK315" s="81">
        <f>IF(E315=$AK$6,1,"")</f>
        <v/>
      </c>
      <c r="AL315" s="81">
        <f>IF(E315=$AL$6,1,"")</f>
        <v/>
      </c>
      <c r="AM315" s="81">
        <f>IF(E315=$AM$6,1,"")</f>
        <v/>
      </c>
      <c r="AN315" s="81">
        <f>IF(E315=$AN$6,1,"")</f>
        <v/>
      </c>
      <c r="AO315" s="81">
        <f>IF(E315=$AO$6,1,"")</f>
        <v/>
      </c>
      <c r="AP315" s="81">
        <f>IF(E315=$AP$6,1,"")</f>
        <v/>
      </c>
      <c r="AQ315" s="81">
        <f>IF(E315=$AQ$6,1,"")</f>
        <v/>
      </c>
      <c r="AR315" s="81">
        <f>IF(E315=$AR$6,1,"")</f>
        <v/>
      </c>
      <c r="AS315" s="81" t="n"/>
    </row>
    <row r="316" ht="15.75" customHeight="1" s="80">
      <c r="A316" s="157" t="n"/>
      <c r="B316" s="124" t="n"/>
      <c r="C316" s="125" t="n"/>
      <c r="D316" s="126" t="n"/>
      <c r="E316" s="127" t="n"/>
      <c r="F316" s="128" t="n"/>
      <c r="G316" s="129">
        <f>IF(F316="","",ROUND(F316/60,2))</f>
        <v/>
      </c>
      <c r="H316" s="130" t="n"/>
      <c r="I316" s="131" t="n"/>
      <c r="J316" s="131">
        <f>IF(COUNTIF(B316:E316,"*")=0,"",IF(T316=1,"Invalid Service",IF(AND(V316=1,F316=""),"Add Session Mins",IF(AND(E316&gt;0,H316="",T316=""),"Enter Contract Rate",IF(AND(E316="IEP mtg, prep, rept",F316&gt;0),(G316*H316),IF(AND(E316&gt;0,F316&gt;0,H316&gt;0,I316=""),"Enter Travel",IF(AND(F316&gt;0,I316="Y"),(G316*H316)+$M$10,IF(AND(F316&gt;0,I316="N"),(G316*H316),H316))))))))</f>
        <v/>
      </c>
      <c r="K316" s="132">
        <f>J316</f>
        <v/>
      </c>
      <c r="L316" s="148" t="n"/>
      <c r="M316" s="148" t="n"/>
      <c r="N316" s="148" t="n"/>
      <c r="O316" s="87" t="n"/>
      <c r="P316" s="81" t="n"/>
      <c r="Q316" s="81" t="n"/>
      <c r="R316" s="81" t="n"/>
      <c r="S316" s="81" t="n"/>
      <c r="T316" s="136">
        <f>IF(AND(E316&gt;0,U316=0),1,"")</f>
        <v/>
      </c>
      <c r="U316" s="136">
        <f>SUM(X316:AR316)</f>
        <v/>
      </c>
      <c r="V316" s="136">
        <f>IF(E316=$Q$16,0,SUM(X316:AI316))</f>
        <v/>
      </c>
      <c r="W316" s="136">
        <f>SUM(AK316:AR316)</f>
        <v/>
      </c>
      <c r="X316" s="136">
        <f>IF(E316=$X$6,1,"")</f>
        <v/>
      </c>
      <c r="Y316" s="136">
        <f>IF(E316=$Y$6,1,"")</f>
        <v/>
      </c>
      <c r="Z316" s="136">
        <f>IF(E316=$Z$6,1,"")</f>
        <v/>
      </c>
      <c r="AA316" s="136">
        <f>IF(E316=$AA$6,1,"")</f>
        <v/>
      </c>
      <c r="AB316" s="136">
        <f>IF(E316=$AB$6,1,"")</f>
        <v/>
      </c>
      <c r="AC316" s="136">
        <f>IF(E316=$AC$6,1,"")</f>
        <v/>
      </c>
      <c r="AD316" s="136">
        <f>IF(E316=$AD$6,1,"")</f>
        <v/>
      </c>
      <c r="AE316" s="136">
        <f>IF(E316=$AE$6,1,"")</f>
        <v/>
      </c>
      <c r="AF316" s="136">
        <f>IF(E316=$AF$6,1,"")</f>
        <v/>
      </c>
      <c r="AG316" s="136">
        <f>IF(E316=$AG$6,1,"")</f>
        <v/>
      </c>
      <c r="AH316" s="136">
        <f>IF(E316=$AH$6,1,"")</f>
        <v/>
      </c>
      <c r="AI316" s="136">
        <f>IF(E316=$AI$6,1,"")</f>
        <v/>
      </c>
      <c r="AJ316" s="136">
        <f>IF(E316=$AJ$6,1,"")</f>
        <v/>
      </c>
      <c r="AK316" s="81">
        <f>IF(E316=$AK$6,1,"")</f>
        <v/>
      </c>
      <c r="AL316" s="81">
        <f>IF(E316=$AL$6,1,"")</f>
        <v/>
      </c>
      <c r="AM316" s="81">
        <f>IF(E316=$AM$6,1,"")</f>
        <v/>
      </c>
      <c r="AN316" s="81">
        <f>IF(E316=$AN$6,1,"")</f>
        <v/>
      </c>
      <c r="AO316" s="81">
        <f>IF(E316=$AO$6,1,"")</f>
        <v/>
      </c>
      <c r="AP316" s="81">
        <f>IF(E316=$AP$6,1,"")</f>
        <v/>
      </c>
      <c r="AQ316" s="81">
        <f>IF(E316=$AQ$6,1,"")</f>
        <v/>
      </c>
      <c r="AR316" s="81">
        <f>IF(E316=$AR$6,1,"")</f>
        <v/>
      </c>
      <c r="AS316" s="81" t="n"/>
    </row>
    <row r="317" ht="15.75" customHeight="1" s="80">
      <c r="A317" s="157" t="n"/>
      <c r="B317" s="124" t="n"/>
      <c r="C317" s="125" t="n"/>
      <c r="D317" s="126" t="n"/>
      <c r="E317" s="127" t="n"/>
      <c r="F317" s="128" t="n"/>
      <c r="G317" s="129">
        <f>IF(F317="","",ROUND(F317/60,2))</f>
        <v/>
      </c>
      <c r="H317" s="130" t="n"/>
      <c r="I317" s="131" t="n"/>
      <c r="J317" s="131">
        <f>IF(COUNTIF(B317:E317,"*")=0,"",IF(T317=1,"Invalid Service",IF(AND(V317=1,F317=""),"Add Session Mins",IF(AND(E317&gt;0,H317="",T317=""),"Enter Contract Rate",IF(AND(E317="IEP mtg, prep, rept",F317&gt;0),(G317*H317),IF(AND(E317&gt;0,F317&gt;0,H317&gt;0,I317=""),"Enter Travel",IF(AND(F317&gt;0,I317="Y"),(G317*H317)+$M$10,IF(AND(F317&gt;0,I317="N"),(G317*H317),H317))))))))</f>
        <v/>
      </c>
      <c r="K317" s="132">
        <f>J317</f>
        <v/>
      </c>
      <c r="L317" s="148" t="n"/>
      <c r="M317" s="148" t="n"/>
      <c r="N317" s="148" t="n"/>
      <c r="O317" s="87" t="n"/>
      <c r="P317" s="81" t="n"/>
      <c r="Q317" s="81" t="n"/>
      <c r="R317" s="81" t="n"/>
      <c r="S317" s="81" t="n"/>
      <c r="T317" s="136">
        <f>IF(AND(E317&gt;0,U317=0),1,"")</f>
        <v/>
      </c>
      <c r="U317" s="136">
        <f>SUM(X317:AR317)</f>
        <v/>
      </c>
      <c r="V317" s="136">
        <f>IF(E317=$Q$16,0,SUM(X317:AI317))</f>
        <v/>
      </c>
      <c r="W317" s="136">
        <f>SUM(AK317:AR317)</f>
        <v/>
      </c>
      <c r="X317" s="136">
        <f>IF(E317=$X$6,1,"")</f>
        <v/>
      </c>
      <c r="Y317" s="136">
        <f>IF(E317=$Y$6,1,"")</f>
        <v/>
      </c>
      <c r="Z317" s="136">
        <f>IF(E317=$Z$6,1,"")</f>
        <v/>
      </c>
      <c r="AA317" s="136">
        <f>IF(E317=$AA$6,1,"")</f>
        <v/>
      </c>
      <c r="AB317" s="136">
        <f>IF(E317=$AB$6,1,"")</f>
        <v/>
      </c>
      <c r="AC317" s="136">
        <f>IF(E317=$AC$6,1,"")</f>
        <v/>
      </c>
      <c r="AD317" s="136">
        <f>IF(E317=$AD$6,1,"")</f>
        <v/>
      </c>
      <c r="AE317" s="136">
        <f>IF(E317=$AE$6,1,"")</f>
        <v/>
      </c>
      <c r="AF317" s="136">
        <f>IF(E317=$AF$6,1,"")</f>
        <v/>
      </c>
      <c r="AG317" s="136">
        <f>IF(E317=$AG$6,1,"")</f>
        <v/>
      </c>
      <c r="AH317" s="136">
        <f>IF(E317=$AH$6,1,"")</f>
        <v/>
      </c>
      <c r="AI317" s="136">
        <f>IF(E317=$AI$6,1,"")</f>
        <v/>
      </c>
      <c r="AJ317" s="136">
        <f>IF(E317=$AJ$6,1,"")</f>
        <v/>
      </c>
      <c r="AK317" s="81">
        <f>IF(E317=$AK$6,1,"")</f>
        <v/>
      </c>
      <c r="AL317" s="81">
        <f>IF(E317=$AL$6,1,"")</f>
        <v/>
      </c>
      <c r="AM317" s="81">
        <f>IF(E317=$AM$6,1,"")</f>
        <v/>
      </c>
      <c r="AN317" s="81">
        <f>IF(E317=$AN$6,1,"")</f>
        <v/>
      </c>
      <c r="AO317" s="81">
        <f>IF(E317=$AO$6,1,"")</f>
        <v/>
      </c>
      <c r="AP317" s="81">
        <f>IF(E317=$AP$6,1,"")</f>
        <v/>
      </c>
      <c r="AQ317" s="81">
        <f>IF(E317=$AQ$6,1,"")</f>
        <v/>
      </c>
      <c r="AR317" s="81">
        <f>IF(E317=$AR$6,1,"")</f>
        <v/>
      </c>
      <c r="AS317" s="81" t="n"/>
    </row>
    <row r="318" ht="15.75" customHeight="1" s="80">
      <c r="A318" s="157" t="n"/>
      <c r="B318" s="124" t="n"/>
      <c r="C318" s="125" t="n"/>
      <c r="D318" s="126" t="n"/>
      <c r="E318" s="127" t="n"/>
      <c r="F318" s="128" t="n"/>
      <c r="G318" s="129">
        <f>IF(F318="","",ROUND(F318/60,2))</f>
        <v/>
      </c>
      <c r="H318" s="130" t="n"/>
      <c r="I318" s="131" t="n"/>
      <c r="J318" s="131">
        <f>IF(COUNTIF(B318:E318,"*")=0,"",IF(T318=1,"Invalid Service",IF(AND(V318=1,F318=""),"Add Session Mins",IF(AND(E318&gt;0,H318="",T318=""),"Enter Contract Rate",IF(AND(E318="IEP mtg, prep, rept",F318&gt;0),(G318*H318),IF(AND(E318&gt;0,F318&gt;0,H318&gt;0,I318=""),"Enter Travel",IF(AND(F318&gt;0,I318="Y"),(G318*H318)+$M$10,IF(AND(F318&gt;0,I318="N"),(G318*H318),H318))))))))</f>
        <v/>
      </c>
      <c r="K318" s="132">
        <f>J318</f>
        <v/>
      </c>
      <c r="L318" s="148" t="n"/>
      <c r="M318" s="148" t="n"/>
      <c r="N318" s="148" t="n"/>
      <c r="O318" s="87" t="n"/>
      <c r="P318" s="81" t="n"/>
      <c r="Q318" s="81" t="n"/>
      <c r="R318" s="81" t="n"/>
      <c r="S318" s="81" t="n"/>
      <c r="T318" s="136">
        <f>IF(AND(E318&gt;0,U318=0),1,"")</f>
        <v/>
      </c>
      <c r="U318" s="136">
        <f>SUM(X318:AR318)</f>
        <v/>
      </c>
      <c r="V318" s="136">
        <f>IF(E318=$Q$16,0,SUM(X318:AI318))</f>
        <v/>
      </c>
      <c r="W318" s="136">
        <f>SUM(AK318:AR318)</f>
        <v/>
      </c>
      <c r="X318" s="136">
        <f>IF(E318=$X$6,1,"")</f>
        <v/>
      </c>
      <c r="Y318" s="136">
        <f>IF(E318=$Y$6,1,"")</f>
        <v/>
      </c>
      <c r="Z318" s="136">
        <f>IF(E318=$Z$6,1,"")</f>
        <v/>
      </c>
      <c r="AA318" s="136">
        <f>IF(E318=$AA$6,1,"")</f>
        <v/>
      </c>
      <c r="AB318" s="136">
        <f>IF(E318=$AB$6,1,"")</f>
        <v/>
      </c>
      <c r="AC318" s="136">
        <f>IF(E318=$AC$6,1,"")</f>
        <v/>
      </c>
      <c r="AD318" s="136">
        <f>IF(E318=$AD$6,1,"")</f>
        <v/>
      </c>
      <c r="AE318" s="136">
        <f>IF(E318=$AE$6,1,"")</f>
        <v/>
      </c>
      <c r="AF318" s="136">
        <f>IF(E318=$AF$6,1,"")</f>
        <v/>
      </c>
      <c r="AG318" s="136">
        <f>IF(E318=$AG$6,1,"")</f>
        <v/>
      </c>
      <c r="AH318" s="136">
        <f>IF(E318=$AH$6,1,"")</f>
        <v/>
      </c>
      <c r="AI318" s="136">
        <f>IF(E318=$AI$6,1,"")</f>
        <v/>
      </c>
      <c r="AJ318" s="136">
        <f>IF(E318=$AJ$6,1,"")</f>
        <v/>
      </c>
      <c r="AK318" s="81">
        <f>IF(E318=$AK$6,1,"")</f>
        <v/>
      </c>
      <c r="AL318" s="81">
        <f>IF(E318=$AL$6,1,"")</f>
        <v/>
      </c>
      <c r="AM318" s="81">
        <f>IF(E318=$AM$6,1,"")</f>
        <v/>
      </c>
      <c r="AN318" s="81">
        <f>IF(E318=$AN$6,1,"")</f>
        <v/>
      </c>
      <c r="AO318" s="81">
        <f>IF(E318=$AO$6,1,"")</f>
        <v/>
      </c>
      <c r="AP318" s="81">
        <f>IF(E318=$AP$6,1,"")</f>
        <v/>
      </c>
      <c r="AQ318" s="81">
        <f>IF(E318=$AQ$6,1,"")</f>
        <v/>
      </c>
      <c r="AR318" s="81">
        <f>IF(E318=$AR$6,1,"")</f>
        <v/>
      </c>
      <c r="AS318" s="81" t="n"/>
    </row>
    <row r="319" ht="15.75" customHeight="1" s="80">
      <c r="A319" s="157" t="n"/>
      <c r="B319" s="124" t="n"/>
      <c r="C319" s="125" t="n"/>
      <c r="D319" s="126" t="n"/>
      <c r="E319" s="127" t="n"/>
      <c r="F319" s="128" t="n"/>
      <c r="G319" s="129">
        <f>IF(F319="","",ROUND(F319/60,2))</f>
        <v/>
      </c>
      <c r="H319" s="130" t="n"/>
      <c r="I319" s="131" t="n"/>
      <c r="J319" s="131">
        <f>IF(COUNTIF(B319:E319,"*")=0,"",IF(T319=1,"Invalid Service",IF(AND(V319=1,F319=""),"Add Session Mins",IF(AND(E319&gt;0,H319="",T319=""),"Enter Contract Rate",IF(AND(E319="IEP mtg, prep, rept",F319&gt;0),(G319*H319),IF(AND(E319&gt;0,F319&gt;0,H319&gt;0,I319=""),"Enter Travel",IF(AND(F319&gt;0,I319="Y"),(G319*H319)+$M$10,IF(AND(F319&gt;0,I319="N"),(G319*H319),H319))))))))</f>
        <v/>
      </c>
      <c r="K319" s="132">
        <f>J319</f>
        <v/>
      </c>
      <c r="L319" s="148" t="n"/>
      <c r="M319" s="148" t="n"/>
      <c r="N319" s="148" t="n"/>
      <c r="O319" s="87" t="n"/>
      <c r="P319" s="81" t="n"/>
      <c r="Q319" s="81" t="n"/>
      <c r="R319" s="81" t="n"/>
      <c r="S319" s="81" t="n"/>
      <c r="T319" s="136">
        <f>IF(AND(E319&gt;0,U319=0),1,"")</f>
        <v/>
      </c>
      <c r="U319" s="136">
        <f>SUM(X319:AR319)</f>
        <v/>
      </c>
      <c r="V319" s="136">
        <f>IF(E319=$Q$16,0,SUM(X319:AI319))</f>
        <v/>
      </c>
      <c r="W319" s="136">
        <f>SUM(AK319:AR319)</f>
        <v/>
      </c>
      <c r="X319" s="136">
        <f>IF(E319=$X$6,1,"")</f>
        <v/>
      </c>
      <c r="Y319" s="136">
        <f>IF(E319=$Y$6,1,"")</f>
        <v/>
      </c>
      <c r="Z319" s="136">
        <f>IF(E319=$Z$6,1,"")</f>
        <v/>
      </c>
      <c r="AA319" s="136">
        <f>IF(E319=$AA$6,1,"")</f>
        <v/>
      </c>
      <c r="AB319" s="136">
        <f>IF(E319=$AB$6,1,"")</f>
        <v/>
      </c>
      <c r="AC319" s="136">
        <f>IF(E319=$AC$6,1,"")</f>
        <v/>
      </c>
      <c r="AD319" s="136">
        <f>IF(E319=$AD$6,1,"")</f>
        <v/>
      </c>
      <c r="AE319" s="136">
        <f>IF(E319=$AE$6,1,"")</f>
        <v/>
      </c>
      <c r="AF319" s="136">
        <f>IF(E319=$AF$6,1,"")</f>
        <v/>
      </c>
      <c r="AG319" s="136">
        <f>IF(E319=$AG$6,1,"")</f>
        <v/>
      </c>
      <c r="AH319" s="136">
        <f>IF(E319=$AH$6,1,"")</f>
        <v/>
      </c>
      <c r="AI319" s="136">
        <f>IF(E319=$AI$6,1,"")</f>
        <v/>
      </c>
      <c r="AJ319" s="136">
        <f>IF(E319=$AJ$6,1,"")</f>
        <v/>
      </c>
      <c r="AK319" s="81">
        <f>IF(E319=$AK$6,1,"")</f>
        <v/>
      </c>
      <c r="AL319" s="81">
        <f>IF(E319=$AL$6,1,"")</f>
        <v/>
      </c>
      <c r="AM319" s="81">
        <f>IF(E319=$AM$6,1,"")</f>
        <v/>
      </c>
      <c r="AN319" s="81">
        <f>IF(E319=$AN$6,1,"")</f>
        <v/>
      </c>
      <c r="AO319" s="81">
        <f>IF(E319=$AO$6,1,"")</f>
        <v/>
      </c>
      <c r="AP319" s="81">
        <f>IF(E319=$AP$6,1,"")</f>
        <v/>
      </c>
      <c r="AQ319" s="81">
        <f>IF(E319=$AQ$6,1,"")</f>
        <v/>
      </c>
      <c r="AR319" s="81">
        <f>IF(E319=$AR$6,1,"")</f>
        <v/>
      </c>
      <c r="AS319" s="81" t="n"/>
    </row>
    <row r="320" ht="15.75" customHeight="1" s="80">
      <c r="A320" s="157" t="n"/>
      <c r="B320" s="124" t="n"/>
      <c r="C320" s="125" t="n"/>
      <c r="D320" s="126" t="n"/>
      <c r="E320" s="127" t="n"/>
      <c r="F320" s="128" t="n"/>
      <c r="G320" s="129">
        <f>IF(F320="","",ROUND(F320/60,2))</f>
        <v/>
      </c>
      <c r="H320" s="130" t="n"/>
      <c r="I320" s="131" t="n"/>
      <c r="J320" s="131">
        <f>IF(COUNTIF(B320:E320,"*")=0,"",IF(T320=1,"Invalid Service",IF(AND(V320=1,F320=""),"Add Session Mins",IF(AND(E320&gt;0,H320="",T320=""),"Enter Contract Rate",IF(AND(E320="IEP mtg, prep, rept",F320&gt;0),(G320*H320),IF(AND(E320&gt;0,F320&gt;0,H320&gt;0,I320=""),"Enter Travel",IF(AND(F320&gt;0,I320="Y"),(G320*H320)+$M$10,IF(AND(F320&gt;0,I320="N"),(G320*H320),H320))))))))</f>
        <v/>
      </c>
      <c r="K320" s="132">
        <f>J320</f>
        <v/>
      </c>
      <c r="L320" s="148" t="n"/>
      <c r="M320" s="148" t="n"/>
      <c r="N320" s="148" t="n"/>
      <c r="O320" s="87" t="n"/>
      <c r="P320" s="81" t="n"/>
      <c r="Q320" s="81" t="n"/>
      <c r="R320" s="81" t="n"/>
      <c r="S320" s="81" t="n"/>
      <c r="T320" s="136">
        <f>IF(AND(E320&gt;0,U320=0),1,"")</f>
        <v/>
      </c>
      <c r="U320" s="136">
        <f>SUM(X320:AR320)</f>
        <v/>
      </c>
      <c r="V320" s="136">
        <f>IF(E320=$Q$16,0,SUM(X320:AI320))</f>
        <v/>
      </c>
      <c r="W320" s="136">
        <f>SUM(AK320:AR320)</f>
        <v/>
      </c>
      <c r="X320" s="136">
        <f>IF(E320=$X$6,1,"")</f>
        <v/>
      </c>
      <c r="Y320" s="136">
        <f>IF(E320=$Y$6,1,"")</f>
        <v/>
      </c>
      <c r="Z320" s="136">
        <f>IF(E320=$Z$6,1,"")</f>
        <v/>
      </c>
      <c r="AA320" s="136">
        <f>IF(E320=$AA$6,1,"")</f>
        <v/>
      </c>
      <c r="AB320" s="136">
        <f>IF(E320=$AB$6,1,"")</f>
        <v/>
      </c>
      <c r="AC320" s="136">
        <f>IF(E320=$AC$6,1,"")</f>
        <v/>
      </c>
      <c r="AD320" s="136">
        <f>IF(E320=$AD$6,1,"")</f>
        <v/>
      </c>
      <c r="AE320" s="136">
        <f>IF(E320=$AE$6,1,"")</f>
        <v/>
      </c>
      <c r="AF320" s="136">
        <f>IF(E320=$AF$6,1,"")</f>
        <v/>
      </c>
      <c r="AG320" s="136">
        <f>IF(E320=$AG$6,1,"")</f>
        <v/>
      </c>
      <c r="AH320" s="136">
        <f>IF(E320=$AH$6,1,"")</f>
        <v/>
      </c>
      <c r="AI320" s="136">
        <f>IF(E320=$AI$6,1,"")</f>
        <v/>
      </c>
      <c r="AJ320" s="136">
        <f>IF(E320=$AJ$6,1,"")</f>
        <v/>
      </c>
      <c r="AK320" s="81">
        <f>IF(E320=$AK$6,1,"")</f>
        <v/>
      </c>
      <c r="AL320" s="81">
        <f>IF(E320=$AL$6,1,"")</f>
        <v/>
      </c>
      <c r="AM320" s="81">
        <f>IF(E320=$AM$6,1,"")</f>
        <v/>
      </c>
      <c r="AN320" s="81">
        <f>IF(E320=$AN$6,1,"")</f>
        <v/>
      </c>
      <c r="AO320" s="81">
        <f>IF(E320=$AO$6,1,"")</f>
        <v/>
      </c>
      <c r="AP320" s="81">
        <f>IF(E320=$AP$6,1,"")</f>
        <v/>
      </c>
      <c r="AQ320" s="81">
        <f>IF(E320=$AQ$6,1,"")</f>
        <v/>
      </c>
      <c r="AR320" s="81">
        <f>IF(E320=$AR$6,1,"")</f>
        <v/>
      </c>
      <c r="AS320" s="81" t="n"/>
    </row>
    <row r="321" ht="15.75" customHeight="1" s="80">
      <c r="A321" s="157" t="n"/>
      <c r="B321" s="124" t="n"/>
      <c r="C321" s="125" t="n"/>
      <c r="D321" s="126" t="n"/>
      <c r="E321" s="127" t="n"/>
      <c r="F321" s="128" t="n"/>
      <c r="G321" s="129">
        <f>IF(F321="","",ROUND(F321/60,2))</f>
        <v/>
      </c>
      <c r="H321" s="130" t="n"/>
      <c r="I321" s="131" t="n"/>
      <c r="J321" s="131">
        <f>IF(COUNTIF(B321:E321,"*")=0,"",IF(T321=1,"Invalid Service",IF(AND(V321=1,F321=""),"Add Session Mins",IF(AND(E321&gt;0,H321="",T321=""),"Enter Contract Rate",IF(AND(E321="IEP mtg, prep, rept",F321&gt;0),(G321*H321),IF(AND(E321&gt;0,F321&gt;0,H321&gt;0,I321=""),"Enter Travel",IF(AND(F321&gt;0,I321="Y"),(G321*H321)+$M$10,IF(AND(F321&gt;0,I321="N"),(G321*H321),H321))))))))</f>
        <v/>
      </c>
      <c r="K321" s="132">
        <f>J321</f>
        <v/>
      </c>
      <c r="L321" s="148" t="n"/>
      <c r="M321" s="148" t="n"/>
      <c r="N321" s="148" t="n"/>
      <c r="O321" s="87" t="n"/>
      <c r="P321" s="81" t="n"/>
      <c r="Q321" s="81" t="n"/>
      <c r="R321" s="81" t="n"/>
      <c r="S321" s="81" t="n"/>
      <c r="T321" s="136">
        <f>IF(AND(E321&gt;0,U321=0),1,"")</f>
        <v/>
      </c>
      <c r="U321" s="136">
        <f>SUM(X321:AR321)</f>
        <v/>
      </c>
      <c r="V321" s="136">
        <f>IF(E321=$Q$16,0,SUM(X321:AI321))</f>
        <v/>
      </c>
      <c r="W321" s="136">
        <f>SUM(AK321:AR321)</f>
        <v/>
      </c>
      <c r="X321" s="136">
        <f>IF(E321=$X$6,1,"")</f>
        <v/>
      </c>
      <c r="Y321" s="136">
        <f>IF(E321=$Y$6,1,"")</f>
        <v/>
      </c>
      <c r="Z321" s="136">
        <f>IF(E321=$Z$6,1,"")</f>
        <v/>
      </c>
      <c r="AA321" s="136">
        <f>IF(E321=$AA$6,1,"")</f>
        <v/>
      </c>
      <c r="AB321" s="136">
        <f>IF(E321=$AB$6,1,"")</f>
        <v/>
      </c>
      <c r="AC321" s="136">
        <f>IF(E321=$AC$6,1,"")</f>
        <v/>
      </c>
      <c r="AD321" s="136">
        <f>IF(E321=$AD$6,1,"")</f>
        <v/>
      </c>
      <c r="AE321" s="136">
        <f>IF(E321=$AE$6,1,"")</f>
        <v/>
      </c>
      <c r="AF321" s="136">
        <f>IF(E321=$AF$6,1,"")</f>
        <v/>
      </c>
      <c r="AG321" s="136">
        <f>IF(E321=$AG$6,1,"")</f>
        <v/>
      </c>
      <c r="AH321" s="136">
        <f>IF(E321=$AH$6,1,"")</f>
        <v/>
      </c>
      <c r="AI321" s="136">
        <f>IF(E321=$AI$6,1,"")</f>
        <v/>
      </c>
      <c r="AJ321" s="136">
        <f>IF(E321=$AJ$6,1,"")</f>
        <v/>
      </c>
      <c r="AK321" s="81">
        <f>IF(E321=$AK$6,1,"")</f>
        <v/>
      </c>
      <c r="AL321" s="81">
        <f>IF(E321=$AL$6,1,"")</f>
        <v/>
      </c>
      <c r="AM321" s="81">
        <f>IF(E321=$AM$6,1,"")</f>
        <v/>
      </c>
      <c r="AN321" s="81">
        <f>IF(E321=$AN$6,1,"")</f>
        <v/>
      </c>
      <c r="AO321" s="81">
        <f>IF(E321=$AO$6,1,"")</f>
        <v/>
      </c>
      <c r="AP321" s="81">
        <f>IF(E321=$AP$6,1,"")</f>
        <v/>
      </c>
      <c r="AQ321" s="81">
        <f>IF(E321=$AQ$6,1,"")</f>
        <v/>
      </c>
      <c r="AR321" s="81">
        <f>IF(E321=$AR$6,1,"")</f>
        <v/>
      </c>
      <c r="AS321" s="81" t="n"/>
    </row>
    <row r="322" ht="15.75" customHeight="1" s="80">
      <c r="A322" s="157" t="n"/>
      <c r="B322" s="124" t="n"/>
      <c r="C322" s="125" t="n"/>
      <c r="D322" s="126" t="n"/>
      <c r="E322" s="127" t="n"/>
      <c r="F322" s="128" t="n"/>
      <c r="G322" s="129">
        <f>IF(F322="","",ROUND(F322/60,2))</f>
        <v/>
      </c>
      <c r="H322" s="130" t="n"/>
      <c r="I322" s="131" t="n"/>
      <c r="J322" s="131">
        <f>IF(COUNTIF(B322:E322,"*")=0,"",IF(T322=1,"Invalid Service",IF(AND(V322=1,F322=""),"Add Session Mins",IF(AND(E322&gt;0,H322="",T322=""),"Enter Contract Rate",IF(AND(E322="IEP mtg, prep, rept",F322&gt;0),(G322*H322),IF(AND(E322&gt;0,F322&gt;0,H322&gt;0,I322=""),"Enter Travel",IF(AND(F322&gt;0,I322="Y"),(G322*H322)+$M$10,IF(AND(F322&gt;0,I322="N"),(G322*H322),H322))))))))</f>
        <v/>
      </c>
      <c r="K322" s="132">
        <f>J322</f>
        <v/>
      </c>
      <c r="L322" s="148" t="n"/>
      <c r="M322" s="148" t="n"/>
      <c r="N322" s="148" t="n"/>
      <c r="O322" s="87" t="n"/>
      <c r="P322" s="81" t="n"/>
      <c r="Q322" s="81" t="n"/>
      <c r="R322" s="81" t="n"/>
      <c r="S322" s="81" t="n"/>
      <c r="T322" s="136">
        <f>IF(AND(E322&gt;0,U322=0),1,"")</f>
        <v/>
      </c>
      <c r="U322" s="136">
        <f>SUM(X322:AR322)</f>
        <v/>
      </c>
      <c r="V322" s="136">
        <f>IF(E322=$Q$16,0,SUM(X322:AI322))</f>
        <v/>
      </c>
      <c r="W322" s="136">
        <f>SUM(AK322:AR322)</f>
        <v/>
      </c>
      <c r="X322" s="136">
        <f>IF(E322=$X$6,1,"")</f>
        <v/>
      </c>
      <c r="Y322" s="136">
        <f>IF(E322=$Y$6,1,"")</f>
        <v/>
      </c>
      <c r="Z322" s="136">
        <f>IF(E322=$Z$6,1,"")</f>
        <v/>
      </c>
      <c r="AA322" s="136">
        <f>IF(E322=$AA$6,1,"")</f>
        <v/>
      </c>
      <c r="AB322" s="136">
        <f>IF(E322=$AB$6,1,"")</f>
        <v/>
      </c>
      <c r="AC322" s="136">
        <f>IF(E322=$AC$6,1,"")</f>
        <v/>
      </c>
      <c r="AD322" s="136">
        <f>IF(E322=$AD$6,1,"")</f>
        <v/>
      </c>
      <c r="AE322" s="136">
        <f>IF(E322=$AE$6,1,"")</f>
        <v/>
      </c>
      <c r="AF322" s="136">
        <f>IF(E322=$AF$6,1,"")</f>
        <v/>
      </c>
      <c r="AG322" s="136">
        <f>IF(E322=$AG$6,1,"")</f>
        <v/>
      </c>
      <c r="AH322" s="136">
        <f>IF(E322=$AH$6,1,"")</f>
        <v/>
      </c>
      <c r="AI322" s="136">
        <f>IF(E322=$AI$6,1,"")</f>
        <v/>
      </c>
      <c r="AJ322" s="136">
        <f>IF(E322=$AJ$6,1,"")</f>
        <v/>
      </c>
      <c r="AK322" s="81">
        <f>IF(E322=$AK$6,1,"")</f>
        <v/>
      </c>
      <c r="AL322" s="81">
        <f>IF(E322=$AL$6,1,"")</f>
        <v/>
      </c>
      <c r="AM322" s="81">
        <f>IF(E322=$AM$6,1,"")</f>
        <v/>
      </c>
      <c r="AN322" s="81">
        <f>IF(E322=$AN$6,1,"")</f>
        <v/>
      </c>
      <c r="AO322" s="81">
        <f>IF(E322=$AO$6,1,"")</f>
        <v/>
      </c>
      <c r="AP322" s="81">
        <f>IF(E322=$AP$6,1,"")</f>
        <v/>
      </c>
      <c r="AQ322" s="81">
        <f>IF(E322=$AQ$6,1,"")</f>
        <v/>
      </c>
      <c r="AR322" s="81">
        <f>IF(E322=$AR$6,1,"")</f>
        <v/>
      </c>
      <c r="AS322" s="81" t="n"/>
    </row>
    <row r="323" ht="15.75" customHeight="1" s="80">
      <c r="A323" s="157" t="n"/>
      <c r="B323" s="124" t="n"/>
      <c r="C323" s="125" t="n"/>
      <c r="D323" s="126" t="n"/>
      <c r="E323" s="127" t="n"/>
      <c r="F323" s="128" t="n"/>
      <c r="G323" s="129">
        <f>IF(F323="","",ROUND(F323/60,2))</f>
        <v/>
      </c>
      <c r="H323" s="130" t="n"/>
      <c r="I323" s="131" t="n"/>
      <c r="J323" s="131">
        <f>IF(COUNTIF(B323:E323,"*")=0,"",IF(T323=1,"Invalid Service",IF(AND(V323=1,F323=""),"Add Session Mins",IF(AND(E323&gt;0,H323="",T323=""),"Enter Contract Rate",IF(AND(E323="IEP mtg, prep, rept",F323&gt;0),(G323*H323),IF(AND(E323&gt;0,F323&gt;0,H323&gt;0,I323=""),"Enter Travel",IF(AND(F323&gt;0,I323="Y"),(G323*H323)+$M$10,IF(AND(F323&gt;0,I323="N"),(G323*H323),H323))))))))</f>
        <v/>
      </c>
      <c r="K323" s="132">
        <f>J323</f>
        <v/>
      </c>
      <c r="L323" s="148" t="n"/>
      <c r="M323" s="148" t="n"/>
      <c r="N323" s="148" t="n"/>
      <c r="O323" s="87" t="n"/>
      <c r="P323" s="81" t="n"/>
      <c r="Q323" s="81" t="n"/>
      <c r="R323" s="81" t="n"/>
      <c r="S323" s="81" t="n"/>
      <c r="T323" s="136">
        <f>IF(AND(E323&gt;0,U323=0),1,"")</f>
        <v/>
      </c>
      <c r="U323" s="136">
        <f>SUM(X323:AR323)</f>
        <v/>
      </c>
      <c r="V323" s="136">
        <f>IF(E323=$Q$16,0,SUM(X323:AI323))</f>
        <v/>
      </c>
      <c r="W323" s="136">
        <f>SUM(AK323:AR323)</f>
        <v/>
      </c>
      <c r="X323" s="136">
        <f>IF(E323=$X$6,1,"")</f>
        <v/>
      </c>
      <c r="Y323" s="136">
        <f>IF(E323=$Y$6,1,"")</f>
        <v/>
      </c>
      <c r="Z323" s="136">
        <f>IF(E323=$Z$6,1,"")</f>
        <v/>
      </c>
      <c r="AA323" s="136">
        <f>IF(E323=$AA$6,1,"")</f>
        <v/>
      </c>
      <c r="AB323" s="136">
        <f>IF(E323=$AB$6,1,"")</f>
        <v/>
      </c>
      <c r="AC323" s="136">
        <f>IF(E323=$AC$6,1,"")</f>
        <v/>
      </c>
      <c r="AD323" s="136">
        <f>IF(E323=$AD$6,1,"")</f>
        <v/>
      </c>
      <c r="AE323" s="136">
        <f>IF(E323=$AE$6,1,"")</f>
        <v/>
      </c>
      <c r="AF323" s="136">
        <f>IF(E323=$AF$6,1,"")</f>
        <v/>
      </c>
      <c r="AG323" s="136">
        <f>IF(E323=$AG$6,1,"")</f>
        <v/>
      </c>
      <c r="AH323" s="136">
        <f>IF(E323=$AH$6,1,"")</f>
        <v/>
      </c>
      <c r="AI323" s="136">
        <f>IF(E323=$AI$6,1,"")</f>
        <v/>
      </c>
      <c r="AJ323" s="136">
        <f>IF(E323=$AJ$6,1,"")</f>
        <v/>
      </c>
      <c r="AK323" s="81">
        <f>IF(E323=$AK$6,1,"")</f>
        <v/>
      </c>
      <c r="AL323" s="81">
        <f>IF(E323=$AL$6,1,"")</f>
        <v/>
      </c>
      <c r="AM323" s="81">
        <f>IF(E323=$AM$6,1,"")</f>
        <v/>
      </c>
      <c r="AN323" s="81">
        <f>IF(E323=$AN$6,1,"")</f>
        <v/>
      </c>
      <c r="AO323" s="81">
        <f>IF(E323=$AO$6,1,"")</f>
        <v/>
      </c>
      <c r="AP323" s="81">
        <f>IF(E323=$AP$6,1,"")</f>
        <v/>
      </c>
      <c r="AQ323" s="81">
        <f>IF(E323=$AQ$6,1,"")</f>
        <v/>
      </c>
      <c r="AR323" s="81">
        <f>IF(E323=$AR$6,1,"")</f>
        <v/>
      </c>
      <c r="AS323" s="81" t="n"/>
    </row>
    <row r="324" ht="15.75" customHeight="1" s="80">
      <c r="A324" s="157" t="n"/>
      <c r="B324" s="124" t="n"/>
      <c r="C324" s="125" t="n"/>
      <c r="D324" s="126" t="n"/>
      <c r="E324" s="127" t="n"/>
      <c r="F324" s="128" t="n"/>
      <c r="G324" s="129">
        <f>IF(F324="","",ROUND(F324/60,2))</f>
        <v/>
      </c>
      <c r="H324" s="130" t="n"/>
      <c r="I324" s="131" t="n"/>
      <c r="J324" s="131">
        <f>IF(COUNTIF(B324:E324,"*")=0,"",IF(T324=1,"Invalid Service",IF(AND(V324=1,F324=""),"Add Session Mins",IF(AND(E324&gt;0,H324="",T324=""),"Enter Contract Rate",IF(AND(E324="IEP mtg, prep, rept",F324&gt;0),(G324*H324),IF(AND(E324&gt;0,F324&gt;0,H324&gt;0,I324=""),"Enter Travel",IF(AND(F324&gt;0,I324="Y"),(G324*H324)+$M$10,IF(AND(F324&gt;0,I324="N"),(G324*H324),H324))))))))</f>
        <v/>
      </c>
      <c r="K324" s="132">
        <f>J324</f>
        <v/>
      </c>
      <c r="L324" s="148" t="n"/>
      <c r="M324" s="148" t="n"/>
      <c r="N324" s="148" t="n"/>
      <c r="O324" s="87" t="n"/>
      <c r="P324" s="81" t="n"/>
      <c r="Q324" s="81" t="n"/>
      <c r="R324" s="81" t="n"/>
      <c r="S324" s="81" t="n"/>
      <c r="T324" s="136">
        <f>IF(AND(E324&gt;0,U324=0),1,"")</f>
        <v/>
      </c>
      <c r="U324" s="136">
        <f>SUM(X324:AR324)</f>
        <v/>
      </c>
      <c r="V324" s="136">
        <f>IF(E324=$Q$16,0,SUM(X324:AI324))</f>
        <v/>
      </c>
      <c r="W324" s="136">
        <f>SUM(AK324:AR324)</f>
        <v/>
      </c>
      <c r="X324" s="136">
        <f>IF(E324=$X$6,1,"")</f>
        <v/>
      </c>
      <c r="Y324" s="136">
        <f>IF(E324=$Y$6,1,"")</f>
        <v/>
      </c>
      <c r="Z324" s="136">
        <f>IF(E324=$Z$6,1,"")</f>
        <v/>
      </c>
      <c r="AA324" s="136">
        <f>IF(E324=$AA$6,1,"")</f>
        <v/>
      </c>
      <c r="AB324" s="136">
        <f>IF(E324=$AB$6,1,"")</f>
        <v/>
      </c>
      <c r="AC324" s="136">
        <f>IF(E324=$AC$6,1,"")</f>
        <v/>
      </c>
      <c r="AD324" s="136">
        <f>IF(E324=$AD$6,1,"")</f>
        <v/>
      </c>
      <c r="AE324" s="136">
        <f>IF(E324=$AE$6,1,"")</f>
        <v/>
      </c>
      <c r="AF324" s="136">
        <f>IF(E324=$AF$6,1,"")</f>
        <v/>
      </c>
      <c r="AG324" s="136">
        <f>IF(E324=$AG$6,1,"")</f>
        <v/>
      </c>
      <c r="AH324" s="136">
        <f>IF(E324=$AH$6,1,"")</f>
        <v/>
      </c>
      <c r="AI324" s="136">
        <f>IF(E324=$AI$6,1,"")</f>
        <v/>
      </c>
      <c r="AJ324" s="136">
        <f>IF(E324=$AJ$6,1,"")</f>
        <v/>
      </c>
      <c r="AK324" s="81">
        <f>IF(E324=$AK$6,1,"")</f>
        <v/>
      </c>
      <c r="AL324" s="81">
        <f>IF(E324=$AL$6,1,"")</f>
        <v/>
      </c>
      <c r="AM324" s="81">
        <f>IF(E324=$AM$6,1,"")</f>
        <v/>
      </c>
      <c r="AN324" s="81">
        <f>IF(E324=$AN$6,1,"")</f>
        <v/>
      </c>
      <c r="AO324" s="81">
        <f>IF(E324=$AO$6,1,"")</f>
        <v/>
      </c>
      <c r="AP324" s="81">
        <f>IF(E324=$AP$6,1,"")</f>
        <v/>
      </c>
      <c r="AQ324" s="81">
        <f>IF(E324=$AQ$6,1,"")</f>
        <v/>
      </c>
      <c r="AR324" s="81">
        <f>IF(E324=$AR$6,1,"")</f>
        <v/>
      </c>
      <c r="AS324" s="81" t="n"/>
    </row>
    <row r="325" ht="15.75" customHeight="1" s="80">
      <c r="A325" s="157" t="n"/>
      <c r="B325" s="124" t="n"/>
      <c r="C325" s="125" t="n"/>
      <c r="D325" s="126" t="n"/>
      <c r="E325" s="127" t="n"/>
      <c r="F325" s="128" t="n"/>
      <c r="G325" s="129">
        <f>IF(F325="","",ROUND(F325/60,2))</f>
        <v/>
      </c>
      <c r="H325" s="130" t="n"/>
      <c r="I325" s="131" t="n"/>
      <c r="J325" s="131">
        <f>IF(COUNTIF(B325:E325,"*")=0,"",IF(T325=1,"Invalid Service",IF(AND(V325=1,F325=""),"Add Session Mins",IF(AND(E325&gt;0,H325="",T325=""),"Enter Contract Rate",IF(AND(E325="IEP mtg, prep, rept",F325&gt;0),(G325*H325),IF(AND(E325&gt;0,F325&gt;0,H325&gt;0,I325=""),"Enter Travel",IF(AND(F325&gt;0,I325="Y"),(G325*H325)+$M$10,IF(AND(F325&gt;0,I325="N"),(G325*H325),H325))))))))</f>
        <v/>
      </c>
      <c r="K325" s="132">
        <f>J325</f>
        <v/>
      </c>
      <c r="L325" s="148" t="n"/>
      <c r="M325" s="148" t="n"/>
      <c r="N325" s="148" t="n"/>
      <c r="O325" s="87" t="n"/>
      <c r="P325" s="81" t="n"/>
      <c r="Q325" s="81" t="n"/>
      <c r="R325" s="81" t="n"/>
      <c r="S325" s="81" t="n"/>
      <c r="T325" s="136">
        <f>IF(AND(E325&gt;0,U325=0),1,"")</f>
        <v/>
      </c>
      <c r="U325" s="136">
        <f>SUM(X325:AR325)</f>
        <v/>
      </c>
      <c r="V325" s="136">
        <f>IF(E325=$Q$16,0,SUM(X325:AI325))</f>
        <v/>
      </c>
      <c r="W325" s="136">
        <f>SUM(AK325:AR325)</f>
        <v/>
      </c>
      <c r="X325" s="136">
        <f>IF(E325=$X$6,1,"")</f>
        <v/>
      </c>
      <c r="Y325" s="136">
        <f>IF(E325=$Y$6,1,"")</f>
        <v/>
      </c>
      <c r="Z325" s="136">
        <f>IF(E325=$Z$6,1,"")</f>
        <v/>
      </c>
      <c r="AA325" s="136">
        <f>IF(E325=$AA$6,1,"")</f>
        <v/>
      </c>
      <c r="AB325" s="136">
        <f>IF(E325=$AB$6,1,"")</f>
        <v/>
      </c>
      <c r="AC325" s="136">
        <f>IF(E325=$AC$6,1,"")</f>
        <v/>
      </c>
      <c r="AD325" s="136">
        <f>IF(E325=$AD$6,1,"")</f>
        <v/>
      </c>
      <c r="AE325" s="136">
        <f>IF(E325=$AE$6,1,"")</f>
        <v/>
      </c>
      <c r="AF325" s="136">
        <f>IF(E325=$AF$6,1,"")</f>
        <v/>
      </c>
      <c r="AG325" s="136">
        <f>IF(E325=$AG$6,1,"")</f>
        <v/>
      </c>
      <c r="AH325" s="136">
        <f>IF(E325=$AH$6,1,"")</f>
        <v/>
      </c>
      <c r="AI325" s="136">
        <f>IF(E325=$AI$6,1,"")</f>
        <v/>
      </c>
      <c r="AJ325" s="136">
        <f>IF(E325=$AJ$6,1,"")</f>
        <v/>
      </c>
      <c r="AK325" s="81">
        <f>IF(E325=$AK$6,1,"")</f>
        <v/>
      </c>
      <c r="AL325" s="81">
        <f>IF(E325=$AL$6,1,"")</f>
        <v/>
      </c>
      <c r="AM325" s="81">
        <f>IF(E325=$AM$6,1,"")</f>
        <v/>
      </c>
      <c r="AN325" s="81">
        <f>IF(E325=$AN$6,1,"")</f>
        <v/>
      </c>
      <c r="AO325" s="81">
        <f>IF(E325=$AO$6,1,"")</f>
        <v/>
      </c>
      <c r="AP325" s="81">
        <f>IF(E325=$AP$6,1,"")</f>
        <v/>
      </c>
      <c r="AQ325" s="81">
        <f>IF(E325=$AQ$6,1,"")</f>
        <v/>
      </c>
      <c r="AR325" s="81">
        <f>IF(E325=$AR$6,1,"")</f>
        <v/>
      </c>
      <c r="AS325" s="81" t="n"/>
    </row>
    <row r="326" ht="15.75" customHeight="1" s="80">
      <c r="A326" s="157" t="n"/>
      <c r="B326" s="124" t="n"/>
      <c r="C326" s="125" t="n"/>
      <c r="D326" s="126" t="n"/>
      <c r="E326" s="127" t="n"/>
      <c r="F326" s="128" t="n"/>
      <c r="G326" s="129">
        <f>IF(F326="","",ROUND(F326/60,2))</f>
        <v/>
      </c>
      <c r="H326" s="130" t="n"/>
      <c r="I326" s="131" t="n"/>
      <c r="J326" s="131">
        <f>IF(COUNTIF(B326:E326,"*")=0,"",IF(T326=1,"Invalid Service",IF(AND(V326=1,F326=""),"Add Session Mins",IF(AND(E326&gt;0,H326="",T326=""),"Enter Contract Rate",IF(AND(E326="IEP mtg, prep, rept",F326&gt;0),(G326*H326),IF(AND(E326&gt;0,F326&gt;0,H326&gt;0,I326=""),"Enter Travel",IF(AND(F326&gt;0,I326="Y"),(G326*H326)+$M$10,IF(AND(F326&gt;0,I326="N"),(G326*H326),H326))))))))</f>
        <v/>
      </c>
      <c r="K326" s="132">
        <f>J326</f>
        <v/>
      </c>
      <c r="L326" s="148" t="n"/>
      <c r="M326" s="148" t="n"/>
      <c r="N326" s="148" t="n"/>
      <c r="O326" s="87" t="n"/>
      <c r="P326" s="81" t="n"/>
      <c r="Q326" s="81" t="n"/>
      <c r="R326" s="81" t="n"/>
      <c r="S326" s="81" t="n"/>
      <c r="T326" s="136">
        <f>IF(AND(E326&gt;0,U326=0),1,"")</f>
        <v/>
      </c>
      <c r="U326" s="136">
        <f>SUM(X326:AR326)</f>
        <v/>
      </c>
      <c r="V326" s="136">
        <f>IF(E326=$Q$16,0,SUM(X326:AI326))</f>
        <v/>
      </c>
      <c r="W326" s="136">
        <f>SUM(AK326:AR326)</f>
        <v/>
      </c>
      <c r="X326" s="136">
        <f>IF(E326=$X$6,1,"")</f>
        <v/>
      </c>
      <c r="Y326" s="136">
        <f>IF(E326=$Y$6,1,"")</f>
        <v/>
      </c>
      <c r="Z326" s="136">
        <f>IF(E326=$Z$6,1,"")</f>
        <v/>
      </c>
      <c r="AA326" s="136">
        <f>IF(E326=$AA$6,1,"")</f>
        <v/>
      </c>
      <c r="AB326" s="136">
        <f>IF(E326=$AB$6,1,"")</f>
        <v/>
      </c>
      <c r="AC326" s="136">
        <f>IF(E326=$AC$6,1,"")</f>
        <v/>
      </c>
      <c r="AD326" s="136">
        <f>IF(E326=$AD$6,1,"")</f>
        <v/>
      </c>
      <c r="AE326" s="136">
        <f>IF(E326=$AE$6,1,"")</f>
        <v/>
      </c>
      <c r="AF326" s="136">
        <f>IF(E326=$AF$6,1,"")</f>
        <v/>
      </c>
      <c r="AG326" s="136">
        <f>IF(E326=$AG$6,1,"")</f>
        <v/>
      </c>
      <c r="AH326" s="136">
        <f>IF(E326=$AH$6,1,"")</f>
        <v/>
      </c>
      <c r="AI326" s="136">
        <f>IF(E326=$AI$6,1,"")</f>
        <v/>
      </c>
      <c r="AJ326" s="136">
        <f>IF(E326=$AJ$6,1,"")</f>
        <v/>
      </c>
      <c r="AK326" s="81">
        <f>IF(E326=$AK$6,1,"")</f>
        <v/>
      </c>
      <c r="AL326" s="81">
        <f>IF(E326=$AL$6,1,"")</f>
        <v/>
      </c>
      <c r="AM326" s="81">
        <f>IF(E326=$AM$6,1,"")</f>
        <v/>
      </c>
      <c r="AN326" s="81">
        <f>IF(E326=$AN$6,1,"")</f>
        <v/>
      </c>
      <c r="AO326" s="81">
        <f>IF(E326=$AO$6,1,"")</f>
        <v/>
      </c>
      <c r="AP326" s="81">
        <f>IF(E326=$AP$6,1,"")</f>
        <v/>
      </c>
      <c r="AQ326" s="81">
        <f>IF(E326=$AQ$6,1,"")</f>
        <v/>
      </c>
      <c r="AR326" s="81">
        <f>IF(E326=$AR$6,1,"")</f>
        <v/>
      </c>
      <c r="AS326" s="81" t="n"/>
    </row>
    <row r="327" ht="15.75" customHeight="1" s="80">
      <c r="A327" s="157" t="n"/>
      <c r="B327" s="124" t="n"/>
      <c r="C327" s="125" t="n"/>
      <c r="D327" s="126" t="n"/>
      <c r="E327" s="127" t="n"/>
      <c r="F327" s="128" t="n"/>
      <c r="G327" s="129">
        <f>IF(F327="","",ROUND(F327/60,2))</f>
        <v/>
      </c>
      <c r="H327" s="130" t="n"/>
      <c r="I327" s="131" t="n"/>
      <c r="J327" s="131">
        <f>IF(COUNTIF(B327:E327,"*")=0,"",IF(T327=1,"Invalid Service",IF(AND(V327=1,F327=""),"Add Session Mins",IF(AND(E327&gt;0,H327="",T327=""),"Enter Contract Rate",IF(AND(E327="IEP mtg, prep, rept",F327&gt;0),(G327*H327),IF(AND(E327&gt;0,F327&gt;0,H327&gt;0,I327=""),"Enter Travel",IF(AND(F327&gt;0,I327="Y"),(G327*H327)+$M$10,IF(AND(F327&gt;0,I327="N"),(G327*H327),H327))))))))</f>
        <v/>
      </c>
      <c r="K327" s="132">
        <f>J327</f>
        <v/>
      </c>
      <c r="L327" s="148" t="n"/>
      <c r="M327" s="148" t="n"/>
      <c r="N327" s="148" t="n"/>
      <c r="O327" s="87" t="n"/>
      <c r="P327" s="81" t="n"/>
      <c r="Q327" s="81" t="n"/>
      <c r="R327" s="81" t="n"/>
      <c r="S327" s="81" t="n"/>
      <c r="T327" s="136">
        <f>IF(AND(E327&gt;0,U327=0),1,"")</f>
        <v/>
      </c>
      <c r="U327" s="136">
        <f>SUM(X327:AR327)</f>
        <v/>
      </c>
      <c r="V327" s="136">
        <f>IF(E327=$Q$16,0,SUM(X327:AI327))</f>
        <v/>
      </c>
      <c r="W327" s="136">
        <f>SUM(AK327:AR327)</f>
        <v/>
      </c>
      <c r="X327" s="136">
        <f>IF(E327=$X$6,1,"")</f>
        <v/>
      </c>
      <c r="Y327" s="136">
        <f>IF(E327=$Y$6,1,"")</f>
        <v/>
      </c>
      <c r="Z327" s="136">
        <f>IF(E327=$Z$6,1,"")</f>
        <v/>
      </c>
      <c r="AA327" s="136">
        <f>IF(E327=$AA$6,1,"")</f>
        <v/>
      </c>
      <c r="AB327" s="136">
        <f>IF(E327=$AB$6,1,"")</f>
        <v/>
      </c>
      <c r="AC327" s="136">
        <f>IF(E327=$AC$6,1,"")</f>
        <v/>
      </c>
      <c r="AD327" s="136">
        <f>IF(E327=$AD$6,1,"")</f>
        <v/>
      </c>
      <c r="AE327" s="136">
        <f>IF(E327=$AE$6,1,"")</f>
        <v/>
      </c>
      <c r="AF327" s="136">
        <f>IF(E327=$AF$6,1,"")</f>
        <v/>
      </c>
      <c r="AG327" s="136">
        <f>IF(E327=$AG$6,1,"")</f>
        <v/>
      </c>
      <c r="AH327" s="136">
        <f>IF(E327=$AH$6,1,"")</f>
        <v/>
      </c>
      <c r="AI327" s="136">
        <f>IF(E327=$AI$6,1,"")</f>
        <v/>
      </c>
      <c r="AJ327" s="136">
        <f>IF(E327=$AJ$6,1,"")</f>
        <v/>
      </c>
      <c r="AK327" s="81">
        <f>IF(E327=$AK$6,1,"")</f>
        <v/>
      </c>
      <c r="AL327" s="81">
        <f>IF(E327=$AL$6,1,"")</f>
        <v/>
      </c>
      <c r="AM327" s="81">
        <f>IF(E327=$AM$6,1,"")</f>
        <v/>
      </c>
      <c r="AN327" s="81">
        <f>IF(E327=$AN$6,1,"")</f>
        <v/>
      </c>
      <c r="AO327" s="81">
        <f>IF(E327=$AO$6,1,"")</f>
        <v/>
      </c>
      <c r="AP327" s="81">
        <f>IF(E327=$AP$6,1,"")</f>
        <v/>
      </c>
      <c r="AQ327" s="81">
        <f>IF(E327=$AQ$6,1,"")</f>
        <v/>
      </c>
      <c r="AR327" s="81">
        <f>IF(E327=$AR$6,1,"")</f>
        <v/>
      </c>
      <c r="AS327" s="81" t="n"/>
    </row>
    <row r="328" ht="15.75" customHeight="1" s="80">
      <c r="A328" s="157" t="n"/>
      <c r="B328" s="124" t="n"/>
      <c r="C328" s="125" t="n"/>
      <c r="D328" s="126" t="n"/>
      <c r="E328" s="127" t="n"/>
      <c r="F328" s="128" t="n"/>
      <c r="G328" s="129">
        <f>IF(F328="","",ROUND(F328/60,2))</f>
        <v/>
      </c>
      <c r="H328" s="130" t="n"/>
      <c r="I328" s="131" t="n"/>
      <c r="J328" s="131">
        <f>IF(COUNTIF(B328:E328,"*")=0,"",IF(T328=1,"Invalid Service",IF(AND(V328=1,F328=""),"Add Session Mins",IF(AND(E328&gt;0,H328="",T328=""),"Enter Contract Rate",IF(AND(E328="IEP mtg, prep, rept",F328&gt;0),(G328*H328),IF(AND(E328&gt;0,F328&gt;0,H328&gt;0,I328=""),"Enter Travel",IF(AND(F328&gt;0,I328="Y"),(G328*H328)+$M$10,IF(AND(F328&gt;0,I328="N"),(G328*H328),H328))))))))</f>
        <v/>
      </c>
      <c r="K328" s="132">
        <f>J328</f>
        <v/>
      </c>
      <c r="L328" s="148" t="n"/>
      <c r="M328" s="148" t="n"/>
      <c r="N328" s="148" t="n"/>
      <c r="O328" s="87" t="n"/>
      <c r="P328" s="81" t="n"/>
      <c r="Q328" s="81" t="n"/>
      <c r="R328" s="81" t="n"/>
      <c r="S328" s="81" t="n"/>
      <c r="T328" s="136">
        <f>IF(AND(E328&gt;0,U328=0),1,"")</f>
        <v/>
      </c>
      <c r="U328" s="136">
        <f>SUM(X328:AR328)</f>
        <v/>
      </c>
      <c r="V328" s="136">
        <f>IF(E328=$Q$16,0,SUM(X328:AI328))</f>
        <v/>
      </c>
      <c r="W328" s="136">
        <f>SUM(AK328:AR328)</f>
        <v/>
      </c>
      <c r="X328" s="136">
        <f>IF(E328=$X$6,1,"")</f>
        <v/>
      </c>
      <c r="Y328" s="136">
        <f>IF(E328=$Y$6,1,"")</f>
        <v/>
      </c>
      <c r="Z328" s="136">
        <f>IF(E328=$Z$6,1,"")</f>
        <v/>
      </c>
      <c r="AA328" s="136">
        <f>IF(E328=$AA$6,1,"")</f>
        <v/>
      </c>
      <c r="AB328" s="136">
        <f>IF(E328=$AB$6,1,"")</f>
        <v/>
      </c>
      <c r="AC328" s="136">
        <f>IF(E328=$AC$6,1,"")</f>
        <v/>
      </c>
      <c r="AD328" s="136">
        <f>IF(E328=$AD$6,1,"")</f>
        <v/>
      </c>
      <c r="AE328" s="136">
        <f>IF(E328=$AE$6,1,"")</f>
        <v/>
      </c>
      <c r="AF328" s="136">
        <f>IF(E328=$AF$6,1,"")</f>
        <v/>
      </c>
      <c r="AG328" s="136">
        <f>IF(E328=$AG$6,1,"")</f>
        <v/>
      </c>
      <c r="AH328" s="136">
        <f>IF(E328=$AH$6,1,"")</f>
        <v/>
      </c>
      <c r="AI328" s="136">
        <f>IF(E328=$AI$6,1,"")</f>
        <v/>
      </c>
      <c r="AJ328" s="136">
        <f>IF(E328=$AJ$6,1,"")</f>
        <v/>
      </c>
      <c r="AK328" s="81">
        <f>IF(E328=$AK$6,1,"")</f>
        <v/>
      </c>
      <c r="AL328" s="81">
        <f>IF(E328=$AL$6,1,"")</f>
        <v/>
      </c>
      <c r="AM328" s="81">
        <f>IF(E328=$AM$6,1,"")</f>
        <v/>
      </c>
      <c r="AN328" s="81">
        <f>IF(E328=$AN$6,1,"")</f>
        <v/>
      </c>
      <c r="AO328" s="81">
        <f>IF(E328=$AO$6,1,"")</f>
        <v/>
      </c>
      <c r="AP328" s="81">
        <f>IF(E328=$AP$6,1,"")</f>
        <v/>
      </c>
      <c r="AQ328" s="81">
        <f>IF(E328=$AQ$6,1,"")</f>
        <v/>
      </c>
      <c r="AR328" s="81">
        <f>IF(E328=$AR$6,1,"")</f>
        <v/>
      </c>
      <c r="AS328" s="81" t="n"/>
    </row>
    <row r="329" ht="15.75" customHeight="1" s="80">
      <c r="A329" s="157" t="n"/>
      <c r="B329" s="124" t="n"/>
      <c r="C329" s="125" t="n"/>
      <c r="D329" s="126" t="n"/>
      <c r="E329" s="127" t="n"/>
      <c r="F329" s="128" t="n"/>
      <c r="G329" s="129">
        <f>IF(F329="","",ROUND(F329/60,2))</f>
        <v/>
      </c>
      <c r="H329" s="130" t="n"/>
      <c r="I329" s="131" t="n"/>
      <c r="J329" s="131">
        <f>IF(COUNTIF(B329:E329,"*")=0,"",IF(T329=1,"Invalid Service",IF(AND(V329=1,F329=""),"Add Session Mins",IF(AND(E329&gt;0,H329="",T329=""),"Enter Contract Rate",IF(AND(E329="IEP mtg, prep, rept",F329&gt;0),(G329*H329),IF(AND(E329&gt;0,F329&gt;0,H329&gt;0,I329=""),"Enter Travel",IF(AND(F329&gt;0,I329="Y"),(G329*H329)+$M$10,IF(AND(F329&gt;0,I329="N"),(G329*H329),H329))))))))</f>
        <v/>
      </c>
      <c r="K329" s="132">
        <f>J329</f>
        <v/>
      </c>
      <c r="L329" s="148" t="n"/>
      <c r="M329" s="148" t="n"/>
      <c r="N329" s="148" t="n"/>
      <c r="O329" s="87" t="n"/>
      <c r="P329" s="81" t="n"/>
      <c r="Q329" s="81" t="n"/>
      <c r="R329" s="81" t="n"/>
      <c r="S329" s="81" t="n"/>
      <c r="T329" s="136">
        <f>IF(AND(E329&gt;0,U329=0),1,"")</f>
        <v/>
      </c>
      <c r="U329" s="136">
        <f>SUM(X329:AR329)</f>
        <v/>
      </c>
      <c r="V329" s="136">
        <f>IF(E329=$Q$16,0,SUM(X329:AI329))</f>
        <v/>
      </c>
      <c r="W329" s="136">
        <f>SUM(AK329:AR329)</f>
        <v/>
      </c>
      <c r="X329" s="136">
        <f>IF(E329=$X$6,1,"")</f>
        <v/>
      </c>
      <c r="Y329" s="136">
        <f>IF(E329=$Y$6,1,"")</f>
        <v/>
      </c>
      <c r="Z329" s="136">
        <f>IF(E329=$Z$6,1,"")</f>
        <v/>
      </c>
      <c r="AA329" s="136">
        <f>IF(E329=$AA$6,1,"")</f>
        <v/>
      </c>
      <c r="AB329" s="136">
        <f>IF(E329=$AB$6,1,"")</f>
        <v/>
      </c>
      <c r="AC329" s="136">
        <f>IF(E329=$AC$6,1,"")</f>
        <v/>
      </c>
      <c r="AD329" s="136">
        <f>IF(E329=$AD$6,1,"")</f>
        <v/>
      </c>
      <c r="AE329" s="136">
        <f>IF(E329=$AE$6,1,"")</f>
        <v/>
      </c>
      <c r="AF329" s="136">
        <f>IF(E329=$AF$6,1,"")</f>
        <v/>
      </c>
      <c r="AG329" s="136">
        <f>IF(E329=$AG$6,1,"")</f>
        <v/>
      </c>
      <c r="AH329" s="136">
        <f>IF(E329=$AH$6,1,"")</f>
        <v/>
      </c>
      <c r="AI329" s="136">
        <f>IF(E329=$AI$6,1,"")</f>
        <v/>
      </c>
      <c r="AJ329" s="136">
        <f>IF(E329=$AJ$6,1,"")</f>
        <v/>
      </c>
      <c r="AK329" s="81">
        <f>IF(E329=$AK$6,1,"")</f>
        <v/>
      </c>
      <c r="AL329" s="81">
        <f>IF(E329=$AL$6,1,"")</f>
        <v/>
      </c>
      <c r="AM329" s="81">
        <f>IF(E329=$AM$6,1,"")</f>
        <v/>
      </c>
      <c r="AN329" s="81">
        <f>IF(E329=$AN$6,1,"")</f>
        <v/>
      </c>
      <c r="AO329" s="81">
        <f>IF(E329=$AO$6,1,"")</f>
        <v/>
      </c>
      <c r="AP329" s="81">
        <f>IF(E329=$AP$6,1,"")</f>
        <v/>
      </c>
      <c r="AQ329" s="81">
        <f>IF(E329=$AQ$6,1,"")</f>
        <v/>
      </c>
      <c r="AR329" s="81">
        <f>IF(E329=$AR$6,1,"")</f>
        <v/>
      </c>
      <c r="AS329" s="81" t="n"/>
    </row>
    <row r="330" ht="15.75" customHeight="1" s="80">
      <c r="A330" s="157" t="n"/>
      <c r="B330" s="124" t="n"/>
      <c r="C330" s="125" t="n"/>
      <c r="D330" s="126" t="n"/>
      <c r="E330" s="127" t="n"/>
      <c r="F330" s="128" t="n"/>
      <c r="G330" s="129">
        <f>IF(F330="","",ROUND(F330/60,2))</f>
        <v/>
      </c>
      <c r="H330" s="130" t="n"/>
      <c r="I330" s="131" t="n"/>
      <c r="J330" s="131">
        <f>IF(COUNTIF(B330:E330,"*")=0,"",IF(T330=1,"Invalid Service",IF(AND(V330=1,F330=""),"Add Session Mins",IF(AND(E330&gt;0,H330="",T330=""),"Enter Contract Rate",IF(AND(E330="IEP mtg, prep, rept",F330&gt;0),(G330*H330),IF(AND(E330&gt;0,F330&gt;0,H330&gt;0,I330=""),"Enter Travel",IF(AND(F330&gt;0,I330="Y"),(G330*H330)+$M$10,IF(AND(F330&gt;0,I330="N"),(G330*H330),H330))))))))</f>
        <v/>
      </c>
      <c r="K330" s="132">
        <f>J330</f>
        <v/>
      </c>
      <c r="L330" s="148" t="n"/>
      <c r="M330" s="148" t="n"/>
      <c r="N330" s="148" t="n"/>
      <c r="O330" s="87" t="n"/>
      <c r="P330" s="81" t="n"/>
      <c r="Q330" s="81" t="n"/>
      <c r="R330" s="81" t="n"/>
      <c r="S330" s="81" t="n"/>
      <c r="T330" s="136">
        <f>IF(AND(E330&gt;0,U330=0),1,"")</f>
        <v/>
      </c>
      <c r="U330" s="136">
        <f>SUM(X330:AR330)</f>
        <v/>
      </c>
      <c r="V330" s="136">
        <f>IF(E330=$Q$16,0,SUM(X330:AI330))</f>
        <v/>
      </c>
      <c r="W330" s="136">
        <f>SUM(AK330:AR330)</f>
        <v/>
      </c>
      <c r="X330" s="136">
        <f>IF(E330=$X$6,1,"")</f>
        <v/>
      </c>
      <c r="Y330" s="136">
        <f>IF(E330=$Y$6,1,"")</f>
        <v/>
      </c>
      <c r="Z330" s="136">
        <f>IF(E330=$Z$6,1,"")</f>
        <v/>
      </c>
      <c r="AA330" s="136">
        <f>IF(E330=$AA$6,1,"")</f>
        <v/>
      </c>
      <c r="AB330" s="136">
        <f>IF(E330=$AB$6,1,"")</f>
        <v/>
      </c>
      <c r="AC330" s="136">
        <f>IF(E330=$AC$6,1,"")</f>
        <v/>
      </c>
      <c r="AD330" s="136">
        <f>IF(E330=$AD$6,1,"")</f>
        <v/>
      </c>
      <c r="AE330" s="136">
        <f>IF(E330=$AE$6,1,"")</f>
        <v/>
      </c>
      <c r="AF330" s="136">
        <f>IF(E330=$AF$6,1,"")</f>
        <v/>
      </c>
      <c r="AG330" s="136">
        <f>IF(E330=$AG$6,1,"")</f>
        <v/>
      </c>
      <c r="AH330" s="136">
        <f>IF(E330=$AH$6,1,"")</f>
        <v/>
      </c>
      <c r="AI330" s="136">
        <f>IF(E330=$AI$6,1,"")</f>
        <v/>
      </c>
      <c r="AJ330" s="136">
        <f>IF(E330=$AJ$6,1,"")</f>
        <v/>
      </c>
      <c r="AK330" s="81">
        <f>IF(E330=$AK$6,1,"")</f>
        <v/>
      </c>
      <c r="AL330" s="81">
        <f>IF(E330=$AL$6,1,"")</f>
        <v/>
      </c>
      <c r="AM330" s="81">
        <f>IF(E330=$AM$6,1,"")</f>
        <v/>
      </c>
      <c r="AN330" s="81">
        <f>IF(E330=$AN$6,1,"")</f>
        <v/>
      </c>
      <c r="AO330" s="81">
        <f>IF(E330=$AO$6,1,"")</f>
        <v/>
      </c>
      <c r="AP330" s="81">
        <f>IF(E330=$AP$6,1,"")</f>
        <v/>
      </c>
      <c r="AQ330" s="81">
        <f>IF(E330=$AQ$6,1,"")</f>
        <v/>
      </c>
      <c r="AR330" s="81">
        <f>IF(E330=$AR$6,1,"")</f>
        <v/>
      </c>
      <c r="AS330" s="81" t="n"/>
    </row>
    <row r="331" ht="15.75" customHeight="1" s="80">
      <c r="A331" s="157" t="n"/>
      <c r="B331" s="124" t="n"/>
      <c r="C331" s="125" t="n"/>
      <c r="D331" s="126" t="n"/>
      <c r="E331" s="127" t="n"/>
      <c r="F331" s="128" t="n"/>
      <c r="G331" s="129">
        <f>IF(F331="","",ROUND(F331/60,2))</f>
        <v/>
      </c>
      <c r="H331" s="130" t="n"/>
      <c r="I331" s="131" t="n"/>
      <c r="J331" s="131">
        <f>IF(COUNTIF(B331:E331,"*")=0,"",IF(T331=1,"Invalid Service",IF(AND(V331=1,F331=""),"Add Session Mins",IF(AND(E331&gt;0,H331="",T331=""),"Enter Contract Rate",IF(AND(E331="IEP mtg, prep, rept",F331&gt;0),(G331*H331),IF(AND(E331&gt;0,F331&gt;0,H331&gt;0,I331=""),"Enter Travel",IF(AND(F331&gt;0,I331="Y"),(G331*H331)+$M$10,IF(AND(F331&gt;0,I331="N"),(G331*H331),H331))))))))</f>
        <v/>
      </c>
      <c r="K331" s="132">
        <f>J331</f>
        <v/>
      </c>
      <c r="L331" s="148" t="n"/>
      <c r="M331" s="148" t="n"/>
      <c r="N331" s="148" t="n"/>
      <c r="O331" s="87" t="n"/>
      <c r="P331" s="81" t="n"/>
      <c r="Q331" s="81" t="n"/>
      <c r="R331" s="81" t="n"/>
      <c r="S331" s="81" t="n"/>
      <c r="T331" s="136">
        <f>IF(AND(E331&gt;0,U331=0),1,"")</f>
        <v/>
      </c>
      <c r="U331" s="136">
        <f>SUM(X331:AR331)</f>
        <v/>
      </c>
      <c r="V331" s="136">
        <f>IF(E331=$Q$16,0,SUM(X331:AI331))</f>
        <v/>
      </c>
      <c r="W331" s="136">
        <f>SUM(AK331:AR331)</f>
        <v/>
      </c>
      <c r="X331" s="136">
        <f>IF(E331=$X$6,1,"")</f>
        <v/>
      </c>
      <c r="Y331" s="136">
        <f>IF(E331=$Y$6,1,"")</f>
        <v/>
      </c>
      <c r="Z331" s="136">
        <f>IF(E331=$Z$6,1,"")</f>
        <v/>
      </c>
      <c r="AA331" s="136">
        <f>IF(E331=$AA$6,1,"")</f>
        <v/>
      </c>
      <c r="AB331" s="136">
        <f>IF(E331=$AB$6,1,"")</f>
        <v/>
      </c>
      <c r="AC331" s="136">
        <f>IF(E331=$AC$6,1,"")</f>
        <v/>
      </c>
      <c r="AD331" s="136">
        <f>IF(E331=$AD$6,1,"")</f>
        <v/>
      </c>
      <c r="AE331" s="136">
        <f>IF(E331=$AE$6,1,"")</f>
        <v/>
      </c>
      <c r="AF331" s="136">
        <f>IF(E331=$AF$6,1,"")</f>
        <v/>
      </c>
      <c r="AG331" s="136">
        <f>IF(E331=$AG$6,1,"")</f>
        <v/>
      </c>
      <c r="AH331" s="136">
        <f>IF(E331=$AH$6,1,"")</f>
        <v/>
      </c>
      <c r="AI331" s="136">
        <f>IF(E331=$AI$6,1,"")</f>
        <v/>
      </c>
      <c r="AJ331" s="136">
        <f>IF(E331=$AJ$6,1,"")</f>
        <v/>
      </c>
      <c r="AK331" s="81">
        <f>IF(E331=$AK$6,1,"")</f>
        <v/>
      </c>
      <c r="AL331" s="81">
        <f>IF(E331=$AL$6,1,"")</f>
        <v/>
      </c>
      <c r="AM331" s="81">
        <f>IF(E331=$AM$6,1,"")</f>
        <v/>
      </c>
      <c r="AN331" s="81">
        <f>IF(E331=$AN$6,1,"")</f>
        <v/>
      </c>
      <c r="AO331" s="81">
        <f>IF(E331=$AO$6,1,"")</f>
        <v/>
      </c>
      <c r="AP331" s="81">
        <f>IF(E331=$AP$6,1,"")</f>
        <v/>
      </c>
      <c r="AQ331" s="81">
        <f>IF(E331=$AQ$6,1,"")</f>
        <v/>
      </c>
      <c r="AR331" s="81">
        <f>IF(E331=$AR$6,1,"")</f>
        <v/>
      </c>
      <c r="AS331" s="81" t="n"/>
    </row>
    <row r="332" ht="15.75" customHeight="1" s="80">
      <c r="A332" s="157" t="n"/>
      <c r="B332" s="124" t="n"/>
      <c r="C332" s="125" t="n"/>
      <c r="D332" s="126" t="n"/>
      <c r="E332" s="127" t="n"/>
      <c r="F332" s="128" t="n"/>
      <c r="G332" s="129">
        <f>IF(F332="","",ROUND(F332/60,2))</f>
        <v/>
      </c>
      <c r="H332" s="130" t="n"/>
      <c r="I332" s="131" t="n"/>
      <c r="J332" s="131">
        <f>IF(COUNTIF(B332:E332,"*")=0,"",IF(T332=1,"Invalid Service",IF(AND(V332=1,F332=""),"Add Session Mins",IF(AND(E332&gt;0,H332="",T332=""),"Enter Contract Rate",IF(AND(E332="IEP mtg, prep, rept",F332&gt;0),(G332*H332),IF(AND(E332&gt;0,F332&gt;0,H332&gt;0,I332=""),"Enter Travel",IF(AND(F332&gt;0,I332="Y"),(G332*H332)+$M$10,IF(AND(F332&gt;0,I332="N"),(G332*H332),H332))))))))</f>
        <v/>
      </c>
      <c r="K332" s="132">
        <f>J332</f>
        <v/>
      </c>
      <c r="L332" s="148" t="n"/>
      <c r="M332" s="148" t="n"/>
      <c r="N332" s="148" t="n"/>
      <c r="O332" s="87" t="n"/>
      <c r="P332" s="81" t="n"/>
      <c r="Q332" s="81" t="n"/>
      <c r="R332" s="81" t="n"/>
      <c r="S332" s="81" t="n"/>
      <c r="T332" s="136">
        <f>IF(AND(E332&gt;0,U332=0),1,"")</f>
        <v/>
      </c>
      <c r="U332" s="136">
        <f>SUM(X332:AR332)</f>
        <v/>
      </c>
      <c r="V332" s="136">
        <f>IF(E332=$Q$16,0,SUM(X332:AI332))</f>
        <v/>
      </c>
      <c r="W332" s="136">
        <f>SUM(AK332:AR332)</f>
        <v/>
      </c>
      <c r="X332" s="136">
        <f>IF(E332=$X$6,1,"")</f>
        <v/>
      </c>
      <c r="Y332" s="136">
        <f>IF(E332=$Y$6,1,"")</f>
        <v/>
      </c>
      <c r="Z332" s="136">
        <f>IF(E332=$Z$6,1,"")</f>
        <v/>
      </c>
      <c r="AA332" s="136">
        <f>IF(E332=$AA$6,1,"")</f>
        <v/>
      </c>
      <c r="AB332" s="136">
        <f>IF(E332=$AB$6,1,"")</f>
        <v/>
      </c>
      <c r="AC332" s="136">
        <f>IF(E332=$AC$6,1,"")</f>
        <v/>
      </c>
      <c r="AD332" s="136">
        <f>IF(E332=$AD$6,1,"")</f>
        <v/>
      </c>
      <c r="AE332" s="136">
        <f>IF(E332=$AE$6,1,"")</f>
        <v/>
      </c>
      <c r="AF332" s="136">
        <f>IF(E332=$AF$6,1,"")</f>
        <v/>
      </c>
      <c r="AG332" s="136">
        <f>IF(E332=$AG$6,1,"")</f>
        <v/>
      </c>
      <c r="AH332" s="136">
        <f>IF(E332=$AH$6,1,"")</f>
        <v/>
      </c>
      <c r="AI332" s="136">
        <f>IF(E332=$AI$6,1,"")</f>
        <v/>
      </c>
      <c r="AJ332" s="136">
        <f>IF(E332=$AJ$6,1,"")</f>
        <v/>
      </c>
      <c r="AK332" s="81">
        <f>IF(E332=$AK$6,1,"")</f>
        <v/>
      </c>
      <c r="AL332" s="81">
        <f>IF(E332=$AL$6,1,"")</f>
        <v/>
      </c>
      <c r="AM332" s="81">
        <f>IF(E332=$AM$6,1,"")</f>
        <v/>
      </c>
      <c r="AN332" s="81">
        <f>IF(E332=$AN$6,1,"")</f>
        <v/>
      </c>
      <c r="AO332" s="81">
        <f>IF(E332=$AO$6,1,"")</f>
        <v/>
      </c>
      <c r="AP332" s="81">
        <f>IF(E332=$AP$6,1,"")</f>
        <v/>
      </c>
      <c r="AQ332" s="81">
        <f>IF(E332=$AQ$6,1,"")</f>
        <v/>
      </c>
      <c r="AR332" s="81">
        <f>IF(E332=$AR$6,1,"")</f>
        <v/>
      </c>
      <c r="AS332" s="81" t="n"/>
    </row>
    <row r="333" ht="15.75" customHeight="1" s="80">
      <c r="A333" s="157" t="n"/>
      <c r="B333" s="124" t="n"/>
      <c r="C333" s="125" t="n"/>
      <c r="D333" s="126" t="n"/>
      <c r="E333" s="127" t="n"/>
      <c r="F333" s="128" t="n"/>
      <c r="G333" s="129">
        <f>IF(F333="","",ROUND(F333/60,2))</f>
        <v/>
      </c>
      <c r="H333" s="130" t="n"/>
      <c r="I333" s="131" t="n"/>
      <c r="J333" s="131">
        <f>IF(COUNTIF(B333:E333,"*")=0,"",IF(T333=1,"Invalid Service",IF(AND(V333=1,F333=""),"Add Session Mins",IF(AND(E333&gt;0,H333="",T333=""),"Enter Contract Rate",IF(AND(E333="IEP mtg, prep, rept",F333&gt;0),(G333*H333),IF(AND(E333&gt;0,F333&gt;0,H333&gt;0,I333=""),"Enter Travel",IF(AND(F333&gt;0,I333="Y"),(G333*H333)+$M$10,IF(AND(F333&gt;0,I333="N"),(G333*H333),H333))))))))</f>
        <v/>
      </c>
      <c r="K333" s="132">
        <f>J333</f>
        <v/>
      </c>
      <c r="L333" s="148" t="n"/>
      <c r="M333" s="148" t="n"/>
      <c r="N333" s="148" t="n"/>
      <c r="O333" s="87" t="n"/>
      <c r="P333" s="81" t="n"/>
      <c r="Q333" s="81" t="n"/>
      <c r="R333" s="81" t="n"/>
      <c r="S333" s="81" t="n"/>
      <c r="T333" s="136">
        <f>IF(AND(E333&gt;0,U333=0),1,"")</f>
        <v/>
      </c>
      <c r="U333" s="136">
        <f>SUM(X333:AR333)</f>
        <v/>
      </c>
      <c r="V333" s="136">
        <f>IF(E333=$Q$16,0,SUM(X333:AI333))</f>
        <v/>
      </c>
      <c r="W333" s="136">
        <f>SUM(AK333:AR333)</f>
        <v/>
      </c>
      <c r="X333" s="136">
        <f>IF(E333=$X$6,1,"")</f>
        <v/>
      </c>
      <c r="Y333" s="136">
        <f>IF(E333=$Y$6,1,"")</f>
        <v/>
      </c>
      <c r="Z333" s="136">
        <f>IF(E333=$Z$6,1,"")</f>
        <v/>
      </c>
      <c r="AA333" s="136">
        <f>IF(E333=$AA$6,1,"")</f>
        <v/>
      </c>
      <c r="AB333" s="136">
        <f>IF(E333=$AB$6,1,"")</f>
        <v/>
      </c>
      <c r="AC333" s="136">
        <f>IF(E333=$AC$6,1,"")</f>
        <v/>
      </c>
      <c r="AD333" s="136">
        <f>IF(E333=$AD$6,1,"")</f>
        <v/>
      </c>
      <c r="AE333" s="136">
        <f>IF(E333=$AE$6,1,"")</f>
        <v/>
      </c>
      <c r="AF333" s="136">
        <f>IF(E333=$AF$6,1,"")</f>
        <v/>
      </c>
      <c r="AG333" s="136">
        <f>IF(E333=$AG$6,1,"")</f>
        <v/>
      </c>
      <c r="AH333" s="136">
        <f>IF(E333=$AH$6,1,"")</f>
        <v/>
      </c>
      <c r="AI333" s="136">
        <f>IF(E333=$AI$6,1,"")</f>
        <v/>
      </c>
      <c r="AJ333" s="136">
        <f>IF(E333=$AJ$6,1,"")</f>
        <v/>
      </c>
      <c r="AK333" s="81">
        <f>IF(E333=$AK$6,1,"")</f>
        <v/>
      </c>
      <c r="AL333" s="81">
        <f>IF(E333=$AL$6,1,"")</f>
        <v/>
      </c>
      <c r="AM333" s="81">
        <f>IF(E333=$AM$6,1,"")</f>
        <v/>
      </c>
      <c r="AN333" s="81">
        <f>IF(E333=$AN$6,1,"")</f>
        <v/>
      </c>
      <c r="AO333" s="81">
        <f>IF(E333=$AO$6,1,"")</f>
        <v/>
      </c>
      <c r="AP333" s="81">
        <f>IF(E333=$AP$6,1,"")</f>
        <v/>
      </c>
      <c r="AQ333" s="81">
        <f>IF(E333=$AQ$6,1,"")</f>
        <v/>
      </c>
      <c r="AR333" s="81">
        <f>IF(E333=$AR$6,1,"")</f>
        <v/>
      </c>
      <c r="AS333" s="81" t="n"/>
    </row>
    <row r="334" ht="15.75" customHeight="1" s="80">
      <c r="A334" s="157" t="n"/>
      <c r="B334" s="124" t="n"/>
      <c r="C334" s="125" t="n"/>
      <c r="D334" s="126" t="n"/>
      <c r="E334" s="127" t="n"/>
      <c r="F334" s="128" t="n"/>
      <c r="G334" s="129">
        <f>IF(F334="","",ROUND(F334/60,2))</f>
        <v/>
      </c>
      <c r="H334" s="130" t="n"/>
      <c r="I334" s="131" t="n"/>
      <c r="J334" s="131">
        <f>IF(COUNTIF(B334:E334,"*")=0,"",IF(T334=1,"Invalid Service",IF(AND(V334=1,F334=""),"Add Session Mins",IF(AND(E334&gt;0,H334="",T334=""),"Enter Contract Rate",IF(AND(E334="IEP mtg, prep, rept",F334&gt;0),(G334*H334),IF(AND(E334&gt;0,F334&gt;0,H334&gt;0,I334=""),"Enter Travel",IF(AND(F334&gt;0,I334="Y"),(G334*H334)+$M$10,IF(AND(F334&gt;0,I334="N"),(G334*H334),H334))))))))</f>
        <v/>
      </c>
      <c r="K334" s="132">
        <f>J334</f>
        <v/>
      </c>
      <c r="L334" s="148" t="n"/>
      <c r="M334" s="148" t="n"/>
      <c r="N334" s="148" t="n"/>
      <c r="O334" s="87" t="n"/>
      <c r="P334" s="81" t="n"/>
      <c r="Q334" s="81" t="n"/>
      <c r="R334" s="81" t="n"/>
      <c r="S334" s="81" t="n"/>
      <c r="T334" s="136">
        <f>IF(AND(E334&gt;0,U334=0),1,"")</f>
        <v/>
      </c>
      <c r="U334" s="136">
        <f>SUM(X334:AR334)</f>
        <v/>
      </c>
      <c r="V334" s="136">
        <f>IF(E334=$Q$16,0,SUM(X334:AI334))</f>
        <v/>
      </c>
      <c r="W334" s="136">
        <f>SUM(AK334:AR334)</f>
        <v/>
      </c>
      <c r="X334" s="136">
        <f>IF(E334=$X$6,1,"")</f>
        <v/>
      </c>
      <c r="Y334" s="136">
        <f>IF(E334=$Y$6,1,"")</f>
        <v/>
      </c>
      <c r="Z334" s="136">
        <f>IF(E334=$Z$6,1,"")</f>
        <v/>
      </c>
      <c r="AA334" s="136">
        <f>IF(E334=$AA$6,1,"")</f>
        <v/>
      </c>
      <c r="AB334" s="136">
        <f>IF(E334=$AB$6,1,"")</f>
        <v/>
      </c>
      <c r="AC334" s="136">
        <f>IF(E334=$AC$6,1,"")</f>
        <v/>
      </c>
      <c r="AD334" s="136">
        <f>IF(E334=$AD$6,1,"")</f>
        <v/>
      </c>
      <c r="AE334" s="136">
        <f>IF(E334=$AE$6,1,"")</f>
        <v/>
      </c>
      <c r="AF334" s="136">
        <f>IF(E334=$AF$6,1,"")</f>
        <v/>
      </c>
      <c r="AG334" s="136">
        <f>IF(E334=$AG$6,1,"")</f>
        <v/>
      </c>
      <c r="AH334" s="136">
        <f>IF(E334=$AH$6,1,"")</f>
        <v/>
      </c>
      <c r="AI334" s="136">
        <f>IF(E334=$AI$6,1,"")</f>
        <v/>
      </c>
      <c r="AJ334" s="136">
        <f>IF(E334=$AJ$6,1,"")</f>
        <v/>
      </c>
      <c r="AK334" s="81">
        <f>IF(E334=$AK$6,1,"")</f>
        <v/>
      </c>
      <c r="AL334" s="81">
        <f>IF(E334=$AL$6,1,"")</f>
        <v/>
      </c>
      <c r="AM334" s="81">
        <f>IF(E334=$AM$6,1,"")</f>
        <v/>
      </c>
      <c r="AN334" s="81">
        <f>IF(E334=$AN$6,1,"")</f>
        <v/>
      </c>
      <c r="AO334" s="81">
        <f>IF(E334=$AO$6,1,"")</f>
        <v/>
      </c>
      <c r="AP334" s="81">
        <f>IF(E334=$AP$6,1,"")</f>
        <v/>
      </c>
      <c r="AQ334" s="81">
        <f>IF(E334=$AQ$6,1,"")</f>
        <v/>
      </c>
      <c r="AR334" s="81">
        <f>IF(E334=$AR$6,1,"")</f>
        <v/>
      </c>
      <c r="AS334" s="81" t="n"/>
    </row>
    <row r="335" ht="15.75" customHeight="1" s="80">
      <c r="A335" s="157" t="n"/>
      <c r="B335" s="124" t="n"/>
      <c r="C335" s="125" t="n"/>
      <c r="D335" s="126" t="n"/>
      <c r="E335" s="127" t="n"/>
      <c r="F335" s="128" t="n"/>
      <c r="G335" s="129">
        <f>IF(F335="","",ROUND(F335/60,2))</f>
        <v/>
      </c>
      <c r="H335" s="130" t="n"/>
      <c r="I335" s="131" t="n"/>
      <c r="J335" s="131">
        <f>IF(COUNTIF(B335:E335,"*")=0,"",IF(T335=1,"Invalid Service",IF(AND(V335=1,F335=""),"Add Session Mins",IF(AND(E335&gt;0,H335="",T335=""),"Enter Contract Rate",IF(AND(E335="IEP mtg, prep, rept",F335&gt;0),(G335*H335),IF(AND(E335&gt;0,F335&gt;0,H335&gt;0,I335=""),"Enter Travel",IF(AND(F335&gt;0,I335="Y"),(G335*H335)+$M$10,IF(AND(F335&gt;0,I335="N"),(G335*H335),H335))))))))</f>
        <v/>
      </c>
      <c r="K335" s="132">
        <f>J335</f>
        <v/>
      </c>
      <c r="L335" s="148" t="n"/>
      <c r="M335" s="148" t="n"/>
      <c r="N335" s="148" t="n"/>
      <c r="O335" s="87" t="n"/>
      <c r="P335" s="81" t="n"/>
      <c r="Q335" s="81" t="n"/>
      <c r="R335" s="81" t="n"/>
      <c r="S335" s="81" t="n"/>
      <c r="T335" s="136">
        <f>IF(AND(E335&gt;0,U335=0),1,"")</f>
        <v/>
      </c>
      <c r="U335" s="136">
        <f>SUM(X335:AR335)</f>
        <v/>
      </c>
      <c r="V335" s="136">
        <f>IF(E335=$Q$16,0,SUM(X335:AI335))</f>
        <v/>
      </c>
      <c r="W335" s="136">
        <f>SUM(AK335:AR335)</f>
        <v/>
      </c>
      <c r="X335" s="136">
        <f>IF(E335=$X$6,1,"")</f>
        <v/>
      </c>
      <c r="Y335" s="136">
        <f>IF(E335=$Y$6,1,"")</f>
        <v/>
      </c>
      <c r="Z335" s="136">
        <f>IF(E335=$Z$6,1,"")</f>
        <v/>
      </c>
      <c r="AA335" s="136">
        <f>IF(E335=$AA$6,1,"")</f>
        <v/>
      </c>
      <c r="AB335" s="136">
        <f>IF(E335=$AB$6,1,"")</f>
        <v/>
      </c>
      <c r="AC335" s="136">
        <f>IF(E335=$AC$6,1,"")</f>
        <v/>
      </c>
      <c r="AD335" s="136">
        <f>IF(E335=$AD$6,1,"")</f>
        <v/>
      </c>
      <c r="AE335" s="136">
        <f>IF(E335=$AE$6,1,"")</f>
        <v/>
      </c>
      <c r="AF335" s="136">
        <f>IF(E335=$AF$6,1,"")</f>
        <v/>
      </c>
      <c r="AG335" s="136">
        <f>IF(E335=$AG$6,1,"")</f>
        <v/>
      </c>
      <c r="AH335" s="136">
        <f>IF(E335=$AH$6,1,"")</f>
        <v/>
      </c>
      <c r="AI335" s="136">
        <f>IF(E335=$AI$6,1,"")</f>
        <v/>
      </c>
      <c r="AJ335" s="136">
        <f>IF(E335=$AJ$6,1,"")</f>
        <v/>
      </c>
      <c r="AK335" s="81">
        <f>IF(E335=$AK$6,1,"")</f>
        <v/>
      </c>
      <c r="AL335" s="81">
        <f>IF(E335=$AL$6,1,"")</f>
        <v/>
      </c>
      <c r="AM335" s="81">
        <f>IF(E335=$AM$6,1,"")</f>
        <v/>
      </c>
      <c r="AN335" s="81">
        <f>IF(E335=$AN$6,1,"")</f>
        <v/>
      </c>
      <c r="AO335" s="81">
        <f>IF(E335=$AO$6,1,"")</f>
        <v/>
      </c>
      <c r="AP335" s="81">
        <f>IF(E335=$AP$6,1,"")</f>
        <v/>
      </c>
      <c r="AQ335" s="81">
        <f>IF(E335=$AQ$6,1,"")</f>
        <v/>
      </c>
      <c r="AR335" s="81">
        <f>IF(E335=$AR$6,1,"")</f>
        <v/>
      </c>
      <c r="AS335" s="81" t="n"/>
    </row>
    <row r="336" ht="15.75" customHeight="1" s="80">
      <c r="A336" s="157" t="n"/>
      <c r="B336" s="124" t="n"/>
      <c r="C336" s="125" t="n"/>
      <c r="D336" s="126" t="n"/>
      <c r="E336" s="127" t="n"/>
      <c r="F336" s="128" t="n"/>
      <c r="G336" s="129">
        <f>IF(F336="","",ROUND(F336/60,2))</f>
        <v/>
      </c>
      <c r="H336" s="130" t="n"/>
      <c r="I336" s="131" t="n"/>
      <c r="J336" s="131">
        <f>IF(COUNTIF(B336:E336,"*")=0,"",IF(T336=1,"Invalid Service",IF(AND(V336=1,F336=""),"Add Session Mins",IF(AND(E336&gt;0,H336="",T336=""),"Enter Contract Rate",IF(AND(E336="IEP mtg, prep, rept",F336&gt;0),(G336*H336),IF(AND(E336&gt;0,F336&gt;0,H336&gt;0,I336=""),"Enter Travel",IF(AND(F336&gt;0,I336="Y"),(G336*H336)+$M$10,IF(AND(F336&gt;0,I336="N"),(G336*H336),H336))))))))</f>
        <v/>
      </c>
      <c r="K336" s="132">
        <f>J336</f>
        <v/>
      </c>
      <c r="L336" s="148" t="n"/>
      <c r="M336" s="148" t="n"/>
      <c r="N336" s="148" t="n"/>
      <c r="O336" s="87" t="n"/>
      <c r="P336" s="81" t="n"/>
      <c r="Q336" s="81" t="n"/>
      <c r="R336" s="81" t="n"/>
      <c r="S336" s="81" t="n"/>
      <c r="T336" s="136">
        <f>IF(AND(E336&gt;0,U336=0),1,"")</f>
        <v/>
      </c>
      <c r="U336" s="136">
        <f>SUM(X336:AR336)</f>
        <v/>
      </c>
      <c r="V336" s="136">
        <f>IF(E336=$Q$16,0,SUM(X336:AI336))</f>
        <v/>
      </c>
      <c r="W336" s="136">
        <f>SUM(AK336:AR336)</f>
        <v/>
      </c>
      <c r="X336" s="136">
        <f>IF(E336=$X$6,1,"")</f>
        <v/>
      </c>
      <c r="Y336" s="136">
        <f>IF(E336=$Y$6,1,"")</f>
        <v/>
      </c>
      <c r="Z336" s="136">
        <f>IF(E336=$Z$6,1,"")</f>
        <v/>
      </c>
      <c r="AA336" s="136">
        <f>IF(E336=$AA$6,1,"")</f>
        <v/>
      </c>
      <c r="AB336" s="136">
        <f>IF(E336=$AB$6,1,"")</f>
        <v/>
      </c>
      <c r="AC336" s="136">
        <f>IF(E336=$AC$6,1,"")</f>
        <v/>
      </c>
      <c r="AD336" s="136">
        <f>IF(E336=$AD$6,1,"")</f>
        <v/>
      </c>
      <c r="AE336" s="136">
        <f>IF(E336=$AE$6,1,"")</f>
        <v/>
      </c>
      <c r="AF336" s="136">
        <f>IF(E336=$AF$6,1,"")</f>
        <v/>
      </c>
      <c r="AG336" s="136">
        <f>IF(E336=$AG$6,1,"")</f>
        <v/>
      </c>
      <c r="AH336" s="136">
        <f>IF(E336=$AH$6,1,"")</f>
        <v/>
      </c>
      <c r="AI336" s="136">
        <f>IF(E336=$AI$6,1,"")</f>
        <v/>
      </c>
      <c r="AJ336" s="136">
        <f>IF(E336=$AJ$6,1,"")</f>
        <v/>
      </c>
      <c r="AK336" s="81">
        <f>IF(E336=$AK$6,1,"")</f>
        <v/>
      </c>
      <c r="AL336" s="81">
        <f>IF(E336=$AL$6,1,"")</f>
        <v/>
      </c>
      <c r="AM336" s="81">
        <f>IF(E336=$AM$6,1,"")</f>
        <v/>
      </c>
      <c r="AN336" s="81">
        <f>IF(E336=$AN$6,1,"")</f>
        <v/>
      </c>
      <c r="AO336" s="81">
        <f>IF(E336=$AO$6,1,"")</f>
        <v/>
      </c>
      <c r="AP336" s="81">
        <f>IF(E336=$AP$6,1,"")</f>
        <v/>
      </c>
      <c r="AQ336" s="81">
        <f>IF(E336=$AQ$6,1,"")</f>
        <v/>
      </c>
      <c r="AR336" s="81">
        <f>IF(E336=$AR$6,1,"")</f>
        <v/>
      </c>
      <c r="AS336" s="81" t="n"/>
    </row>
    <row r="337" ht="15.75" customHeight="1" s="80">
      <c r="A337" s="157" t="n"/>
      <c r="B337" s="124" t="n"/>
      <c r="C337" s="125" t="n"/>
      <c r="D337" s="126" t="n"/>
      <c r="E337" s="127" t="n"/>
      <c r="F337" s="128" t="n"/>
      <c r="G337" s="129">
        <f>IF(F337="","",ROUND(F337/60,2))</f>
        <v/>
      </c>
      <c r="H337" s="130" t="n"/>
      <c r="I337" s="131" t="n"/>
      <c r="J337" s="131">
        <f>IF(COUNTIF(B337:E337,"*")=0,"",IF(T337=1,"Invalid Service",IF(AND(V337=1,F337=""),"Add Session Mins",IF(AND(E337&gt;0,H337="",T337=""),"Enter Contract Rate",IF(AND(E337="IEP mtg, prep, rept",F337&gt;0),(G337*H337),IF(AND(E337&gt;0,F337&gt;0,H337&gt;0,I337=""),"Enter Travel",IF(AND(F337&gt;0,I337="Y"),(G337*H337)+$M$10,IF(AND(F337&gt;0,I337="N"),(G337*H337),H337))))))))</f>
        <v/>
      </c>
      <c r="K337" s="132">
        <f>J337</f>
        <v/>
      </c>
      <c r="L337" s="148" t="n"/>
      <c r="M337" s="148" t="n"/>
      <c r="N337" s="148" t="n"/>
      <c r="O337" s="87" t="n"/>
      <c r="P337" s="81" t="n"/>
      <c r="Q337" s="81" t="n"/>
      <c r="R337" s="81" t="n"/>
      <c r="S337" s="81" t="n"/>
      <c r="T337" s="136">
        <f>IF(AND(E337&gt;0,U337=0),1,"")</f>
        <v/>
      </c>
      <c r="U337" s="136">
        <f>SUM(X337:AR337)</f>
        <v/>
      </c>
      <c r="V337" s="136">
        <f>IF(E337=$Q$16,0,SUM(X337:AI337))</f>
        <v/>
      </c>
      <c r="W337" s="136">
        <f>SUM(AK337:AR337)</f>
        <v/>
      </c>
      <c r="X337" s="136">
        <f>IF(E337=$X$6,1,"")</f>
        <v/>
      </c>
      <c r="Y337" s="136">
        <f>IF(E337=$Y$6,1,"")</f>
        <v/>
      </c>
      <c r="Z337" s="136">
        <f>IF(E337=$Z$6,1,"")</f>
        <v/>
      </c>
      <c r="AA337" s="136">
        <f>IF(E337=$AA$6,1,"")</f>
        <v/>
      </c>
      <c r="AB337" s="136">
        <f>IF(E337=$AB$6,1,"")</f>
        <v/>
      </c>
      <c r="AC337" s="136">
        <f>IF(E337=$AC$6,1,"")</f>
        <v/>
      </c>
      <c r="AD337" s="136">
        <f>IF(E337=$AD$6,1,"")</f>
        <v/>
      </c>
      <c r="AE337" s="136">
        <f>IF(E337=$AE$6,1,"")</f>
        <v/>
      </c>
      <c r="AF337" s="136">
        <f>IF(E337=$AF$6,1,"")</f>
        <v/>
      </c>
      <c r="AG337" s="136">
        <f>IF(E337=$AG$6,1,"")</f>
        <v/>
      </c>
      <c r="AH337" s="136">
        <f>IF(E337=$AH$6,1,"")</f>
        <v/>
      </c>
      <c r="AI337" s="136">
        <f>IF(E337=$AI$6,1,"")</f>
        <v/>
      </c>
      <c r="AJ337" s="136">
        <f>IF(E337=$AJ$6,1,"")</f>
        <v/>
      </c>
      <c r="AK337" s="81">
        <f>IF(E337=$AK$6,1,"")</f>
        <v/>
      </c>
      <c r="AL337" s="81">
        <f>IF(E337=$AL$6,1,"")</f>
        <v/>
      </c>
      <c r="AM337" s="81">
        <f>IF(E337=$AM$6,1,"")</f>
        <v/>
      </c>
      <c r="AN337" s="81">
        <f>IF(E337=$AN$6,1,"")</f>
        <v/>
      </c>
      <c r="AO337" s="81">
        <f>IF(E337=$AO$6,1,"")</f>
        <v/>
      </c>
      <c r="AP337" s="81">
        <f>IF(E337=$AP$6,1,"")</f>
        <v/>
      </c>
      <c r="AQ337" s="81">
        <f>IF(E337=$AQ$6,1,"")</f>
        <v/>
      </c>
      <c r="AR337" s="81">
        <f>IF(E337=$AR$6,1,"")</f>
        <v/>
      </c>
      <c r="AS337" s="81" t="n"/>
    </row>
    <row r="338" ht="15.75" customHeight="1" s="80">
      <c r="A338" s="157" t="n"/>
      <c r="B338" s="124" t="n"/>
      <c r="C338" s="125" t="n"/>
      <c r="D338" s="126" t="n"/>
      <c r="E338" s="127" t="n"/>
      <c r="F338" s="128" t="n"/>
      <c r="G338" s="129">
        <f>IF(F338="","",ROUND(F338/60,2))</f>
        <v/>
      </c>
      <c r="H338" s="130" t="n"/>
      <c r="I338" s="131" t="n"/>
      <c r="J338" s="131">
        <f>IF(COUNTIF(B338:E338,"*")=0,"",IF(T338=1,"Invalid Service",IF(AND(V338=1,F338=""),"Add Session Mins",IF(AND(E338&gt;0,H338="",T338=""),"Enter Contract Rate",IF(AND(E338="IEP mtg, prep, rept",F338&gt;0),(G338*H338),IF(AND(E338&gt;0,F338&gt;0,H338&gt;0,I338=""),"Enter Travel",IF(AND(F338&gt;0,I338="Y"),(G338*H338)+$M$10,IF(AND(F338&gt;0,I338="N"),(G338*H338),H338))))))))</f>
        <v/>
      </c>
      <c r="K338" s="132">
        <f>J338</f>
        <v/>
      </c>
      <c r="L338" s="148" t="n"/>
      <c r="M338" s="148" t="n"/>
      <c r="N338" s="148" t="n"/>
      <c r="O338" s="87" t="n"/>
      <c r="P338" s="81" t="n"/>
      <c r="Q338" s="81" t="n"/>
      <c r="R338" s="81" t="n"/>
      <c r="S338" s="81" t="n"/>
      <c r="T338" s="136">
        <f>IF(AND(E338&gt;0,U338=0),1,"")</f>
        <v/>
      </c>
      <c r="U338" s="136">
        <f>SUM(X338:AR338)</f>
        <v/>
      </c>
      <c r="V338" s="136">
        <f>IF(E338=$Q$16,0,SUM(X338:AI338))</f>
        <v/>
      </c>
      <c r="W338" s="136">
        <f>SUM(AK338:AR338)</f>
        <v/>
      </c>
      <c r="X338" s="136">
        <f>IF(E338=$X$6,1,"")</f>
        <v/>
      </c>
      <c r="Y338" s="136">
        <f>IF(E338=$Y$6,1,"")</f>
        <v/>
      </c>
      <c r="Z338" s="136">
        <f>IF(E338=$Z$6,1,"")</f>
        <v/>
      </c>
      <c r="AA338" s="136">
        <f>IF(E338=$AA$6,1,"")</f>
        <v/>
      </c>
      <c r="AB338" s="136">
        <f>IF(E338=$AB$6,1,"")</f>
        <v/>
      </c>
      <c r="AC338" s="136">
        <f>IF(E338=$AC$6,1,"")</f>
        <v/>
      </c>
      <c r="AD338" s="136">
        <f>IF(E338=$AD$6,1,"")</f>
        <v/>
      </c>
      <c r="AE338" s="136">
        <f>IF(E338=$AE$6,1,"")</f>
        <v/>
      </c>
      <c r="AF338" s="136">
        <f>IF(E338=$AF$6,1,"")</f>
        <v/>
      </c>
      <c r="AG338" s="136">
        <f>IF(E338=$AG$6,1,"")</f>
        <v/>
      </c>
      <c r="AH338" s="136">
        <f>IF(E338=$AH$6,1,"")</f>
        <v/>
      </c>
      <c r="AI338" s="136">
        <f>IF(E338=$AI$6,1,"")</f>
        <v/>
      </c>
      <c r="AJ338" s="136">
        <f>IF(E338=$AJ$6,1,"")</f>
        <v/>
      </c>
      <c r="AK338" s="81">
        <f>IF(E338=$AK$6,1,"")</f>
        <v/>
      </c>
      <c r="AL338" s="81">
        <f>IF(E338=$AL$6,1,"")</f>
        <v/>
      </c>
      <c r="AM338" s="81">
        <f>IF(E338=$AM$6,1,"")</f>
        <v/>
      </c>
      <c r="AN338" s="81">
        <f>IF(E338=$AN$6,1,"")</f>
        <v/>
      </c>
      <c r="AO338" s="81">
        <f>IF(E338=$AO$6,1,"")</f>
        <v/>
      </c>
      <c r="AP338" s="81">
        <f>IF(E338=$AP$6,1,"")</f>
        <v/>
      </c>
      <c r="AQ338" s="81">
        <f>IF(E338=$AQ$6,1,"")</f>
        <v/>
      </c>
      <c r="AR338" s="81">
        <f>IF(E338=$AR$6,1,"")</f>
        <v/>
      </c>
      <c r="AS338" s="81" t="n"/>
    </row>
    <row r="339" ht="15.75" customHeight="1" s="80">
      <c r="A339" s="157" t="n"/>
      <c r="B339" s="124" t="n"/>
      <c r="C339" s="125" t="n"/>
      <c r="D339" s="126" t="n"/>
      <c r="E339" s="127" t="n"/>
      <c r="F339" s="128" t="n"/>
      <c r="G339" s="129">
        <f>IF(F339="","",ROUND(F339/60,2))</f>
        <v/>
      </c>
      <c r="H339" s="130" t="n"/>
      <c r="I339" s="131" t="n"/>
      <c r="J339" s="131">
        <f>IF(COUNTIF(B339:E339,"*")=0,"",IF(T339=1,"Invalid Service",IF(AND(V339=1,F339=""),"Add Session Mins",IF(AND(E339&gt;0,H339="",T339=""),"Enter Contract Rate",IF(AND(E339="IEP mtg, prep, rept",F339&gt;0),(G339*H339),IF(AND(E339&gt;0,F339&gt;0,H339&gt;0,I339=""),"Enter Travel",IF(AND(F339&gt;0,I339="Y"),(G339*H339)+$M$10,IF(AND(F339&gt;0,I339="N"),(G339*H339),H339))))))))</f>
        <v/>
      </c>
      <c r="K339" s="132">
        <f>J339</f>
        <v/>
      </c>
      <c r="L339" s="148" t="n"/>
      <c r="M339" s="148" t="n"/>
      <c r="N339" s="148" t="n"/>
      <c r="O339" s="87" t="n"/>
      <c r="P339" s="81" t="n"/>
      <c r="Q339" s="81" t="n"/>
      <c r="R339" s="81" t="n"/>
      <c r="S339" s="81" t="n"/>
      <c r="T339" s="136">
        <f>IF(AND(E339&gt;0,U339=0),1,"")</f>
        <v/>
      </c>
      <c r="U339" s="136">
        <f>SUM(X339:AR339)</f>
        <v/>
      </c>
      <c r="V339" s="136">
        <f>IF(E339=$Q$16,0,SUM(X339:AI339))</f>
        <v/>
      </c>
      <c r="W339" s="136">
        <f>SUM(AK339:AR339)</f>
        <v/>
      </c>
      <c r="X339" s="136">
        <f>IF(E339=$X$6,1,"")</f>
        <v/>
      </c>
      <c r="Y339" s="136">
        <f>IF(E339=$Y$6,1,"")</f>
        <v/>
      </c>
      <c r="Z339" s="136">
        <f>IF(E339=$Z$6,1,"")</f>
        <v/>
      </c>
      <c r="AA339" s="136">
        <f>IF(E339=$AA$6,1,"")</f>
        <v/>
      </c>
      <c r="AB339" s="136">
        <f>IF(E339=$AB$6,1,"")</f>
        <v/>
      </c>
      <c r="AC339" s="136">
        <f>IF(E339=$AC$6,1,"")</f>
        <v/>
      </c>
      <c r="AD339" s="136">
        <f>IF(E339=$AD$6,1,"")</f>
        <v/>
      </c>
      <c r="AE339" s="136">
        <f>IF(E339=$AE$6,1,"")</f>
        <v/>
      </c>
      <c r="AF339" s="136">
        <f>IF(E339=$AF$6,1,"")</f>
        <v/>
      </c>
      <c r="AG339" s="136">
        <f>IF(E339=$AG$6,1,"")</f>
        <v/>
      </c>
      <c r="AH339" s="136">
        <f>IF(E339=$AH$6,1,"")</f>
        <v/>
      </c>
      <c r="AI339" s="136">
        <f>IF(E339=$AI$6,1,"")</f>
        <v/>
      </c>
      <c r="AJ339" s="136">
        <f>IF(E339=$AJ$6,1,"")</f>
        <v/>
      </c>
      <c r="AK339" s="81">
        <f>IF(E339=$AK$6,1,"")</f>
        <v/>
      </c>
      <c r="AL339" s="81">
        <f>IF(E339=$AL$6,1,"")</f>
        <v/>
      </c>
      <c r="AM339" s="81">
        <f>IF(E339=$AM$6,1,"")</f>
        <v/>
      </c>
      <c r="AN339" s="81">
        <f>IF(E339=$AN$6,1,"")</f>
        <v/>
      </c>
      <c r="AO339" s="81">
        <f>IF(E339=$AO$6,1,"")</f>
        <v/>
      </c>
      <c r="AP339" s="81">
        <f>IF(E339=$AP$6,1,"")</f>
        <v/>
      </c>
      <c r="AQ339" s="81">
        <f>IF(E339=$AQ$6,1,"")</f>
        <v/>
      </c>
      <c r="AR339" s="81">
        <f>IF(E339=$AR$6,1,"")</f>
        <v/>
      </c>
      <c r="AS339" s="81" t="n"/>
    </row>
    <row r="340" ht="15.75" customHeight="1" s="80">
      <c r="A340" s="157" t="n"/>
      <c r="B340" s="124" t="n"/>
      <c r="C340" s="125" t="n"/>
      <c r="D340" s="126" t="n"/>
      <c r="E340" s="127" t="n"/>
      <c r="F340" s="128" t="n"/>
      <c r="G340" s="129">
        <f>IF(F340="","",ROUND(F340/60,2))</f>
        <v/>
      </c>
      <c r="H340" s="130" t="n"/>
      <c r="I340" s="131" t="n"/>
      <c r="J340" s="131">
        <f>IF(COUNTIF(B340:E340,"*")=0,"",IF(T340=1,"Invalid Service",IF(AND(V340=1,F340=""),"Add Session Mins",IF(AND(E340&gt;0,H340="",T340=""),"Enter Contract Rate",IF(AND(E340="IEP mtg, prep, rept",F340&gt;0),(G340*H340),IF(AND(E340&gt;0,F340&gt;0,H340&gt;0,I340=""),"Enter Travel",IF(AND(F340&gt;0,I340="Y"),(G340*H340)+$M$10,IF(AND(F340&gt;0,I340="N"),(G340*H340),H340))))))))</f>
        <v/>
      </c>
      <c r="K340" s="132">
        <f>J340</f>
        <v/>
      </c>
      <c r="L340" s="148" t="n"/>
      <c r="M340" s="148" t="n"/>
      <c r="N340" s="148" t="n"/>
      <c r="O340" s="87" t="n"/>
      <c r="P340" s="81" t="n"/>
      <c r="Q340" s="81" t="n"/>
      <c r="R340" s="81" t="n"/>
      <c r="S340" s="81" t="n"/>
      <c r="T340" s="136">
        <f>IF(AND(E340&gt;0,U340=0),1,"")</f>
        <v/>
      </c>
      <c r="U340" s="136">
        <f>SUM(X340:AR340)</f>
        <v/>
      </c>
      <c r="V340" s="136">
        <f>IF(E340=$Q$16,0,SUM(X340:AI340))</f>
        <v/>
      </c>
      <c r="W340" s="136">
        <f>SUM(AK340:AR340)</f>
        <v/>
      </c>
      <c r="X340" s="136">
        <f>IF(E340=$X$6,1,"")</f>
        <v/>
      </c>
      <c r="Y340" s="136">
        <f>IF(E340=$Y$6,1,"")</f>
        <v/>
      </c>
      <c r="Z340" s="136">
        <f>IF(E340=$Z$6,1,"")</f>
        <v/>
      </c>
      <c r="AA340" s="136">
        <f>IF(E340=$AA$6,1,"")</f>
        <v/>
      </c>
      <c r="AB340" s="136">
        <f>IF(E340=$AB$6,1,"")</f>
        <v/>
      </c>
      <c r="AC340" s="136">
        <f>IF(E340=$AC$6,1,"")</f>
        <v/>
      </c>
      <c r="AD340" s="136">
        <f>IF(E340=$AD$6,1,"")</f>
        <v/>
      </c>
      <c r="AE340" s="136">
        <f>IF(E340=$AE$6,1,"")</f>
        <v/>
      </c>
      <c r="AF340" s="136">
        <f>IF(E340=$AF$6,1,"")</f>
        <v/>
      </c>
      <c r="AG340" s="136">
        <f>IF(E340=$AG$6,1,"")</f>
        <v/>
      </c>
      <c r="AH340" s="136">
        <f>IF(E340=$AH$6,1,"")</f>
        <v/>
      </c>
      <c r="AI340" s="136">
        <f>IF(E340=$AI$6,1,"")</f>
        <v/>
      </c>
      <c r="AJ340" s="136">
        <f>IF(E340=$AJ$6,1,"")</f>
        <v/>
      </c>
      <c r="AK340" s="81">
        <f>IF(E340=$AK$6,1,"")</f>
        <v/>
      </c>
      <c r="AL340" s="81">
        <f>IF(E340=$AL$6,1,"")</f>
        <v/>
      </c>
      <c r="AM340" s="81">
        <f>IF(E340=$AM$6,1,"")</f>
        <v/>
      </c>
      <c r="AN340" s="81">
        <f>IF(E340=$AN$6,1,"")</f>
        <v/>
      </c>
      <c r="AO340" s="81">
        <f>IF(E340=$AO$6,1,"")</f>
        <v/>
      </c>
      <c r="AP340" s="81">
        <f>IF(E340=$AP$6,1,"")</f>
        <v/>
      </c>
      <c r="AQ340" s="81">
        <f>IF(E340=$AQ$6,1,"")</f>
        <v/>
      </c>
      <c r="AR340" s="81">
        <f>IF(E340=$AR$6,1,"")</f>
        <v/>
      </c>
      <c r="AS340" s="81" t="n"/>
    </row>
    <row r="341" ht="15.75" customHeight="1" s="80">
      <c r="A341" s="157" t="n"/>
      <c r="B341" s="124" t="n"/>
      <c r="C341" s="125" t="n"/>
      <c r="D341" s="126" t="n"/>
      <c r="E341" s="127" t="n"/>
      <c r="F341" s="128" t="n"/>
      <c r="G341" s="129">
        <f>IF(F341="","",ROUND(F341/60,2))</f>
        <v/>
      </c>
      <c r="H341" s="130" t="n"/>
      <c r="I341" s="131" t="n"/>
      <c r="J341" s="131">
        <f>IF(COUNTIF(B341:E341,"*")=0,"",IF(T341=1,"Invalid Service",IF(AND(V341=1,F341=""),"Add Session Mins",IF(AND(E341&gt;0,H341="",T341=""),"Enter Contract Rate",IF(AND(E341="IEP mtg, prep, rept",F341&gt;0),(G341*H341),IF(AND(E341&gt;0,F341&gt;0,H341&gt;0,I341=""),"Enter Travel",IF(AND(F341&gt;0,I341="Y"),(G341*H341)+$M$10,IF(AND(F341&gt;0,I341="N"),(G341*H341),H341))))))))</f>
        <v/>
      </c>
      <c r="K341" s="132">
        <f>J341</f>
        <v/>
      </c>
      <c r="L341" s="148" t="n"/>
      <c r="M341" s="148" t="n"/>
      <c r="N341" s="148" t="n"/>
      <c r="O341" s="87" t="n"/>
      <c r="P341" s="81" t="n"/>
      <c r="Q341" s="81" t="n"/>
      <c r="R341" s="81" t="n"/>
      <c r="S341" s="81" t="n"/>
      <c r="T341" s="136">
        <f>IF(AND(E341&gt;0,U341=0),1,"")</f>
        <v/>
      </c>
      <c r="U341" s="136">
        <f>SUM(X341:AR341)</f>
        <v/>
      </c>
      <c r="V341" s="136">
        <f>IF(E341=$Q$16,0,SUM(X341:AI341))</f>
        <v/>
      </c>
      <c r="W341" s="136">
        <f>SUM(AK341:AR341)</f>
        <v/>
      </c>
      <c r="X341" s="136">
        <f>IF(E341=$X$6,1,"")</f>
        <v/>
      </c>
      <c r="Y341" s="136">
        <f>IF(E341=$Y$6,1,"")</f>
        <v/>
      </c>
      <c r="Z341" s="136">
        <f>IF(E341=$Z$6,1,"")</f>
        <v/>
      </c>
      <c r="AA341" s="136">
        <f>IF(E341=$AA$6,1,"")</f>
        <v/>
      </c>
      <c r="AB341" s="136">
        <f>IF(E341=$AB$6,1,"")</f>
        <v/>
      </c>
      <c r="AC341" s="136">
        <f>IF(E341=$AC$6,1,"")</f>
        <v/>
      </c>
      <c r="AD341" s="136">
        <f>IF(E341=$AD$6,1,"")</f>
        <v/>
      </c>
      <c r="AE341" s="136">
        <f>IF(E341=$AE$6,1,"")</f>
        <v/>
      </c>
      <c r="AF341" s="136">
        <f>IF(E341=$AF$6,1,"")</f>
        <v/>
      </c>
      <c r="AG341" s="136">
        <f>IF(E341=$AG$6,1,"")</f>
        <v/>
      </c>
      <c r="AH341" s="136">
        <f>IF(E341=$AH$6,1,"")</f>
        <v/>
      </c>
      <c r="AI341" s="136">
        <f>IF(E341=$AI$6,1,"")</f>
        <v/>
      </c>
      <c r="AJ341" s="136">
        <f>IF(E341=$AJ$6,1,"")</f>
        <v/>
      </c>
      <c r="AK341" s="81">
        <f>IF(E341=$AK$6,1,"")</f>
        <v/>
      </c>
      <c r="AL341" s="81">
        <f>IF(E341=$AL$6,1,"")</f>
        <v/>
      </c>
      <c r="AM341" s="81">
        <f>IF(E341=$AM$6,1,"")</f>
        <v/>
      </c>
      <c r="AN341" s="81">
        <f>IF(E341=$AN$6,1,"")</f>
        <v/>
      </c>
      <c r="AO341" s="81">
        <f>IF(E341=$AO$6,1,"")</f>
        <v/>
      </c>
      <c r="AP341" s="81">
        <f>IF(E341=$AP$6,1,"")</f>
        <v/>
      </c>
      <c r="AQ341" s="81">
        <f>IF(E341=$AQ$6,1,"")</f>
        <v/>
      </c>
      <c r="AR341" s="81">
        <f>IF(E341=$AR$6,1,"")</f>
        <v/>
      </c>
      <c r="AS341" s="81" t="n"/>
    </row>
    <row r="342" ht="15.75" customHeight="1" s="80">
      <c r="A342" s="157" t="n"/>
      <c r="B342" s="124" t="n"/>
      <c r="C342" s="125" t="n"/>
      <c r="D342" s="126" t="n"/>
      <c r="E342" s="127" t="n"/>
      <c r="F342" s="128" t="n"/>
      <c r="G342" s="129">
        <f>IF(F342="","",ROUND(F342/60,2))</f>
        <v/>
      </c>
      <c r="H342" s="130" t="n"/>
      <c r="I342" s="131" t="n"/>
      <c r="J342" s="131">
        <f>IF(COUNTIF(B342:E342,"*")=0,"",IF(T342=1,"Invalid Service",IF(AND(V342=1,F342=""),"Add Session Mins",IF(AND(E342&gt;0,H342="",T342=""),"Enter Contract Rate",IF(AND(E342="IEP mtg, prep, rept",F342&gt;0),(G342*H342),IF(AND(E342&gt;0,F342&gt;0,H342&gt;0,I342=""),"Enter Travel",IF(AND(F342&gt;0,I342="Y"),(G342*H342)+$M$10,IF(AND(F342&gt;0,I342="N"),(G342*H342),H342))))))))</f>
        <v/>
      </c>
      <c r="K342" s="132">
        <f>J342</f>
        <v/>
      </c>
      <c r="L342" s="148" t="n"/>
      <c r="M342" s="148" t="n"/>
      <c r="N342" s="148" t="n"/>
      <c r="O342" s="87" t="n"/>
      <c r="P342" s="81" t="n"/>
      <c r="Q342" s="81" t="n"/>
      <c r="R342" s="81" t="n"/>
      <c r="S342" s="81" t="n"/>
      <c r="T342" s="136">
        <f>IF(AND(E342&gt;0,U342=0),1,"")</f>
        <v/>
      </c>
      <c r="U342" s="136">
        <f>SUM(X342:AR342)</f>
        <v/>
      </c>
      <c r="V342" s="136">
        <f>IF(E342=$Q$16,0,SUM(X342:AI342))</f>
        <v/>
      </c>
      <c r="W342" s="136">
        <f>SUM(AK342:AR342)</f>
        <v/>
      </c>
      <c r="X342" s="136">
        <f>IF(E342=$X$6,1,"")</f>
        <v/>
      </c>
      <c r="Y342" s="136">
        <f>IF(E342=$Y$6,1,"")</f>
        <v/>
      </c>
      <c r="Z342" s="136">
        <f>IF(E342=$Z$6,1,"")</f>
        <v/>
      </c>
      <c r="AA342" s="136">
        <f>IF(E342=$AA$6,1,"")</f>
        <v/>
      </c>
      <c r="AB342" s="136">
        <f>IF(E342=$AB$6,1,"")</f>
        <v/>
      </c>
      <c r="AC342" s="136">
        <f>IF(E342=$AC$6,1,"")</f>
        <v/>
      </c>
      <c r="AD342" s="136">
        <f>IF(E342=$AD$6,1,"")</f>
        <v/>
      </c>
      <c r="AE342" s="136">
        <f>IF(E342=$AE$6,1,"")</f>
        <v/>
      </c>
      <c r="AF342" s="136">
        <f>IF(E342=$AF$6,1,"")</f>
        <v/>
      </c>
      <c r="AG342" s="136">
        <f>IF(E342=$AG$6,1,"")</f>
        <v/>
      </c>
      <c r="AH342" s="136">
        <f>IF(E342=$AH$6,1,"")</f>
        <v/>
      </c>
      <c r="AI342" s="136">
        <f>IF(E342=$AI$6,1,"")</f>
        <v/>
      </c>
      <c r="AJ342" s="136">
        <f>IF(E342=$AJ$6,1,"")</f>
        <v/>
      </c>
      <c r="AK342" s="81">
        <f>IF(E342=$AK$6,1,"")</f>
        <v/>
      </c>
      <c r="AL342" s="81">
        <f>IF(E342=$AL$6,1,"")</f>
        <v/>
      </c>
      <c r="AM342" s="81">
        <f>IF(E342=$AM$6,1,"")</f>
        <v/>
      </c>
      <c r="AN342" s="81">
        <f>IF(E342=$AN$6,1,"")</f>
        <v/>
      </c>
      <c r="AO342" s="81">
        <f>IF(E342=$AO$6,1,"")</f>
        <v/>
      </c>
      <c r="AP342" s="81">
        <f>IF(E342=$AP$6,1,"")</f>
        <v/>
      </c>
      <c r="AQ342" s="81">
        <f>IF(E342=$AQ$6,1,"")</f>
        <v/>
      </c>
      <c r="AR342" s="81">
        <f>IF(E342=$AR$6,1,"")</f>
        <v/>
      </c>
      <c r="AS342" s="81" t="n"/>
    </row>
    <row r="343" ht="15.75" customHeight="1" s="80">
      <c r="A343" s="157" t="n"/>
      <c r="B343" s="124" t="n"/>
      <c r="C343" s="125" t="n"/>
      <c r="D343" s="126" t="n"/>
      <c r="E343" s="127" t="n"/>
      <c r="F343" s="128" t="n"/>
      <c r="G343" s="129">
        <f>IF(F343="","",ROUND(F343/60,2))</f>
        <v/>
      </c>
      <c r="H343" s="130" t="n"/>
      <c r="I343" s="131" t="n"/>
      <c r="J343" s="131">
        <f>IF(COUNTIF(B343:E343,"*")=0,"",IF(T343=1,"Invalid Service",IF(AND(V343=1,F343=""),"Add Session Mins",IF(AND(E343&gt;0,H343="",T343=""),"Enter Contract Rate",IF(AND(E343="IEP mtg, prep, rept",F343&gt;0),(G343*H343),IF(AND(E343&gt;0,F343&gt;0,H343&gt;0,I343=""),"Enter Travel",IF(AND(F343&gt;0,I343="Y"),(G343*H343)+$M$10,IF(AND(F343&gt;0,I343="N"),(G343*H343),H343))))))))</f>
        <v/>
      </c>
      <c r="K343" s="132">
        <f>J343</f>
        <v/>
      </c>
      <c r="L343" s="148" t="n"/>
      <c r="M343" s="148" t="n"/>
      <c r="N343" s="148" t="n"/>
      <c r="O343" s="87" t="n"/>
      <c r="P343" s="81" t="n"/>
      <c r="Q343" s="81" t="n"/>
      <c r="R343" s="81" t="n"/>
      <c r="S343" s="81" t="n"/>
      <c r="T343" s="136">
        <f>IF(AND(E343&gt;0,U343=0),1,"")</f>
        <v/>
      </c>
      <c r="U343" s="136">
        <f>SUM(X343:AR343)</f>
        <v/>
      </c>
      <c r="V343" s="136">
        <f>IF(E343=$Q$16,0,SUM(X343:AI343))</f>
        <v/>
      </c>
      <c r="W343" s="136">
        <f>SUM(AK343:AR343)</f>
        <v/>
      </c>
      <c r="X343" s="136">
        <f>IF(E343=$X$6,1,"")</f>
        <v/>
      </c>
      <c r="Y343" s="136">
        <f>IF(E343=$Y$6,1,"")</f>
        <v/>
      </c>
      <c r="Z343" s="136">
        <f>IF(E343=$Z$6,1,"")</f>
        <v/>
      </c>
      <c r="AA343" s="136">
        <f>IF(E343=$AA$6,1,"")</f>
        <v/>
      </c>
      <c r="AB343" s="136">
        <f>IF(E343=$AB$6,1,"")</f>
        <v/>
      </c>
      <c r="AC343" s="136">
        <f>IF(E343=$AC$6,1,"")</f>
        <v/>
      </c>
      <c r="AD343" s="136">
        <f>IF(E343=$AD$6,1,"")</f>
        <v/>
      </c>
      <c r="AE343" s="136">
        <f>IF(E343=$AE$6,1,"")</f>
        <v/>
      </c>
      <c r="AF343" s="136">
        <f>IF(E343=$AF$6,1,"")</f>
        <v/>
      </c>
      <c r="AG343" s="136">
        <f>IF(E343=$AG$6,1,"")</f>
        <v/>
      </c>
      <c r="AH343" s="136">
        <f>IF(E343=$AH$6,1,"")</f>
        <v/>
      </c>
      <c r="AI343" s="136">
        <f>IF(E343=$AI$6,1,"")</f>
        <v/>
      </c>
      <c r="AJ343" s="136">
        <f>IF(E343=$AJ$6,1,"")</f>
        <v/>
      </c>
      <c r="AK343" s="81">
        <f>IF(E343=$AK$6,1,"")</f>
        <v/>
      </c>
      <c r="AL343" s="81">
        <f>IF(E343=$AL$6,1,"")</f>
        <v/>
      </c>
      <c r="AM343" s="81">
        <f>IF(E343=$AM$6,1,"")</f>
        <v/>
      </c>
      <c r="AN343" s="81">
        <f>IF(E343=$AN$6,1,"")</f>
        <v/>
      </c>
      <c r="AO343" s="81">
        <f>IF(E343=$AO$6,1,"")</f>
        <v/>
      </c>
      <c r="AP343" s="81">
        <f>IF(E343=$AP$6,1,"")</f>
        <v/>
      </c>
      <c r="AQ343" s="81">
        <f>IF(E343=$AQ$6,1,"")</f>
        <v/>
      </c>
      <c r="AR343" s="81">
        <f>IF(E343=$AR$6,1,"")</f>
        <v/>
      </c>
      <c r="AS343" s="81" t="n"/>
    </row>
    <row r="344" ht="15.75" customHeight="1" s="80">
      <c r="A344" s="157" t="n"/>
      <c r="B344" s="124" t="n"/>
      <c r="C344" s="125" t="n"/>
      <c r="D344" s="126" t="n"/>
      <c r="E344" s="127" t="n"/>
      <c r="F344" s="128" t="n"/>
      <c r="G344" s="129">
        <f>IF(F344="","",ROUND(F344/60,2))</f>
        <v/>
      </c>
      <c r="H344" s="130" t="n"/>
      <c r="I344" s="131" t="n"/>
      <c r="J344" s="131">
        <f>IF(COUNTIF(B344:E344,"*")=0,"",IF(T344=1,"Invalid Service",IF(AND(V344=1,F344=""),"Add Session Mins",IF(AND(E344&gt;0,H344="",T344=""),"Enter Contract Rate",IF(AND(E344="IEP mtg, prep, rept",F344&gt;0),(G344*H344),IF(AND(E344&gt;0,F344&gt;0,H344&gt;0,I344=""),"Enter Travel",IF(AND(F344&gt;0,I344="Y"),(G344*H344)+$M$10,IF(AND(F344&gt;0,I344="N"),(G344*H344),H344))))))))</f>
        <v/>
      </c>
      <c r="K344" s="132">
        <f>J344</f>
        <v/>
      </c>
      <c r="L344" s="148" t="n"/>
      <c r="M344" s="148" t="n"/>
      <c r="N344" s="148" t="n"/>
      <c r="O344" s="87" t="n"/>
      <c r="P344" s="81" t="n"/>
      <c r="Q344" s="81" t="n"/>
      <c r="R344" s="81" t="n"/>
      <c r="S344" s="81" t="n"/>
      <c r="T344" s="136">
        <f>IF(AND(E344&gt;0,U344=0),1,"")</f>
        <v/>
      </c>
      <c r="U344" s="136">
        <f>SUM(X344:AR344)</f>
        <v/>
      </c>
      <c r="V344" s="136">
        <f>IF(E344=$Q$16,0,SUM(X344:AI344))</f>
        <v/>
      </c>
      <c r="W344" s="136">
        <f>SUM(AK344:AR344)</f>
        <v/>
      </c>
      <c r="X344" s="136">
        <f>IF(E344=$X$6,1,"")</f>
        <v/>
      </c>
      <c r="Y344" s="136">
        <f>IF(E344=$Y$6,1,"")</f>
        <v/>
      </c>
      <c r="Z344" s="136">
        <f>IF(E344=$Z$6,1,"")</f>
        <v/>
      </c>
      <c r="AA344" s="136">
        <f>IF(E344=$AA$6,1,"")</f>
        <v/>
      </c>
      <c r="AB344" s="136">
        <f>IF(E344=$AB$6,1,"")</f>
        <v/>
      </c>
      <c r="AC344" s="136">
        <f>IF(E344=$AC$6,1,"")</f>
        <v/>
      </c>
      <c r="AD344" s="136">
        <f>IF(E344=$AD$6,1,"")</f>
        <v/>
      </c>
      <c r="AE344" s="136">
        <f>IF(E344=$AE$6,1,"")</f>
        <v/>
      </c>
      <c r="AF344" s="136">
        <f>IF(E344=$AF$6,1,"")</f>
        <v/>
      </c>
      <c r="AG344" s="136">
        <f>IF(E344=$AG$6,1,"")</f>
        <v/>
      </c>
      <c r="AH344" s="136">
        <f>IF(E344=$AH$6,1,"")</f>
        <v/>
      </c>
      <c r="AI344" s="136">
        <f>IF(E344=$AI$6,1,"")</f>
        <v/>
      </c>
      <c r="AJ344" s="136">
        <f>IF(E344=$AJ$6,1,"")</f>
        <v/>
      </c>
      <c r="AK344" s="81">
        <f>IF(E344=$AK$6,1,"")</f>
        <v/>
      </c>
      <c r="AL344" s="81">
        <f>IF(E344=$AL$6,1,"")</f>
        <v/>
      </c>
      <c r="AM344" s="81">
        <f>IF(E344=$AM$6,1,"")</f>
        <v/>
      </c>
      <c r="AN344" s="81">
        <f>IF(E344=$AN$6,1,"")</f>
        <v/>
      </c>
      <c r="AO344" s="81">
        <f>IF(E344=$AO$6,1,"")</f>
        <v/>
      </c>
      <c r="AP344" s="81">
        <f>IF(E344=$AP$6,1,"")</f>
        <v/>
      </c>
      <c r="AQ344" s="81">
        <f>IF(E344=$AQ$6,1,"")</f>
        <v/>
      </c>
      <c r="AR344" s="81">
        <f>IF(E344=$AR$6,1,"")</f>
        <v/>
      </c>
      <c r="AS344" s="81" t="n"/>
    </row>
    <row r="345" ht="15.75" customHeight="1" s="80">
      <c r="A345" s="157" t="n"/>
      <c r="B345" s="124" t="n"/>
      <c r="C345" s="125" t="n"/>
      <c r="D345" s="126" t="n"/>
      <c r="E345" s="127" t="n"/>
      <c r="F345" s="128" t="n"/>
      <c r="G345" s="129">
        <f>IF(F345="","",ROUND(F345/60,2))</f>
        <v/>
      </c>
      <c r="H345" s="130" t="n"/>
      <c r="I345" s="131" t="n"/>
      <c r="J345" s="131">
        <f>IF(COUNTIF(B345:E345,"*")=0,"",IF(T345=1,"Invalid Service",IF(AND(V345=1,F345=""),"Add Session Mins",IF(AND(E345&gt;0,H345="",T345=""),"Enter Contract Rate",IF(AND(E345="IEP mtg, prep, rept",F345&gt;0),(G345*H345),IF(AND(E345&gt;0,F345&gt;0,H345&gt;0,I345=""),"Enter Travel",IF(AND(F345&gt;0,I345="Y"),(G345*H345)+$M$10,IF(AND(F345&gt;0,I345="N"),(G345*H345),H345))))))))</f>
        <v/>
      </c>
      <c r="K345" s="132">
        <f>J345</f>
        <v/>
      </c>
      <c r="L345" s="148" t="n"/>
      <c r="M345" s="148" t="n"/>
      <c r="N345" s="148" t="n"/>
      <c r="O345" s="87" t="n"/>
      <c r="P345" s="81" t="n"/>
      <c r="Q345" s="81" t="n"/>
      <c r="R345" s="81" t="n"/>
      <c r="S345" s="81" t="n"/>
      <c r="T345" s="136">
        <f>IF(AND(E345&gt;0,U345=0),1,"")</f>
        <v/>
      </c>
      <c r="U345" s="136">
        <f>SUM(X345:AR345)</f>
        <v/>
      </c>
      <c r="V345" s="136">
        <f>IF(E345=$Q$16,0,SUM(X345:AI345))</f>
        <v/>
      </c>
      <c r="W345" s="136">
        <f>SUM(AK345:AR345)</f>
        <v/>
      </c>
      <c r="X345" s="136">
        <f>IF(E345=$X$6,1,"")</f>
        <v/>
      </c>
      <c r="Y345" s="136">
        <f>IF(E345=$Y$6,1,"")</f>
        <v/>
      </c>
      <c r="Z345" s="136">
        <f>IF(E345=$Z$6,1,"")</f>
        <v/>
      </c>
      <c r="AA345" s="136">
        <f>IF(E345=$AA$6,1,"")</f>
        <v/>
      </c>
      <c r="AB345" s="136">
        <f>IF(E345=$AB$6,1,"")</f>
        <v/>
      </c>
      <c r="AC345" s="136">
        <f>IF(E345=$AC$6,1,"")</f>
        <v/>
      </c>
      <c r="AD345" s="136">
        <f>IF(E345=$AD$6,1,"")</f>
        <v/>
      </c>
      <c r="AE345" s="136">
        <f>IF(E345=$AE$6,1,"")</f>
        <v/>
      </c>
      <c r="AF345" s="136">
        <f>IF(E345=$AF$6,1,"")</f>
        <v/>
      </c>
      <c r="AG345" s="136">
        <f>IF(E345=$AG$6,1,"")</f>
        <v/>
      </c>
      <c r="AH345" s="136">
        <f>IF(E345=$AH$6,1,"")</f>
        <v/>
      </c>
      <c r="AI345" s="136">
        <f>IF(E345=$AI$6,1,"")</f>
        <v/>
      </c>
      <c r="AJ345" s="136">
        <f>IF(E345=$AJ$6,1,"")</f>
        <v/>
      </c>
      <c r="AK345" s="81">
        <f>IF(E345=$AK$6,1,"")</f>
        <v/>
      </c>
      <c r="AL345" s="81">
        <f>IF(E345=$AL$6,1,"")</f>
        <v/>
      </c>
      <c r="AM345" s="81">
        <f>IF(E345=$AM$6,1,"")</f>
        <v/>
      </c>
      <c r="AN345" s="81">
        <f>IF(E345=$AN$6,1,"")</f>
        <v/>
      </c>
      <c r="AO345" s="81">
        <f>IF(E345=$AO$6,1,"")</f>
        <v/>
      </c>
      <c r="AP345" s="81">
        <f>IF(E345=$AP$6,1,"")</f>
        <v/>
      </c>
      <c r="AQ345" s="81">
        <f>IF(E345=$AQ$6,1,"")</f>
        <v/>
      </c>
      <c r="AR345" s="81">
        <f>IF(E345=$AR$6,1,"")</f>
        <v/>
      </c>
      <c r="AS345" s="81" t="n"/>
    </row>
    <row r="346" ht="15.75" customHeight="1" s="80">
      <c r="A346" s="157" t="n"/>
      <c r="B346" s="124" t="n"/>
      <c r="C346" s="125" t="n"/>
      <c r="D346" s="126" t="n"/>
      <c r="E346" s="127" t="n"/>
      <c r="F346" s="128" t="n"/>
      <c r="G346" s="129">
        <f>IF(F346="","",ROUND(F346/60,2))</f>
        <v/>
      </c>
      <c r="H346" s="130" t="n"/>
      <c r="I346" s="131" t="n"/>
      <c r="J346" s="131">
        <f>IF(COUNTIF(B346:E346,"*")=0,"",IF(T346=1,"Invalid Service",IF(AND(V346=1,F346=""),"Add Session Mins",IF(AND(E346&gt;0,H346="",T346=""),"Enter Contract Rate",IF(AND(E346="IEP mtg, prep, rept",F346&gt;0),(G346*H346),IF(AND(E346&gt;0,F346&gt;0,H346&gt;0,I346=""),"Enter Travel",IF(AND(F346&gt;0,I346="Y"),(G346*H346)+$M$10,IF(AND(F346&gt;0,I346="N"),(G346*H346),H346))))))))</f>
        <v/>
      </c>
      <c r="K346" s="132">
        <f>J346</f>
        <v/>
      </c>
      <c r="L346" s="148" t="n"/>
      <c r="M346" s="148" t="n"/>
      <c r="N346" s="148" t="n"/>
      <c r="O346" s="87" t="n"/>
      <c r="P346" s="81" t="n"/>
      <c r="Q346" s="81" t="n"/>
      <c r="R346" s="81" t="n"/>
      <c r="S346" s="81" t="n"/>
      <c r="T346" s="136">
        <f>IF(AND(E346&gt;0,U346=0),1,"")</f>
        <v/>
      </c>
      <c r="U346" s="136">
        <f>SUM(X346:AR346)</f>
        <v/>
      </c>
      <c r="V346" s="136">
        <f>IF(E346=$Q$16,0,SUM(X346:AI346))</f>
        <v/>
      </c>
      <c r="W346" s="136">
        <f>SUM(AK346:AR346)</f>
        <v/>
      </c>
      <c r="X346" s="136">
        <f>IF(E346=$X$6,1,"")</f>
        <v/>
      </c>
      <c r="Y346" s="136">
        <f>IF(E346=$Y$6,1,"")</f>
        <v/>
      </c>
      <c r="Z346" s="136">
        <f>IF(E346=$Z$6,1,"")</f>
        <v/>
      </c>
      <c r="AA346" s="136">
        <f>IF(E346=$AA$6,1,"")</f>
        <v/>
      </c>
      <c r="AB346" s="136">
        <f>IF(E346=$AB$6,1,"")</f>
        <v/>
      </c>
      <c r="AC346" s="136">
        <f>IF(E346=$AC$6,1,"")</f>
        <v/>
      </c>
      <c r="AD346" s="136">
        <f>IF(E346=$AD$6,1,"")</f>
        <v/>
      </c>
      <c r="AE346" s="136">
        <f>IF(E346=$AE$6,1,"")</f>
        <v/>
      </c>
      <c r="AF346" s="136">
        <f>IF(E346=$AF$6,1,"")</f>
        <v/>
      </c>
      <c r="AG346" s="136">
        <f>IF(E346=$AG$6,1,"")</f>
        <v/>
      </c>
      <c r="AH346" s="136">
        <f>IF(E346=$AH$6,1,"")</f>
        <v/>
      </c>
      <c r="AI346" s="136">
        <f>IF(E346=$AI$6,1,"")</f>
        <v/>
      </c>
      <c r="AJ346" s="136">
        <f>IF(E346=$AJ$6,1,"")</f>
        <v/>
      </c>
      <c r="AK346" s="81">
        <f>IF(E346=$AK$6,1,"")</f>
        <v/>
      </c>
      <c r="AL346" s="81">
        <f>IF(E346=$AL$6,1,"")</f>
        <v/>
      </c>
      <c r="AM346" s="81">
        <f>IF(E346=$AM$6,1,"")</f>
        <v/>
      </c>
      <c r="AN346" s="81">
        <f>IF(E346=$AN$6,1,"")</f>
        <v/>
      </c>
      <c r="AO346" s="81">
        <f>IF(E346=$AO$6,1,"")</f>
        <v/>
      </c>
      <c r="AP346" s="81">
        <f>IF(E346=$AP$6,1,"")</f>
        <v/>
      </c>
      <c r="AQ346" s="81">
        <f>IF(E346=$AQ$6,1,"")</f>
        <v/>
      </c>
      <c r="AR346" s="81">
        <f>IF(E346=$AR$6,1,"")</f>
        <v/>
      </c>
      <c r="AS346" s="81" t="n"/>
    </row>
    <row r="347" ht="15.75" customHeight="1" s="80">
      <c r="A347" s="157" t="n"/>
      <c r="B347" s="124" t="n"/>
      <c r="C347" s="125" t="n"/>
      <c r="D347" s="126" t="n"/>
      <c r="E347" s="127" t="n"/>
      <c r="F347" s="128" t="n"/>
      <c r="G347" s="129">
        <f>IF(F347="","",ROUND(F347/60,2))</f>
        <v/>
      </c>
      <c r="H347" s="130" t="n"/>
      <c r="I347" s="131" t="n"/>
      <c r="J347" s="131">
        <f>IF(COUNTIF(B347:E347,"*")=0,"",IF(T347=1,"Invalid Service",IF(AND(V347=1,F347=""),"Add Session Mins",IF(AND(E347&gt;0,H347="",T347=""),"Enter Contract Rate",IF(AND(E347="IEP mtg, prep, rept",F347&gt;0),(G347*H347),IF(AND(E347&gt;0,F347&gt;0,H347&gt;0,I347=""),"Enter Travel",IF(AND(F347&gt;0,I347="Y"),(G347*H347)+$M$10,IF(AND(F347&gt;0,I347="N"),(G347*H347),H347))))))))</f>
        <v/>
      </c>
      <c r="K347" s="132">
        <f>J347</f>
        <v/>
      </c>
      <c r="L347" s="148" t="n"/>
      <c r="M347" s="148" t="n"/>
      <c r="N347" s="148" t="n"/>
      <c r="O347" s="87" t="n"/>
      <c r="P347" s="81" t="n"/>
      <c r="Q347" s="81" t="n"/>
      <c r="R347" s="81" t="n"/>
      <c r="S347" s="81" t="n"/>
      <c r="T347" s="136">
        <f>IF(AND(E347&gt;0,U347=0),1,"")</f>
        <v/>
      </c>
      <c r="U347" s="136">
        <f>SUM(X347:AR347)</f>
        <v/>
      </c>
      <c r="V347" s="136">
        <f>IF(E347=$Q$16,0,SUM(X347:AI347))</f>
        <v/>
      </c>
      <c r="W347" s="136">
        <f>SUM(AK347:AR347)</f>
        <v/>
      </c>
      <c r="X347" s="136">
        <f>IF(E347=$X$6,1,"")</f>
        <v/>
      </c>
      <c r="Y347" s="136">
        <f>IF(E347=$Y$6,1,"")</f>
        <v/>
      </c>
      <c r="Z347" s="136">
        <f>IF(E347=$Z$6,1,"")</f>
        <v/>
      </c>
      <c r="AA347" s="136">
        <f>IF(E347=$AA$6,1,"")</f>
        <v/>
      </c>
      <c r="AB347" s="136">
        <f>IF(E347=$AB$6,1,"")</f>
        <v/>
      </c>
      <c r="AC347" s="136">
        <f>IF(E347=$AC$6,1,"")</f>
        <v/>
      </c>
      <c r="AD347" s="136">
        <f>IF(E347=$AD$6,1,"")</f>
        <v/>
      </c>
      <c r="AE347" s="136">
        <f>IF(E347=$AE$6,1,"")</f>
        <v/>
      </c>
      <c r="AF347" s="136">
        <f>IF(E347=$AF$6,1,"")</f>
        <v/>
      </c>
      <c r="AG347" s="136">
        <f>IF(E347=$AG$6,1,"")</f>
        <v/>
      </c>
      <c r="AH347" s="136">
        <f>IF(E347=$AH$6,1,"")</f>
        <v/>
      </c>
      <c r="AI347" s="136">
        <f>IF(E347=$AI$6,1,"")</f>
        <v/>
      </c>
      <c r="AJ347" s="136">
        <f>IF(E347=$AJ$6,1,"")</f>
        <v/>
      </c>
      <c r="AK347" s="81">
        <f>IF(E347=$AK$6,1,"")</f>
        <v/>
      </c>
      <c r="AL347" s="81">
        <f>IF(E347=$AL$6,1,"")</f>
        <v/>
      </c>
      <c r="AM347" s="81">
        <f>IF(E347=$AM$6,1,"")</f>
        <v/>
      </c>
      <c r="AN347" s="81">
        <f>IF(E347=$AN$6,1,"")</f>
        <v/>
      </c>
      <c r="AO347" s="81">
        <f>IF(E347=$AO$6,1,"")</f>
        <v/>
      </c>
      <c r="AP347" s="81">
        <f>IF(E347=$AP$6,1,"")</f>
        <v/>
      </c>
      <c r="AQ347" s="81">
        <f>IF(E347=$AQ$6,1,"")</f>
        <v/>
      </c>
      <c r="AR347" s="81">
        <f>IF(E347=$AR$6,1,"")</f>
        <v/>
      </c>
      <c r="AS347" s="81" t="n"/>
    </row>
    <row r="348" ht="15.75" customHeight="1" s="80">
      <c r="A348" s="157" t="n"/>
      <c r="B348" s="124" t="n"/>
      <c r="C348" s="125" t="n"/>
      <c r="D348" s="126" t="n"/>
      <c r="E348" s="127" t="n"/>
      <c r="F348" s="128" t="n"/>
      <c r="G348" s="129">
        <f>IF(F348="","",ROUND(F348/60,2))</f>
        <v/>
      </c>
      <c r="H348" s="130" t="n"/>
      <c r="I348" s="131" t="n"/>
      <c r="J348" s="131">
        <f>IF(COUNTIF(B348:E348,"*")=0,"",IF(T348=1,"Invalid Service",IF(AND(V348=1,F348=""),"Add Session Mins",IF(AND(E348&gt;0,H348="",T348=""),"Enter Contract Rate",IF(AND(E348="IEP mtg, prep, rept",F348&gt;0),(G348*H348),IF(AND(E348&gt;0,F348&gt;0,H348&gt;0,I348=""),"Enter Travel",IF(AND(F348&gt;0,I348="Y"),(G348*H348)+$M$10,IF(AND(F348&gt;0,I348="N"),(G348*H348),H348))))))))</f>
        <v/>
      </c>
      <c r="K348" s="132">
        <f>J348</f>
        <v/>
      </c>
      <c r="L348" s="148" t="n"/>
      <c r="M348" s="148" t="n"/>
      <c r="N348" s="148" t="n"/>
      <c r="O348" s="87" t="n"/>
      <c r="P348" s="81" t="n"/>
      <c r="Q348" s="81" t="n"/>
      <c r="R348" s="81" t="n"/>
      <c r="S348" s="81" t="n"/>
      <c r="T348" s="136">
        <f>IF(AND(E348&gt;0,U348=0),1,"")</f>
        <v/>
      </c>
      <c r="U348" s="136">
        <f>SUM(X348:AR348)</f>
        <v/>
      </c>
      <c r="V348" s="136">
        <f>IF(E348=$Q$16,0,SUM(X348:AI348))</f>
        <v/>
      </c>
      <c r="W348" s="136">
        <f>SUM(AK348:AR348)</f>
        <v/>
      </c>
      <c r="X348" s="136">
        <f>IF(E348=$X$6,1,"")</f>
        <v/>
      </c>
      <c r="Y348" s="136">
        <f>IF(E348=$Y$6,1,"")</f>
        <v/>
      </c>
      <c r="Z348" s="136">
        <f>IF(E348=$Z$6,1,"")</f>
        <v/>
      </c>
      <c r="AA348" s="136">
        <f>IF(E348=$AA$6,1,"")</f>
        <v/>
      </c>
      <c r="AB348" s="136">
        <f>IF(E348=$AB$6,1,"")</f>
        <v/>
      </c>
      <c r="AC348" s="136">
        <f>IF(E348=$AC$6,1,"")</f>
        <v/>
      </c>
      <c r="AD348" s="136">
        <f>IF(E348=$AD$6,1,"")</f>
        <v/>
      </c>
      <c r="AE348" s="136">
        <f>IF(E348=$AE$6,1,"")</f>
        <v/>
      </c>
      <c r="AF348" s="136">
        <f>IF(E348=$AF$6,1,"")</f>
        <v/>
      </c>
      <c r="AG348" s="136">
        <f>IF(E348=$AG$6,1,"")</f>
        <v/>
      </c>
      <c r="AH348" s="136">
        <f>IF(E348=$AH$6,1,"")</f>
        <v/>
      </c>
      <c r="AI348" s="136">
        <f>IF(E348=$AI$6,1,"")</f>
        <v/>
      </c>
      <c r="AJ348" s="136">
        <f>IF(E348=$AJ$6,1,"")</f>
        <v/>
      </c>
      <c r="AK348" s="81">
        <f>IF(E348=$AK$6,1,"")</f>
        <v/>
      </c>
      <c r="AL348" s="81">
        <f>IF(E348=$AL$6,1,"")</f>
        <v/>
      </c>
      <c r="AM348" s="81">
        <f>IF(E348=$AM$6,1,"")</f>
        <v/>
      </c>
      <c r="AN348" s="81">
        <f>IF(E348=$AN$6,1,"")</f>
        <v/>
      </c>
      <c r="AO348" s="81">
        <f>IF(E348=$AO$6,1,"")</f>
        <v/>
      </c>
      <c r="AP348" s="81">
        <f>IF(E348=$AP$6,1,"")</f>
        <v/>
      </c>
      <c r="AQ348" s="81">
        <f>IF(E348=$AQ$6,1,"")</f>
        <v/>
      </c>
      <c r="AR348" s="81">
        <f>IF(E348=$AR$6,1,"")</f>
        <v/>
      </c>
      <c r="AS348" s="81" t="n"/>
    </row>
    <row r="349" ht="15.75" customHeight="1" s="80">
      <c r="A349" s="157" t="n"/>
      <c r="B349" s="124" t="n"/>
      <c r="C349" s="125" t="n"/>
      <c r="D349" s="126" t="n"/>
      <c r="E349" s="127" t="n"/>
      <c r="F349" s="128" t="n"/>
      <c r="G349" s="129">
        <f>IF(F349="","",ROUND(F349/60,2))</f>
        <v/>
      </c>
      <c r="H349" s="130" t="n"/>
      <c r="I349" s="131" t="n"/>
      <c r="J349" s="131">
        <f>IF(COUNTIF(B349:E349,"*")=0,"",IF(T349=1,"Invalid Service",IF(AND(V349=1,F349=""),"Add Session Mins",IF(AND(E349&gt;0,H349="",T349=""),"Enter Contract Rate",IF(AND(E349="IEP mtg, prep, rept",F349&gt;0),(G349*H349),IF(AND(E349&gt;0,F349&gt;0,H349&gt;0,I349=""),"Enter Travel",IF(AND(F349&gt;0,I349="Y"),(G349*H349)+$M$10,IF(AND(F349&gt;0,I349="N"),(G349*H349),H349))))))))</f>
        <v/>
      </c>
      <c r="K349" s="132">
        <f>J349</f>
        <v/>
      </c>
      <c r="L349" s="148" t="n"/>
      <c r="M349" s="148" t="n"/>
      <c r="N349" s="148" t="n"/>
      <c r="O349" s="87" t="n"/>
      <c r="P349" s="81" t="n"/>
      <c r="Q349" s="81" t="n"/>
      <c r="R349" s="81" t="n"/>
      <c r="S349" s="81" t="n"/>
      <c r="T349" s="136">
        <f>IF(AND(E349&gt;0,U349=0),1,"")</f>
        <v/>
      </c>
      <c r="U349" s="136">
        <f>SUM(X349:AR349)</f>
        <v/>
      </c>
      <c r="V349" s="136">
        <f>IF(E349=$Q$16,0,SUM(X349:AI349))</f>
        <v/>
      </c>
      <c r="W349" s="136">
        <f>SUM(AK349:AR349)</f>
        <v/>
      </c>
      <c r="X349" s="136">
        <f>IF(E349=$X$6,1,"")</f>
        <v/>
      </c>
      <c r="Y349" s="136">
        <f>IF(E349=$Y$6,1,"")</f>
        <v/>
      </c>
      <c r="Z349" s="136">
        <f>IF(E349=$Z$6,1,"")</f>
        <v/>
      </c>
      <c r="AA349" s="136">
        <f>IF(E349=$AA$6,1,"")</f>
        <v/>
      </c>
      <c r="AB349" s="136">
        <f>IF(E349=$AB$6,1,"")</f>
        <v/>
      </c>
      <c r="AC349" s="136">
        <f>IF(E349=$AC$6,1,"")</f>
        <v/>
      </c>
      <c r="AD349" s="136">
        <f>IF(E349=$AD$6,1,"")</f>
        <v/>
      </c>
      <c r="AE349" s="136">
        <f>IF(E349=$AE$6,1,"")</f>
        <v/>
      </c>
      <c r="AF349" s="136">
        <f>IF(E349=$AF$6,1,"")</f>
        <v/>
      </c>
      <c r="AG349" s="136">
        <f>IF(E349=$AG$6,1,"")</f>
        <v/>
      </c>
      <c r="AH349" s="136">
        <f>IF(E349=$AH$6,1,"")</f>
        <v/>
      </c>
      <c r="AI349" s="136">
        <f>IF(E349=$AI$6,1,"")</f>
        <v/>
      </c>
      <c r="AJ349" s="136">
        <f>IF(E349=$AJ$6,1,"")</f>
        <v/>
      </c>
      <c r="AK349" s="81">
        <f>IF(E349=$AK$6,1,"")</f>
        <v/>
      </c>
      <c r="AL349" s="81">
        <f>IF(E349=$AL$6,1,"")</f>
        <v/>
      </c>
      <c r="AM349" s="81">
        <f>IF(E349=$AM$6,1,"")</f>
        <v/>
      </c>
      <c r="AN349" s="81">
        <f>IF(E349=$AN$6,1,"")</f>
        <v/>
      </c>
      <c r="AO349" s="81">
        <f>IF(E349=$AO$6,1,"")</f>
        <v/>
      </c>
      <c r="AP349" s="81">
        <f>IF(E349=$AP$6,1,"")</f>
        <v/>
      </c>
      <c r="AQ349" s="81">
        <f>IF(E349=$AQ$6,1,"")</f>
        <v/>
      </c>
      <c r="AR349" s="81">
        <f>IF(E349=$AR$6,1,"")</f>
        <v/>
      </c>
      <c r="AS349" s="81" t="n"/>
    </row>
    <row r="350" ht="15.75" customHeight="1" s="80">
      <c r="A350" s="157" t="n"/>
      <c r="B350" s="124" t="n"/>
      <c r="C350" s="125" t="n"/>
      <c r="D350" s="126" t="n"/>
      <c r="E350" s="127" t="n"/>
      <c r="F350" s="128" t="n"/>
      <c r="G350" s="129">
        <f>IF(F350="","",ROUND(F350/60,2))</f>
        <v/>
      </c>
      <c r="H350" s="130" t="n"/>
      <c r="I350" s="131" t="n"/>
      <c r="J350" s="131">
        <f>IF(COUNTIF(B350:E350,"*")=0,"",IF(T350=1,"Invalid Service",IF(AND(V350=1,F350=""),"Add Session Mins",IF(AND(E350&gt;0,H350="",T350=""),"Enter Contract Rate",IF(AND(E350="IEP mtg, prep, rept",F350&gt;0),(G350*H350),IF(AND(E350&gt;0,F350&gt;0,H350&gt;0,I350=""),"Enter Travel",IF(AND(F350&gt;0,I350="Y"),(G350*H350)+$M$10,IF(AND(F350&gt;0,I350="N"),(G350*H350),H350))))))))</f>
        <v/>
      </c>
      <c r="K350" s="132">
        <f>J350</f>
        <v/>
      </c>
      <c r="L350" s="148" t="n"/>
      <c r="M350" s="148" t="n"/>
      <c r="N350" s="148" t="n"/>
      <c r="O350" s="87" t="n"/>
      <c r="P350" s="81" t="n"/>
      <c r="Q350" s="81" t="n"/>
      <c r="R350" s="81" t="n"/>
      <c r="S350" s="81" t="n"/>
      <c r="T350" s="136">
        <f>IF(AND(E350&gt;0,U350=0),1,"")</f>
        <v/>
      </c>
      <c r="U350" s="136">
        <f>SUM(X350:AR350)</f>
        <v/>
      </c>
      <c r="V350" s="136">
        <f>IF(E350=$Q$16,0,SUM(X350:AI350))</f>
        <v/>
      </c>
      <c r="W350" s="136">
        <f>SUM(AK350:AR350)</f>
        <v/>
      </c>
      <c r="X350" s="136">
        <f>IF(E350=$X$6,1,"")</f>
        <v/>
      </c>
      <c r="Y350" s="136">
        <f>IF(E350=$Y$6,1,"")</f>
        <v/>
      </c>
      <c r="Z350" s="136">
        <f>IF(E350=$Z$6,1,"")</f>
        <v/>
      </c>
      <c r="AA350" s="136">
        <f>IF(E350=$AA$6,1,"")</f>
        <v/>
      </c>
      <c r="AB350" s="136">
        <f>IF(E350=$AB$6,1,"")</f>
        <v/>
      </c>
      <c r="AC350" s="136">
        <f>IF(E350=$AC$6,1,"")</f>
        <v/>
      </c>
      <c r="AD350" s="136">
        <f>IF(E350=$AD$6,1,"")</f>
        <v/>
      </c>
      <c r="AE350" s="136">
        <f>IF(E350=$AE$6,1,"")</f>
        <v/>
      </c>
      <c r="AF350" s="136">
        <f>IF(E350=$AF$6,1,"")</f>
        <v/>
      </c>
      <c r="AG350" s="136">
        <f>IF(E350=$AG$6,1,"")</f>
        <v/>
      </c>
      <c r="AH350" s="136">
        <f>IF(E350=$AH$6,1,"")</f>
        <v/>
      </c>
      <c r="AI350" s="136">
        <f>IF(E350=$AI$6,1,"")</f>
        <v/>
      </c>
      <c r="AJ350" s="136">
        <f>IF(E350=$AJ$6,1,"")</f>
        <v/>
      </c>
      <c r="AK350" s="81">
        <f>IF(E350=$AK$6,1,"")</f>
        <v/>
      </c>
      <c r="AL350" s="81">
        <f>IF(E350=$AL$6,1,"")</f>
        <v/>
      </c>
      <c r="AM350" s="81">
        <f>IF(E350=$AM$6,1,"")</f>
        <v/>
      </c>
      <c r="AN350" s="81">
        <f>IF(E350=$AN$6,1,"")</f>
        <v/>
      </c>
      <c r="AO350" s="81">
        <f>IF(E350=$AO$6,1,"")</f>
        <v/>
      </c>
      <c r="AP350" s="81">
        <f>IF(E350=$AP$6,1,"")</f>
        <v/>
      </c>
      <c r="AQ350" s="81">
        <f>IF(E350=$AQ$6,1,"")</f>
        <v/>
      </c>
      <c r="AR350" s="81">
        <f>IF(E350=$AR$6,1,"")</f>
        <v/>
      </c>
      <c r="AS350" s="81" t="n"/>
    </row>
    <row r="351" ht="15.75" customHeight="1" s="80">
      <c r="A351" s="157" t="n"/>
      <c r="B351" s="124" t="n"/>
      <c r="C351" s="125" t="n"/>
      <c r="D351" s="126" t="n"/>
      <c r="E351" s="127" t="n"/>
      <c r="F351" s="128" t="n"/>
      <c r="G351" s="129">
        <f>IF(F351="","",ROUND(F351/60,2))</f>
        <v/>
      </c>
      <c r="H351" s="130" t="n"/>
      <c r="I351" s="131" t="n"/>
      <c r="J351" s="131">
        <f>IF(COUNTIF(B351:E351,"*")=0,"",IF(T351=1,"Invalid Service",IF(AND(V351=1,F351=""),"Add Session Mins",IF(AND(E351&gt;0,H351="",T351=""),"Enter Contract Rate",IF(AND(E351="IEP mtg, prep, rept",F351&gt;0),(G351*H351),IF(AND(E351&gt;0,F351&gt;0,H351&gt;0,I351=""),"Enter Travel",IF(AND(F351&gt;0,I351="Y"),(G351*H351)+$M$10,IF(AND(F351&gt;0,I351="N"),(G351*H351),H351))))))))</f>
        <v/>
      </c>
      <c r="K351" s="132">
        <f>J351</f>
        <v/>
      </c>
      <c r="L351" s="148" t="n"/>
      <c r="M351" s="148" t="n"/>
      <c r="N351" s="148" t="n"/>
      <c r="O351" s="87" t="n"/>
      <c r="P351" s="81" t="n"/>
      <c r="Q351" s="81" t="n"/>
      <c r="R351" s="81" t="n"/>
      <c r="S351" s="81" t="n"/>
      <c r="T351" s="136">
        <f>IF(AND(E351&gt;0,U351=0),1,"")</f>
        <v/>
      </c>
      <c r="U351" s="136">
        <f>SUM(X351:AR351)</f>
        <v/>
      </c>
      <c r="V351" s="136">
        <f>IF(E351=$Q$16,0,SUM(X351:AI351))</f>
        <v/>
      </c>
      <c r="W351" s="136">
        <f>SUM(AK351:AR351)</f>
        <v/>
      </c>
      <c r="X351" s="136">
        <f>IF(E351=$X$6,1,"")</f>
        <v/>
      </c>
      <c r="Y351" s="136">
        <f>IF(E351=$Y$6,1,"")</f>
        <v/>
      </c>
      <c r="Z351" s="136">
        <f>IF(E351=$Z$6,1,"")</f>
        <v/>
      </c>
      <c r="AA351" s="136">
        <f>IF(E351=$AA$6,1,"")</f>
        <v/>
      </c>
      <c r="AB351" s="136">
        <f>IF(E351=$AB$6,1,"")</f>
        <v/>
      </c>
      <c r="AC351" s="136">
        <f>IF(E351=$AC$6,1,"")</f>
        <v/>
      </c>
      <c r="AD351" s="136">
        <f>IF(E351=$AD$6,1,"")</f>
        <v/>
      </c>
      <c r="AE351" s="136">
        <f>IF(E351=$AE$6,1,"")</f>
        <v/>
      </c>
      <c r="AF351" s="136">
        <f>IF(E351=$AF$6,1,"")</f>
        <v/>
      </c>
      <c r="AG351" s="136">
        <f>IF(E351=$AG$6,1,"")</f>
        <v/>
      </c>
      <c r="AH351" s="136">
        <f>IF(E351=$AH$6,1,"")</f>
        <v/>
      </c>
      <c r="AI351" s="136">
        <f>IF(E351=$AI$6,1,"")</f>
        <v/>
      </c>
      <c r="AJ351" s="136">
        <f>IF(E351=$AJ$6,1,"")</f>
        <v/>
      </c>
      <c r="AK351" s="81">
        <f>IF(E351=$AK$6,1,"")</f>
        <v/>
      </c>
      <c r="AL351" s="81">
        <f>IF(E351=$AL$6,1,"")</f>
        <v/>
      </c>
      <c r="AM351" s="81">
        <f>IF(E351=$AM$6,1,"")</f>
        <v/>
      </c>
      <c r="AN351" s="81">
        <f>IF(E351=$AN$6,1,"")</f>
        <v/>
      </c>
      <c r="AO351" s="81">
        <f>IF(E351=$AO$6,1,"")</f>
        <v/>
      </c>
      <c r="AP351" s="81">
        <f>IF(E351=$AP$6,1,"")</f>
        <v/>
      </c>
      <c r="AQ351" s="81">
        <f>IF(E351=$AQ$6,1,"")</f>
        <v/>
      </c>
      <c r="AR351" s="81">
        <f>IF(E351=$AR$6,1,"")</f>
        <v/>
      </c>
      <c r="AS351" s="81" t="n"/>
    </row>
    <row r="352" ht="15.75" customHeight="1" s="80">
      <c r="A352" s="157" t="n"/>
      <c r="B352" s="124" t="n"/>
      <c r="C352" s="125" t="n"/>
      <c r="D352" s="126" t="n"/>
      <c r="E352" s="127" t="n"/>
      <c r="F352" s="128" t="n"/>
      <c r="G352" s="129">
        <f>IF(F352="","",ROUND(F352/60,2))</f>
        <v/>
      </c>
      <c r="H352" s="130" t="n"/>
      <c r="I352" s="131" t="n"/>
      <c r="J352" s="131">
        <f>IF(COUNTIF(B352:E352,"*")=0,"",IF(T352=1,"Invalid Service",IF(AND(V352=1,F352=""),"Add Session Mins",IF(AND(E352&gt;0,H352="",T352=""),"Enter Contract Rate",IF(AND(E352="IEP mtg, prep, rept",F352&gt;0),(G352*H352),IF(AND(E352&gt;0,F352&gt;0,H352&gt;0,I352=""),"Enter Travel",IF(AND(F352&gt;0,I352="Y"),(G352*H352)+$M$10,IF(AND(F352&gt;0,I352="N"),(G352*H352),H352))))))))</f>
        <v/>
      </c>
      <c r="K352" s="132">
        <f>J352</f>
        <v/>
      </c>
      <c r="L352" s="148" t="n"/>
      <c r="M352" s="148" t="n"/>
      <c r="N352" s="148" t="n"/>
      <c r="O352" s="87" t="n"/>
      <c r="P352" s="81" t="n"/>
      <c r="Q352" s="81" t="n"/>
      <c r="R352" s="81" t="n"/>
      <c r="S352" s="81" t="n"/>
      <c r="T352" s="136">
        <f>IF(AND(E352&gt;0,U352=0),1,"")</f>
        <v/>
      </c>
      <c r="U352" s="136">
        <f>SUM(X352:AR352)</f>
        <v/>
      </c>
      <c r="V352" s="136">
        <f>IF(E352=$Q$16,0,SUM(X352:AI352))</f>
        <v/>
      </c>
      <c r="W352" s="136">
        <f>SUM(AK352:AR352)</f>
        <v/>
      </c>
      <c r="X352" s="136">
        <f>IF(E352=$X$6,1,"")</f>
        <v/>
      </c>
      <c r="Y352" s="136">
        <f>IF(E352=$Y$6,1,"")</f>
        <v/>
      </c>
      <c r="Z352" s="136">
        <f>IF(E352=$Z$6,1,"")</f>
        <v/>
      </c>
      <c r="AA352" s="136">
        <f>IF(E352=$AA$6,1,"")</f>
        <v/>
      </c>
      <c r="AB352" s="136">
        <f>IF(E352=$AB$6,1,"")</f>
        <v/>
      </c>
      <c r="AC352" s="136">
        <f>IF(E352=$AC$6,1,"")</f>
        <v/>
      </c>
      <c r="AD352" s="136">
        <f>IF(E352=$AD$6,1,"")</f>
        <v/>
      </c>
      <c r="AE352" s="136">
        <f>IF(E352=$AE$6,1,"")</f>
        <v/>
      </c>
      <c r="AF352" s="136">
        <f>IF(E352=$AF$6,1,"")</f>
        <v/>
      </c>
      <c r="AG352" s="136">
        <f>IF(E352=$AG$6,1,"")</f>
        <v/>
      </c>
      <c r="AH352" s="136">
        <f>IF(E352=$AH$6,1,"")</f>
        <v/>
      </c>
      <c r="AI352" s="136">
        <f>IF(E352=$AI$6,1,"")</f>
        <v/>
      </c>
      <c r="AJ352" s="136">
        <f>IF(E352=$AJ$6,1,"")</f>
        <v/>
      </c>
      <c r="AK352" s="81">
        <f>IF(E352=$AK$6,1,"")</f>
        <v/>
      </c>
      <c r="AL352" s="81">
        <f>IF(E352=$AL$6,1,"")</f>
        <v/>
      </c>
      <c r="AM352" s="81">
        <f>IF(E352=$AM$6,1,"")</f>
        <v/>
      </c>
      <c r="AN352" s="81">
        <f>IF(E352=$AN$6,1,"")</f>
        <v/>
      </c>
      <c r="AO352" s="81">
        <f>IF(E352=$AO$6,1,"")</f>
        <v/>
      </c>
      <c r="AP352" s="81">
        <f>IF(E352=$AP$6,1,"")</f>
        <v/>
      </c>
      <c r="AQ352" s="81">
        <f>IF(E352=$AQ$6,1,"")</f>
        <v/>
      </c>
      <c r="AR352" s="81">
        <f>IF(E352=$AR$6,1,"")</f>
        <v/>
      </c>
      <c r="AS352" s="81" t="n"/>
    </row>
    <row r="353" ht="15.75" customHeight="1" s="80">
      <c r="A353" s="157" t="n"/>
      <c r="B353" s="124" t="n"/>
      <c r="C353" s="125" t="n"/>
      <c r="D353" s="126" t="n"/>
      <c r="E353" s="127" t="n"/>
      <c r="F353" s="128" t="n"/>
      <c r="G353" s="129">
        <f>IF(F353="","",ROUND(F353/60,2))</f>
        <v/>
      </c>
      <c r="H353" s="130" t="n"/>
      <c r="I353" s="131" t="n"/>
      <c r="J353" s="131">
        <f>IF(COUNTIF(B353:E353,"*")=0,"",IF(T353=1,"Invalid Service",IF(AND(V353=1,F353=""),"Add Session Mins",IF(AND(E353&gt;0,H353="",T353=""),"Enter Contract Rate",IF(AND(E353="IEP mtg, prep, rept",F353&gt;0),(G353*H353),IF(AND(E353&gt;0,F353&gt;0,H353&gt;0,I353=""),"Enter Travel",IF(AND(F353&gt;0,I353="Y"),(G353*H353)+$M$10,IF(AND(F353&gt;0,I353="N"),(G353*H353),H353))))))))</f>
        <v/>
      </c>
      <c r="K353" s="132">
        <f>J353</f>
        <v/>
      </c>
      <c r="L353" s="148" t="n"/>
      <c r="M353" s="148" t="n"/>
      <c r="N353" s="148" t="n"/>
      <c r="O353" s="87" t="n"/>
      <c r="P353" s="81" t="n"/>
      <c r="Q353" s="81" t="n"/>
      <c r="R353" s="81" t="n"/>
      <c r="S353" s="81" t="n"/>
      <c r="T353" s="136">
        <f>IF(AND(E353&gt;0,U353=0),1,"")</f>
        <v/>
      </c>
      <c r="U353" s="136">
        <f>SUM(X353:AR353)</f>
        <v/>
      </c>
      <c r="V353" s="136">
        <f>IF(E353=$Q$16,0,SUM(X353:AI353))</f>
        <v/>
      </c>
      <c r="W353" s="136">
        <f>SUM(AK353:AR353)</f>
        <v/>
      </c>
      <c r="X353" s="136">
        <f>IF(E353=$X$6,1,"")</f>
        <v/>
      </c>
      <c r="Y353" s="136">
        <f>IF(E353=$Y$6,1,"")</f>
        <v/>
      </c>
      <c r="Z353" s="136">
        <f>IF(E353=$Z$6,1,"")</f>
        <v/>
      </c>
      <c r="AA353" s="136">
        <f>IF(E353=$AA$6,1,"")</f>
        <v/>
      </c>
      <c r="AB353" s="136">
        <f>IF(E353=$AB$6,1,"")</f>
        <v/>
      </c>
      <c r="AC353" s="136">
        <f>IF(E353=$AC$6,1,"")</f>
        <v/>
      </c>
      <c r="AD353" s="136">
        <f>IF(E353=$AD$6,1,"")</f>
        <v/>
      </c>
      <c r="AE353" s="136">
        <f>IF(E353=$AE$6,1,"")</f>
        <v/>
      </c>
      <c r="AF353" s="136">
        <f>IF(E353=$AF$6,1,"")</f>
        <v/>
      </c>
      <c r="AG353" s="136">
        <f>IF(E353=$AG$6,1,"")</f>
        <v/>
      </c>
      <c r="AH353" s="136">
        <f>IF(E353=$AH$6,1,"")</f>
        <v/>
      </c>
      <c r="AI353" s="136">
        <f>IF(E353=$AI$6,1,"")</f>
        <v/>
      </c>
      <c r="AJ353" s="136">
        <f>IF(E353=$AJ$6,1,"")</f>
        <v/>
      </c>
      <c r="AK353" s="81">
        <f>IF(E353=$AK$6,1,"")</f>
        <v/>
      </c>
      <c r="AL353" s="81">
        <f>IF(E353=$AL$6,1,"")</f>
        <v/>
      </c>
      <c r="AM353" s="81">
        <f>IF(E353=$AM$6,1,"")</f>
        <v/>
      </c>
      <c r="AN353" s="81">
        <f>IF(E353=$AN$6,1,"")</f>
        <v/>
      </c>
      <c r="AO353" s="81">
        <f>IF(E353=$AO$6,1,"")</f>
        <v/>
      </c>
      <c r="AP353" s="81">
        <f>IF(E353=$AP$6,1,"")</f>
        <v/>
      </c>
      <c r="AQ353" s="81">
        <f>IF(E353=$AQ$6,1,"")</f>
        <v/>
      </c>
      <c r="AR353" s="81">
        <f>IF(E353=$AR$6,1,"")</f>
        <v/>
      </c>
      <c r="AS353" s="81" t="n"/>
    </row>
    <row r="354" ht="15.75" customHeight="1" s="80">
      <c r="A354" s="157" t="n"/>
      <c r="B354" s="124" t="n"/>
      <c r="C354" s="125" t="n"/>
      <c r="D354" s="126" t="n"/>
      <c r="E354" s="127" t="n"/>
      <c r="F354" s="128" t="n"/>
      <c r="G354" s="129">
        <f>IF(F354="","",ROUND(F354/60,2))</f>
        <v/>
      </c>
      <c r="H354" s="130" t="n"/>
      <c r="I354" s="131" t="n"/>
      <c r="J354" s="131">
        <f>IF(COUNTIF(B354:E354,"*")=0,"",IF(T354=1,"Invalid Service",IF(AND(V354=1,F354=""),"Add Session Mins",IF(AND(E354&gt;0,H354="",T354=""),"Enter Contract Rate",IF(AND(E354="IEP mtg, prep, rept",F354&gt;0),(G354*H354),IF(AND(E354&gt;0,F354&gt;0,H354&gt;0,I354=""),"Enter Travel",IF(AND(F354&gt;0,I354="Y"),(G354*H354)+$M$10,IF(AND(F354&gt;0,I354="N"),(G354*H354),H354))))))))</f>
        <v/>
      </c>
      <c r="K354" s="132">
        <f>J354</f>
        <v/>
      </c>
      <c r="L354" s="148" t="n"/>
      <c r="M354" s="148" t="n"/>
      <c r="N354" s="148" t="n"/>
      <c r="O354" s="87" t="n"/>
      <c r="P354" s="81" t="n"/>
      <c r="Q354" s="81" t="n"/>
      <c r="R354" s="81" t="n"/>
      <c r="S354" s="81" t="n"/>
      <c r="T354" s="136">
        <f>IF(AND(E354&gt;0,U354=0),1,"")</f>
        <v/>
      </c>
      <c r="U354" s="136">
        <f>SUM(X354:AR354)</f>
        <v/>
      </c>
      <c r="V354" s="136">
        <f>IF(E354=$Q$16,0,SUM(X354:AI354))</f>
        <v/>
      </c>
      <c r="W354" s="136">
        <f>SUM(AK354:AR354)</f>
        <v/>
      </c>
      <c r="X354" s="136">
        <f>IF(E354=$X$6,1,"")</f>
        <v/>
      </c>
      <c r="Y354" s="136">
        <f>IF(E354=$Y$6,1,"")</f>
        <v/>
      </c>
      <c r="Z354" s="136">
        <f>IF(E354=$Z$6,1,"")</f>
        <v/>
      </c>
      <c r="AA354" s="136">
        <f>IF(E354=$AA$6,1,"")</f>
        <v/>
      </c>
      <c r="AB354" s="136">
        <f>IF(E354=$AB$6,1,"")</f>
        <v/>
      </c>
      <c r="AC354" s="136">
        <f>IF(E354=$AC$6,1,"")</f>
        <v/>
      </c>
      <c r="AD354" s="136">
        <f>IF(E354=$AD$6,1,"")</f>
        <v/>
      </c>
      <c r="AE354" s="136">
        <f>IF(E354=$AE$6,1,"")</f>
        <v/>
      </c>
      <c r="AF354" s="136">
        <f>IF(E354=$AF$6,1,"")</f>
        <v/>
      </c>
      <c r="AG354" s="136">
        <f>IF(E354=$AG$6,1,"")</f>
        <v/>
      </c>
      <c r="AH354" s="136">
        <f>IF(E354=$AH$6,1,"")</f>
        <v/>
      </c>
      <c r="AI354" s="136">
        <f>IF(E354=$AI$6,1,"")</f>
        <v/>
      </c>
      <c r="AJ354" s="136">
        <f>IF(E354=$AJ$6,1,"")</f>
        <v/>
      </c>
      <c r="AK354" s="81">
        <f>IF(E354=$AK$6,1,"")</f>
        <v/>
      </c>
      <c r="AL354" s="81">
        <f>IF(E354=$AL$6,1,"")</f>
        <v/>
      </c>
      <c r="AM354" s="81">
        <f>IF(E354=$AM$6,1,"")</f>
        <v/>
      </c>
      <c r="AN354" s="81">
        <f>IF(E354=$AN$6,1,"")</f>
        <v/>
      </c>
      <c r="AO354" s="81">
        <f>IF(E354=$AO$6,1,"")</f>
        <v/>
      </c>
      <c r="AP354" s="81">
        <f>IF(E354=$AP$6,1,"")</f>
        <v/>
      </c>
      <c r="AQ354" s="81">
        <f>IF(E354=$AQ$6,1,"")</f>
        <v/>
      </c>
      <c r="AR354" s="81">
        <f>IF(E354=$AR$6,1,"")</f>
        <v/>
      </c>
      <c r="AS354" s="81" t="n"/>
    </row>
    <row r="355" ht="15.75" customHeight="1" s="80">
      <c r="A355" s="157" t="n"/>
      <c r="B355" s="124" t="n"/>
      <c r="C355" s="125" t="n"/>
      <c r="D355" s="126" t="n"/>
      <c r="E355" s="127" t="n"/>
      <c r="F355" s="128" t="n"/>
      <c r="G355" s="129">
        <f>IF(F355="","",ROUND(F355/60,2))</f>
        <v/>
      </c>
      <c r="H355" s="130" t="n"/>
      <c r="I355" s="131" t="n"/>
      <c r="J355" s="131">
        <f>IF(COUNTIF(B355:E355,"*")=0,"",IF(T355=1,"Invalid Service",IF(AND(V355=1,F355=""),"Add Session Mins",IF(AND(E355&gt;0,H355="",T355=""),"Enter Contract Rate",IF(AND(E355="IEP mtg, prep, rept",F355&gt;0),(G355*H355),IF(AND(E355&gt;0,F355&gt;0,H355&gt;0,I355=""),"Enter Travel",IF(AND(F355&gt;0,I355="Y"),(G355*H355)+$M$10,IF(AND(F355&gt;0,I355="N"),(G355*H355),H355))))))))</f>
        <v/>
      </c>
      <c r="K355" s="132">
        <f>J355</f>
        <v/>
      </c>
      <c r="L355" s="148" t="n"/>
      <c r="M355" s="148" t="n"/>
      <c r="N355" s="148" t="n"/>
      <c r="O355" s="87" t="n"/>
      <c r="P355" s="81" t="n"/>
      <c r="Q355" s="81" t="n"/>
      <c r="R355" s="81" t="n"/>
      <c r="S355" s="81" t="n"/>
      <c r="T355" s="136">
        <f>IF(AND(E355&gt;0,U355=0),1,"")</f>
        <v/>
      </c>
      <c r="U355" s="136">
        <f>SUM(X355:AR355)</f>
        <v/>
      </c>
      <c r="V355" s="136">
        <f>IF(E355=$Q$16,0,SUM(X355:AI355))</f>
        <v/>
      </c>
      <c r="W355" s="136">
        <f>SUM(AK355:AR355)</f>
        <v/>
      </c>
      <c r="X355" s="136">
        <f>IF(E355=$X$6,1,"")</f>
        <v/>
      </c>
      <c r="Y355" s="136">
        <f>IF(E355=$Y$6,1,"")</f>
        <v/>
      </c>
      <c r="Z355" s="136">
        <f>IF(E355=$Z$6,1,"")</f>
        <v/>
      </c>
      <c r="AA355" s="136">
        <f>IF(E355=$AA$6,1,"")</f>
        <v/>
      </c>
      <c r="AB355" s="136">
        <f>IF(E355=$AB$6,1,"")</f>
        <v/>
      </c>
      <c r="AC355" s="136">
        <f>IF(E355=$AC$6,1,"")</f>
        <v/>
      </c>
      <c r="AD355" s="136">
        <f>IF(E355=$AD$6,1,"")</f>
        <v/>
      </c>
      <c r="AE355" s="136">
        <f>IF(E355=$AE$6,1,"")</f>
        <v/>
      </c>
      <c r="AF355" s="136">
        <f>IF(E355=$AF$6,1,"")</f>
        <v/>
      </c>
      <c r="AG355" s="136">
        <f>IF(E355=$AG$6,1,"")</f>
        <v/>
      </c>
      <c r="AH355" s="136">
        <f>IF(E355=$AH$6,1,"")</f>
        <v/>
      </c>
      <c r="AI355" s="136">
        <f>IF(E355=$AI$6,1,"")</f>
        <v/>
      </c>
      <c r="AJ355" s="136">
        <f>IF(E355=$AJ$6,1,"")</f>
        <v/>
      </c>
      <c r="AK355" s="81">
        <f>IF(E355=$AK$6,1,"")</f>
        <v/>
      </c>
      <c r="AL355" s="81">
        <f>IF(E355=$AL$6,1,"")</f>
        <v/>
      </c>
      <c r="AM355" s="81">
        <f>IF(E355=$AM$6,1,"")</f>
        <v/>
      </c>
      <c r="AN355" s="81">
        <f>IF(E355=$AN$6,1,"")</f>
        <v/>
      </c>
      <c r="AO355" s="81">
        <f>IF(E355=$AO$6,1,"")</f>
        <v/>
      </c>
      <c r="AP355" s="81">
        <f>IF(E355=$AP$6,1,"")</f>
        <v/>
      </c>
      <c r="AQ355" s="81">
        <f>IF(E355=$AQ$6,1,"")</f>
        <v/>
      </c>
      <c r="AR355" s="81">
        <f>IF(E355=$AR$6,1,"")</f>
        <v/>
      </c>
      <c r="AS355" s="81" t="n"/>
    </row>
    <row r="356" ht="15.75" customHeight="1" s="80">
      <c r="A356" s="157" t="n"/>
      <c r="B356" s="124" t="n"/>
      <c r="C356" s="125" t="n"/>
      <c r="D356" s="126" t="n"/>
      <c r="E356" s="127" t="n"/>
      <c r="F356" s="128" t="n"/>
      <c r="G356" s="129">
        <f>IF(F356="","",ROUND(F356/60,2))</f>
        <v/>
      </c>
      <c r="H356" s="130" t="n"/>
      <c r="I356" s="131" t="n"/>
      <c r="J356" s="131">
        <f>IF(COUNTIF(B356:E356,"*")=0,"",IF(T356=1,"Invalid Service",IF(AND(V356=1,F356=""),"Add Session Mins",IF(AND(E356&gt;0,H356="",T356=""),"Enter Contract Rate",IF(AND(E356="IEP mtg, prep, rept",F356&gt;0),(G356*H356),IF(AND(E356&gt;0,F356&gt;0,H356&gt;0,I356=""),"Enter Travel",IF(AND(F356&gt;0,I356="Y"),(G356*H356)+$M$10,IF(AND(F356&gt;0,I356="N"),(G356*H356),H356))))))))</f>
        <v/>
      </c>
      <c r="K356" s="132">
        <f>J356</f>
        <v/>
      </c>
      <c r="L356" s="148" t="n"/>
      <c r="M356" s="148" t="n"/>
      <c r="N356" s="148" t="n"/>
      <c r="O356" s="87" t="n"/>
      <c r="P356" s="81" t="n"/>
      <c r="Q356" s="81" t="n"/>
      <c r="R356" s="81" t="n"/>
      <c r="S356" s="81" t="n"/>
      <c r="T356" s="136">
        <f>IF(AND(E356&gt;0,U356=0),1,"")</f>
        <v/>
      </c>
      <c r="U356" s="136">
        <f>SUM(X356:AR356)</f>
        <v/>
      </c>
      <c r="V356" s="136">
        <f>IF(E356=$Q$16,0,SUM(X356:AI356))</f>
        <v/>
      </c>
      <c r="W356" s="136">
        <f>SUM(AK356:AR356)</f>
        <v/>
      </c>
      <c r="X356" s="136">
        <f>IF(E356=$X$6,1,"")</f>
        <v/>
      </c>
      <c r="Y356" s="136">
        <f>IF(E356=$Y$6,1,"")</f>
        <v/>
      </c>
      <c r="Z356" s="136">
        <f>IF(E356=$Z$6,1,"")</f>
        <v/>
      </c>
      <c r="AA356" s="136">
        <f>IF(E356=$AA$6,1,"")</f>
        <v/>
      </c>
      <c r="AB356" s="136">
        <f>IF(E356=$AB$6,1,"")</f>
        <v/>
      </c>
      <c r="AC356" s="136">
        <f>IF(E356=$AC$6,1,"")</f>
        <v/>
      </c>
      <c r="AD356" s="136">
        <f>IF(E356=$AD$6,1,"")</f>
        <v/>
      </c>
      <c r="AE356" s="136">
        <f>IF(E356=$AE$6,1,"")</f>
        <v/>
      </c>
      <c r="AF356" s="136">
        <f>IF(E356=$AF$6,1,"")</f>
        <v/>
      </c>
      <c r="AG356" s="136">
        <f>IF(E356=$AG$6,1,"")</f>
        <v/>
      </c>
      <c r="AH356" s="136">
        <f>IF(E356=$AH$6,1,"")</f>
        <v/>
      </c>
      <c r="AI356" s="136">
        <f>IF(E356=$AI$6,1,"")</f>
        <v/>
      </c>
      <c r="AJ356" s="136">
        <f>IF(E356=$AJ$6,1,"")</f>
        <v/>
      </c>
      <c r="AK356" s="81">
        <f>IF(E356=$AK$6,1,"")</f>
        <v/>
      </c>
      <c r="AL356" s="81">
        <f>IF(E356=$AL$6,1,"")</f>
        <v/>
      </c>
      <c r="AM356" s="81">
        <f>IF(E356=$AM$6,1,"")</f>
        <v/>
      </c>
      <c r="AN356" s="81">
        <f>IF(E356=$AN$6,1,"")</f>
        <v/>
      </c>
      <c r="AO356" s="81">
        <f>IF(E356=$AO$6,1,"")</f>
        <v/>
      </c>
      <c r="AP356" s="81">
        <f>IF(E356=$AP$6,1,"")</f>
        <v/>
      </c>
      <c r="AQ356" s="81">
        <f>IF(E356=$AQ$6,1,"")</f>
        <v/>
      </c>
      <c r="AR356" s="81">
        <f>IF(E356=$AR$6,1,"")</f>
        <v/>
      </c>
      <c r="AS356" s="81" t="n"/>
    </row>
    <row r="357" ht="15.75" customHeight="1" s="80">
      <c r="A357" s="157" t="n"/>
      <c r="B357" s="124" t="n"/>
      <c r="C357" s="125" t="n"/>
      <c r="D357" s="126" t="n"/>
      <c r="E357" s="127" t="n"/>
      <c r="F357" s="128" t="n"/>
      <c r="G357" s="129">
        <f>IF(F357="","",ROUND(F357/60,2))</f>
        <v/>
      </c>
      <c r="H357" s="130" t="n"/>
      <c r="I357" s="131" t="n"/>
      <c r="J357" s="131">
        <f>IF(COUNTIF(B357:E357,"*")=0,"",IF(T357=1,"Invalid Service",IF(AND(V357=1,F357=""),"Add Session Mins",IF(AND(E357&gt;0,H357="",T357=""),"Enter Contract Rate",IF(AND(E357="IEP mtg, prep, rept",F357&gt;0),(G357*H357),IF(AND(E357&gt;0,F357&gt;0,H357&gt;0,I357=""),"Enter Travel",IF(AND(F357&gt;0,I357="Y"),(G357*H357)+$M$10,IF(AND(F357&gt;0,I357="N"),(G357*H357),H357))))))))</f>
        <v/>
      </c>
      <c r="K357" s="132">
        <f>J357</f>
        <v/>
      </c>
      <c r="L357" s="148" t="n"/>
      <c r="M357" s="148" t="n"/>
      <c r="N357" s="148" t="n"/>
      <c r="O357" s="87" t="n"/>
      <c r="P357" s="81" t="n"/>
      <c r="Q357" s="81" t="n"/>
      <c r="R357" s="81" t="n"/>
      <c r="S357" s="81" t="n"/>
      <c r="T357" s="136">
        <f>IF(AND(E357&gt;0,U357=0),1,"")</f>
        <v/>
      </c>
      <c r="U357" s="136">
        <f>SUM(X357:AR357)</f>
        <v/>
      </c>
      <c r="V357" s="136">
        <f>IF(E357=$Q$16,0,SUM(X357:AI357))</f>
        <v/>
      </c>
      <c r="W357" s="136">
        <f>SUM(AK357:AR357)</f>
        <v/>
      </c>
      <c r="X357" s="136">
        <f>IF(E357=$X$6,1,"")</f>
        <v/>
      </c>
      <c r="Y357" s="136">
        <f>IF(E357=$Y$6,1,"")</f>
        <v/>
      </c>
      <c r="Z357" s="136">
        <f>IF(E357=$Z$6,1,"")</f>
        <v/>
      </c>
      <c r="AA357" s="136">
        <f>IF(E357=$AA$6,1,"")</f>
        <v/>
      </c>
      <c r="AB357" s="136">
        <f>IF(E357=$AB$6,1,"")</f>
        <v/>
      </c>
      <c r="AC357" s="136">
        <f>IF(E357=$AC$6,1,"")</f>
        <v/>
      </c>
      <c r="AD357" s="136">
        <f>IF(E357=$AD$6,1,"")</f>
        <v/>
      </c>
      <c r="AE357" s="136">
        <f>IF(E357=$AE$6,1,"")</f>
        <v/>
      </c>
      <c r="AF357" s="136">
        <f>IF(E357=$AF$6,1,"")</f>
        <v/>
      </c>
      <c r="AG357" s="136">
        <f>IF(E357=$AG$6,1,"")</f>
        <v/>
      </c>
      <c r="AH357" s="136">
        <f>IF(E357=$AH$6,1,"")</f>
        <v/>
      </c>
      <c r="AI357" s="136">
        <f>IF(E357=$AI$6,1,"")</f>
        <v/>
      </c>
      <c r="AJ357" s="136">
        <f>IF(E357=$AJ$6,1,"")</f>
        <v/>
      </c>
      <c r="AK357" s="81">
        <f>IF(E357=$AK$6,1,"")</f>
        <v/>
      </c>
      <c r="AL357" s="81">
        <f>IF(E357=$AL$6,1,"")</f>
        <v/>
      </c>
      <c r="AM357" s="81">
        <f>IF(E357=$AM$6,1,"")</f>
        <v/>
      </c>
      <c r="AN357" s="81">
        <f>IF(E357=$AN$6,1,"")</f>
        <v/>
      </c>
      <c r="AO357" s="81">
        <f>IF(E357=$AO$6,1,"")</f>
        <v/>
      </c>
      <c r="AP357" s="81">
        <f>IF(E357=$AP$6,1,"")</f>
        <v/>
      </c>
      <c r="AQ357" s="81">
        <f>IF(E357=$AQ$6,1,"")</f>
        <v/>
      </c>
      <c r="AR357" s="81">
        <f>IF(E357=$AR$6,1,"")</f>
        <v/>
      </c>
      <c r="AS357" s="81" t="n"/>
    </row>
    <row r="358" ht="15.75" customHeight="1" s="80">
      <c r="A358" s="157" t="n"/>
      <c r="B358" s="124" t="n"/>
      <c r="C358" s="125" t="n"/>
      <c r="D358" s="126" t="n"/>
      <c r="E358" s="127" t="n"/>
      <c r="F358" s="128" t="n"/>
      <c r="G358" s="129">
        <f>IF(F358="","",ROUND(F358/60,2))</f>
        <v/>
      </c>
      <c r="H358" s="130" t="n"/>
      <c r="I358" s="131" t="n"/>
      <c r="J358" s="131">
        <f>IF(COUNTIF(B358:E358,"*")=0,"",IF(T358=1,"Invalid Service",IF(AND(V358=1,F358=""),"Add Session Mins",IF(AND(E358&gt;0,H358="",T358=""),"Enter Contract Rate",IF(AND(E358="IEP mtg, prep, rept",F358&gt;0),(G358*H358),IF(AND(E358&gt;0,F358&gt;0,H358&gt;0,I358=""),"Enter Travel",IF(AND(F358&gt;0,I358="Y"),(G358*H358)+$M$10,IF(AND(F358&gt;0,I358="N"),(G358*H358),H358))))))))</f>
        <v/>
      </c>
      <c r="K358" s="132">
        <f>J358</f>
        <v/>
      </c>
      <c r="L358" s="148" t="n"/>
      <c r="M358" s="148" t="n"/>
      <c r="N358" s="148" t="n"/>
      <c r="O358" s="87" t="n"/>
      <c r="P358" s="81" t="n"/>
      <c r="Q358" s="81" t="n"/>
      <c r="R358" s="81" t="n"/>
      <c r="S358" s="81" t="n"/>
      <c r="T358" s="136">
        <f>IF(AND(E358&gt;0,U358=0),1,"")</f>
        <v/>
      </c>
      <c r="U358" s="136">
        <f>SUM(X358:AR358)</f>
        <v/>
      </c>
      <c r="V358" s="136">
        <f>IF(E358=$Q$16,0,SUM(X358:AI358))</f>
        <v/>
      </c>
      <c r="W358" s="136">
        <f>SUM(AK358:AR358)</f>
        <v/>
      </c>
      <c r="X358" s="136">
        <f>IF(E358=$X$6,1,"")</f>
        <v/>
      </c>
      <c r="Y358" s="136">
        <f>IF(E358=$Y$6,1,"")</f>
        <v/>
      </c>
      <c r="Z358" s="136">
        <f>IF(E358=$Z$6,1,"")</f>
        <v/>
      </c>
      <c r="AA358" s="136">
        <f>IF(E358=$AA$6,1,"")</f>
        <v/>
      </c>
      <c r="AB358" s="136">
        <f>IF(E358=$AB$6,1,"")</f>
        <v/>
      </c>
      <c r="AC358" s="136">
        <f>IF(E358=$AC$6,1,"")</f>
        <v/>
      </c>
      <c r="AD358" s="136">
        <f>IF(E358=$AD$6,1,"")</f>
        <v/>
      </c>
      <c r="AE358" s="136">
        <f>IF(E358=$AE$6,1,"")</f>
        <v/>
      </c>
      <c r="AF358" s="136">
        <f>IF(E358=$AF$6,1,"")</f>
        <v/>
      </c>
      <c r="AG358" s="136">
        <f>IF(E358=$AG$6,1,"")</f>
        <v/>
      </c>
      <c r="AH358" s="136">
        <f>IF(E358=$AH$6,1,"")</f>
        <v/>
      </c>
      <c r="AI358" s="136">
        <f>IF(E358=$AI$6,1,"")</f>
        <v/>
      </c>
      <c r="AJ358" s="136">
        <f>IF(E358=$AJ$6,1,"")</f>
        <v/>
      </c>
      <c r="AK358" s="81">
        <f>IF(E358=$AK$6,1,"")</f>
        <v/>
      </c>
      <c r="AL358" s="81">
        <f>IF(E358=$AL$6,1,"")</f>
        <v/>
      </c>
      <c r="AM358" s="81">
        <f>IF(E358=$AM$6,1,"")</f>
        <v/>
      </c>
      <c r="AN358" s="81">
        <f>IF(E358=$AN$6,1,"")</f>
        <v/>
      </c>
      <c r="AO358" s="81">
        <f>IF(E358=$AO$6,1,"")</f>
        <v/>
      </c>
      <c r="AP358" s="81">
        <f>IF(E358=$AP$6,1,"")</f>
        <v/>
      </c>
      <c r="AQ358" s="81">
        <f>IF(E358=$AQ$6,1,"")</f>
        <v/>
      </c>
      <c r="AR358" s="81">
        <f>IF(E358=$AR$6,1,"")</f>
        <v/>
      </c>
      <c r="AS358" s="81" t="n"/>
    </row>
    <row r="359" ht="15.75" customHeight="1" s="80">
      <c r="A359" s="157" t="n"/>
      <c r="B359" s="124" t="n"/>
      <c r="C359" s="125" t="n"/>
      <c r="D359" s="126" t="n"/>
      <c r="E359" s="127" t="n"/>
      <c r="F359" s="128" t="n"/>
      <c r="G359" s="129">
        <f>IF(F359="","",ROUND(F359/60,2))</f>
        <v/>
      </c>
      <c r="H359" s="130" t="n"/>
      <c r="I359" s="131" t="n"/>
      <c r="J359" s="131">
        <f>IF(COUNTIF(B359:E359,"*")=0,"",IF(T359=1,"Invalid Service",IF(AND(V359=1,F359=""),"Add Session Mins",IF(AND(E359&gt;0,H359="",T359=""),"Enter Contract Rate",IF(AND(E359="IEP mtg, prep, rept",F359&gt;0),(G359*H359),IF(AND(E359&gt;0,F359&gt;0,H359&gt;0,I359=""),"Enter Travel",IF(AND(F359&gt;0,I359="Y"),(G359*H359)+$M$10,IF(AND(F359&gt;0,I359="N"),(G359*H359),H359))))))))</f>
        <v/>
      </c>
      <c r="K359" s="132">
        <f>J359</f>
        <v/>
      </c>
      <c r="L359" s="148" t="n"/>
      <c r="M359" s="148" t="n"/>
      <c r="N359" s="148" t="n"/>
      <c r="O359" s="87" t="n"/>
      <c r="P359" s="81" t="n"/>
      <c r="Q359" s="81" t="n"/>
      <c r="R359" s="81" t="n"/>
      <c r="S359" s="81" t="n"/>
      <c r="T359" s="136">
        <f>IF(AND(E359&gt;0,U359=0),1,"")</f>
        <v/>
      </c>
      <c r="U359" s="136">
        <f>SUM(X359:AR359)</f>
        <v/>
      </c>
      <c r="V359" s="136">
        <f>IF(E359=$Q$16,0,SUM(X359:AI359))</f>
        <v/>
      </c>
      <c r="W359" s="136">
        <f>SUM(AK359:AR359)</f>
        <v/>
      </c>
      <c r="X359" s="136">
        <f>IF(E359=$X$6,1,"")</f>
        <v/>
      </c>
      <c r="Y359" s="136">
        <f>IF(E359=$Y$6,1,"")</f>
        <v/>
      </c>
      <c r="Z359" s="136">
        <f>IF(E359=$Z$6,1,"")</f>
        <v/>
      </c>
      <c r="AA359" s="136">
        <f>IF(E359=$AA$6,1,"")</f>
        <v/>
      </c>
      <c r="AB359" s="136">
        <f>IF(E359=$AB$6,1,"")</f>
        <v/>
      </c>
      <c r="AC359" s="136">
        <f>IF(E359=$AC$6,1,"")</f>
        <v/>
      </c>
      <c r="AD359" s="136">
        <f>IF(E359=$AD$6,1,"")</f>
        <v/>
      </c>
      <c r="AE359" s="136">
        <f>IF(E359=$AE$6,1,"")</f>
        <v/>
      </c>
      <c r="AF359" s="136">
        <f>IF(E359=$AF$6,1,"")</f>
        <v/>
      </c>
      <c r="AG359" s="136">
        <f>IF(E359=$AG$6,1,"")</f>
        <v/>
      </c>
      <c r="AH359" s="136">
        <f>IF(E359=$AH$6,1,"")</f>
        <v/>
      </c>
      <c r="AI359" s="136">
        <f>IF(E359=$AI$6,1,"")</f>
        <v/>
      </c>
      <c r="AJ359" s="136">
        <f>IF(E359=$AJ$6,1,"")</f>
        <v/>
      </c>
      <c r="AK359" s="81">
        <f>IF(E359=$AK$6,1,"")</f>
        <v/>
      </c>
      <c r="AL359" s="81">
        <f>IF(E359=$AL$6,1,"")</f>
        <v/>
      </c>
      <c r="AM359" s="81">
        <f>IF(E359=$AM$6,1,"")</f>
        <v/>
      </c>
      <c r="AN359" s="81">
        <f>IF(E359=$AN$6,1,"")</f>
        <v/>
      </c>
      <c r="AO359" s="81">
        <f>IF(E359=$AO$6,1,"")</f>
        <v/>
      </c>
      <c r="AP359" s="81">
        <f>IF(E359=$AP$6,1,"")</f>
        <v/>
      </c>
      <c r="AQ359" s="81">
        <f>IF(E359=$AQ$6,1,"")</f>
        <v/>
      </c>
      <c r="AR359" s="81">
        <f>IF(E359=$AR$6,1,"")</f>
        <v/>
      </c>
      <c r="AS359" s="81" t="n"/>
    </row>
    <row r="360" ht="15.75" customHeight="1" s="80">
      <c r="A360" s="157" t="n"/>
      <c r="B360" s="124" t="n"/>
      <c r="C360" s="125" t="n"/>
      <c r="D360" s="126" t="n"/>
      <c r="E360" s="127" t="n"/>
      <c r="F360" s="128" t="n"/>
      <c r="G360" s="129">
        <f>IF(F360="","",ROUND(F360/60,2))</f>
        <v/>
      </c>
      <c r="H360" s="130" t="n"/>
      <c r="I360" s="131" t="n"/>
      <c r="J360" s="131">
        <f>IF(COUNTIF(B360:E360,"*")=0,"",IF(T360=1,"Invalid Service",IF(AND(V360=1,F360=""),"Add Session Mins",IF(AND(E360&gt;0,H360="",T360=""),"Enter Contract Rate",IF(AND(E360="IEP mtg, prep, rept",F360&gt;0),(G360*H360),IF(AND(E360&gt;0,F360&gt;0,H360&gt;0,I360=""),"Enter Travel",IF(AND(F360&gt;0,I360="Y"),(G360*H360)+$M$10,IF(AND(F360&gt;0,I360="N"),(G360*H360),H360))))))))</f>
        <v/>
      </c>
      <c r="K360" s="132">
        <f>J360</f>
        <v/>
      </c>
      <c r="L360" s="148" t="n"/>
      <c r="M360" s="148" t="n"/>
      <c r="N360" s="148" t="n"/>
      <c r="O360" s="87" t="n"/>
      <c r="P360" s="81" t="n"/>
      <c r="Q360" s="81" t="n"/>
      <c r="R360" s="81" t="n"/>
      <c r="S360" s="81" t="n"/>
      <c r="T360" s="136">
        <f>IF(AND(E360&gt;0,U360=0),1,"")</f>
        <v/>
      </c>
      <c r="U360" s="136">
        <f>SUM(X360:AR360)</f>
        <v/>
      </c>
      <c r="V360" s="136">
        <f>IF(E360=$Q$16,0,SUM(X360:AI360))</f>
        <v/>
      </c>
      <c r="W360" s="136">
        <f>SUM(AK360:AR360)</f>
        <v/>
      </c>
      <c r="X360" s="136">
        <f>IF(E360=$X$6,1,"")</f>
        <v/>
      </c>
      <c r="Y360" s="136">
        <f>IF(E360=$Y$6,1,"")</f>
        <v/>
      </c>
      <c r="Z360" s="136">
        <f>IF(E360=$Z$6,1,"")</f>
        <v/>
      </c>
      <c r="AA360" s="136">
        <f>IF(E360=$AA$6,1,"")</f>
        <v/>
      </c>
      <c r="AB360" s="136">
        <f>IF(E360=$AB$6,1,"")</f>
        <v/>
      </c>
      <c r="AC360" s="136">
        <f>IF(E360=$AC$6,1,"")</f>
        <v/>
      </c>
      <c r="AD360" s="136">
        <f>IF(E360=$AD$6,1,"")</f>
        <v/>
      </c>
      <c r="AE360" s="136">
        <f>IF(E360=$AE$6,1,"")</f>
        <v/>
      </c>
      <c r="AF360" s="136">
        <f>IF(E360=$AF$6,1,"")</f>
        <v/>
      </c>
      <c r="AG360" s="136">
        <f>IF(E360=$AG$6,1,"")</f>
        <v/>
      </c>
      <c r="AH360" s="136">
        <f>IF(E360=$AH$6,1,"")</f>
        <v/>
      </c>
      <c r="AI360" s="136">
        <f>IF(E360=$AI$6,1,"")</f>
        <v/>
      </c>
      <c r="AJ360" s="136">
        <f>IF(E360=$AJ$6,1,"")</f>
        <v/>
      </c>
      <c r="AK360" s="81">
        <f>IF(E360=$AK$6,1,"")</f>
        <v/>
      </c>
      <c r="AL360" s="81">
        <f>IF(E360=$AL$6,1,"")</f>
        <v/>
      </c>
      <c r="AM360" s="81">
        <f>IF(E360=$AM$6,1,"")</f>
        <v/>
      </c>
      <c r="AN360" s="81">
        <f>IF(E360=$AN$6,1,"")</f>
        <v/>
      </c>
      <c r="AO360" s="81">
        <f>IF(E360=$AO$6,1,"")</f>
        <v/>
      </c>
      <c r="AP360" s="81">
        <f>IF(E360=$AP$6,1,"")</f>
        <v/>
      </c>
      <c r="AQ360" s="81">
        <f>IF(E360=$AQ$6,1,"")</f>
        <v/>
      </c>
      <c r="AR360" s="81">
        <f>IF(E360=$AR$6,1,"")</f>
        <v/>
      </c>
      <c r="AS360" s="81" t="n"/>
    </row>
    <row r="361" ht="15.75" customHeight="1" s="80">
      <c r="A361" s="157" t="n"/>
      <c r="B361" s="124" t="n"/>
      <c r="C361" s="125" t="n"/>
      <c r="D361" s="126" t="n"/>
      <c r="E361" s="127" t="n"/>
      <c r="F361" s="128" t="n"/>
      <c r="G361" s="129">
        <f>IF(F361="","",ROUND(F361/60,2))</f>
        <v/>
      </c>
      <c r="H361" s="130" t="n"/>
      <c r="I361" s="131" t="n"/>
      <c r="J361" s="131">
        <f>IF(COUNTIF(B361:E361,"*")=0,"",IF(T361=1,"Invalid Service",IF(AND(V361=1,F361=""),"Add Session Mins",IF(AND(E361&gt;0,H361="",T361=""),"Enter Contract Rate",IF(AND(E361="IEP mtg, prep, rept",F361&gt;0),(G361*H361),IF(AND(E361&gt;0,F361&gt;0,H361&gt;0,I361=""),"Enter Travel",IF(AND(F361&gt;0,I361="Y"),(G361*H361)+$M$10,IF(AND(F361&gt;0,I361="N"),(G361*H361),H361))))))))</f>
        <v/>
      </c>
      <c r="K361" s="132">
        <f>J361</f>
        <v/>
      </c>
      <c r="L361" s="148" t="n"/>
      <c r="M361" s="148" t="n"/>
      <c r="N361" s="148" t="n"/>
      <c r="O361" s="87" t="n"/>
      <c r="P361" s="81" t="n"/>
      <c r="Q361" s="81" t="n"/>
      <c r="R361" s="81" t="n"/>
      <c r="S361" s="81" t="n"/>
      <c r="T361" s="136">
        <f>IF(AND(E361&gt;0,U361=0),1,"")</f>
        <v/>
      </c>
      <c r="U361" s="136">
        <f>SUM(X361:AR361)</f>
        <v/>
      </c>
      <c r="V361" s="136">
        <f>IF(E361=$Q$16,0,SUM(X361:AI361))</f>
        <v/>
      </c>
      <c r="W361" s="136">
        <f>SUM(AK361:AR361)</f>
        <v/>
      </c>
      <c r="X361" s="136">
        <f>IF(E361=$X$6,1,"")</f>
        <v/>
      </c>
      <c r="Y361" s="136">
        <f>IF(E361=$Y$6,1,"")</f>
        <v/>
      </c>
      <c r="Z361" s="136">
        <f>IF(E361=$Z$6,1,"")</f>
        <v/>
      </c>
      <c r="AA361" s="136">
        <f>IF(E361=$AA$6,1,"")</f>
        <v/>
      </c>
      <c r="AB361" s="136">
        <f>IF(E361=$AB$6,1,"")</f>
        <v/>
      </c>
      <c r="AC361" s="136">
        <f>IF(E361=$AC$6,1,"")</f>
        <v/>
      </c>
      <c r="AD361" s="136">
        <f>IF(E361=$AD$6,1,"")</f>
        <v/>
      </c>
      <c r="AE361" s="136">
        <f>IF(E361=$AE$6,1,"")</f>
        <v/>
      </c>
      <c r="AF361" s="136">
        <f>IF(E361=$AF$6,1,"")</f>
        <v/>
      </c>
      <c r="AG361" s="136">
        <f>IF(E361=$AG$6,1,"")</f>
        <v/>
      </c>
      <c r="AH361" s="136">
        <f>IF(E361=$AH$6,1,"")</f>
        <v/>
      </c>
      <c r="AI361" s="136">
        <f>IF(E361=$AI$6,1,"")</f>
        <v/>
      </c>
      <c r="AJ361" s="136">
        <f>IF(E361=$AJ$6,1,"")</f>
        <v/>
      </c>
      <c r="AK361" s="81">
        <f>IF(E361=$AK$6,1,"")</f>
        <v/>
      </c>
      <c r="AL361" s="81">
        <f>IF(E361=$AL$6,1,"")</f>
        <v/>
      </c>
      <c r="AM361" s="81">
        <f>IF(E361=$AM$6,1,"")</f>
        <v/>
      </c>
      <c r="AN361" s="81">
        <f>IF(E361=$AN$6,1,"")</f>
        <v/>
      </c>
      <c r="AO361" s="81">
        <f>IF(E361=$AO$6,1,"")</f>
        <v/>
      </c>
      <c r="AP361" s="81">
        <f>IF(E361=$AP$6,1,"")</f>
        <v/>
      </c>
      <c r="AQ361" s="81">
        <f>IF(E361=$AQ$6,1,"")</f>
        <v/>
      </c>
      <c r="AR361" s="81">
        <f>IF(E361=$AR$6,1,"")</f>
        <v/>
      </c>
      <c r="AS361" s="81" t="n"/>
    </row>
    <row r="362" ht="15.75" customHeight="1" s="80">
      <c r="A362" s="157" t="n"/>
      <c r="B362" s="124" t="n"/>
      <c r="C362" s="125" t="n"/>
      <c r="D362" s="126" t="n"/>
      <c r="E362" s="127" t="n"/>
      <c r="F362" s="128" t="n"/>
      <c r="G362" s="129">
        <f>IF(F362="","",ROUND(F362/60,2))</f>
        <v/>
      </c>
      <c r="H362" s="130" t="n"/>
      <c r="I362" s="131" t="n"/>
      <c r="J362" s="131">
        <f>IF(COUNTIF(B362:E362,"*")=0,"",IF(T362=1,"Invalid Service",IF(AND(V362=1,F362=""),"Add Session Mins",IF(AND(E362&gt;0,H362="",T362=""),"Enter Contract Rate",IF(AND(E362="IEP mtg, prep, rept",F362&gt;0),(G362*H362),IF(AND(E362&gt;0,F362&gt;0,H362&gt;0,I362=""),"Enter Travel",IF(AND(F362&gt;0,I362="Y"),(G362*H362)+$M$10,IF(AND(F362&gt;0,I362="N"),(G362*H362),H362))))))))</f>
        <v/>
      </c>
      <c r="K362" s="132">
        <f>J362</f>
        <v/>
      </c>
      <c r="L362" s="148" t="n"/>
      <c r="M362" s="148" t="n"/>
      <c r="N362" s="148" t="n"/>
      <c r="O362" s="87" t="n"/>
      <c r="P362" s="81" t="n"/>
      <c r="Q362" s="81" t="n"/>
      <c r="R362" s="81" t="n"/>
      <c r="S362" s="81" t="n"/>
      <c r="T362" s="136">
        <f>IF(AND(E362&gt;0,U362=0),1,"")</f>
        <v/>
      </c>
      <c r="U362" s="136">
        <f>SUM(X362:AR362)</f>
        <v/>
      </c>
      <c r="V362" s="136">
        <f>IF(E362=$Q$16,0,SUM(X362:AI362))</f>
        <v/>
      </c>
      <c r="W362" s="136">
        <f>SUM(AK362:AR362)</f>
        <v/>
      </c>
      <c r="X362" s="136">
        <f>IF(E362=$X$6,1,"")</f>
        <v/>
      </c>
      <c r="Y362" s="136">
        <f>IF(E362=$Y$6,1,"")</f>
        <v/>
      </c>
      <c r="Z362" s="136">
        <f>IF(E362=$Z$6,1,"")</f>
        <v/>
      </c>
      <c r="AA362" s="136">
        <f>IF(E362=$AA$6,1,"")</f>
        <v/>
      </c>
      <c r="AB362" s="136">
        <f>IF(E362=$AB$6,1,"")</f>
        <v/>
      </c>
      <c r="AC362" s="136">
        <f>IF(E362=$AC$6,1,"")</f>
        <v/>
      </c>
      <c r="AD362" s="136">
        <f>IF(E362=$AD$6,1,"")</f>
        <v/>
      </c>
      <c r="AE362" s="136">
        <f>IF(E362=$AE$6,1,"")</f>
        <v/>
      </c>
      <c r="AF362" s="136">
        <f>IF(E362=$AF$6,1,"")</f>
        <v/>
      </c>
      <c r="AG362" s="136">
        <f>IF(E362=$AG$6,1,"")</f>
        <v/>
      </c>
      <c r="AH362" s="136">
        <f>IF(E362=$AH$6,1,"")</f>
        <v/>
      </c>
      <c r="AI362" s="136">
        <f>IF(E362=$AI$6,1,"")</f>
        <v/>
      </c>
      <c r="AJ362" s="136">
        <f>IF(E362=$AJ$6,1,"")</f>
        <v/>
      </c>
      <c r="AK362" s="81">
        <f>IF(E362=$AK$6,1,"")</f>
        <v/>
      </c>
      <c r="AL362" s="81">
        <f>IF(E362=$AL$6,1,"")</f>
        <v/>
      </c>
      <c r="AM362" s="81">
        <f>IF(E362=$AM$6,1,"")</f>
        <v/>
      </c>
      <c r="AN362" s="81">
        <f>IF(E362=$AN$6,1,"")</f>
        <v/>
      </c>
      <c r="AO362" s="81">
        <f>IF(E362=$AO$6,1,"")</f>
        <v/>
      </c>
      <c r="AP362" s="81">
        <f>IF(E362=$AP$6,1,"")</f>
        <v/>
      </c>
      <c r="AQ362" s="81">
        <f>IF(E362=$AQ$6,1,"")</f>
        <v/>
      </c>
      <c r="AR362" s="81">
        <f>IF(E362=$AR$6,1,"")</f>
        <v/>
      </c>
      <c r="AS362" s="81" t="n"/>
    </row>
    <row r="363" ht="15.75" customHeight="1" s="80">
      <c r="A363" s="157" t="n"/>
      <c r="B363" s="124" t="n"/>
      <c r="C363" s="125" t="n"/>
      <c r="D363" s="126" t="n"/>
      <c r="E363" s="127" t="n"/>
      <c r="F363" s="128" t="n"/>
      <c r="G363" s="129">
        <f>IF(F363="","",ROUND(F363/60,2))</f>
        <v/>
      </c>
      <c r="H363" s="130" t="n"/>
      <c r="I363" s="131" t="n"/>
      <c r="J363" s="131">
        <f>IF(COUNTIF(B363:E363,"*")=0,"",IF(T363=1,"Invalid Service",IF(AND(V363=1,F363=""),"Add Session Mins",IF(AND(E363&gt;0,H363="",T363=""),"Enter Contract Rate",IF(AND(E363="IEP mtg, prep, rept",F363&gt;0),(G363*H363),IF(AND(E363&gt;0,F363&gt;0,H363&gt;0,I363=""),"Enter Travel",IF(AND(F363&gt;0,I363="Y"),(G363*H363)+$M$10,IF(AND(F363&gt;0,I363="N"),(G363*H363),H363))))))))</f>
        <v/>
      </c>
      <c r="K363" s="132">
        <f>J363</f>
        <v/>
      </c>
      <c r="L363" s="148" t="n"/>
      <c r="M363" s="148" t="n"/>
      <c r="N363" s="148" t="n"/>
      <c r="O363" s="87" t="n"/>
      <c r="P363" s="81" t="n"/>
      <c r="Q363" s="81" t="n"/>
      <c r="R363" s="81" t="n"/>
      <c r="S363" s="81" t="n"/>
      <c r="T363" s="136">
        <f>IF(AND(E363&gt;0,U363=0),1,"")</f>
        <v/>
      </c>
      <c r="U363" s="136">
        <f>SUM(X363:AR363)</f>
        <v/>
      </c>
      <c r="V363" s="136">
        <f>IF(E363=$Q$16,0,SUM(X363:AI363))</f>
        <v/>
      </c>
      <c r="W363" s="136">
        <f>SUM(AK363:AR363)</f>
        <v/>
      </c>
      <c r="X363" s="136">
        <f>IF(E363=$X$6,1,"")</f>
        <v/>
      </c>
      <c r="Y363" s="136">
        <f>IF(E363=$Y$6,1,"")</f>
        <v/>
      </c>
      <c r="Z363" s="136">
        <f>IF(E363=$Z$6,1,"")</f>
        <v/>
      </c>
      <c r="AA363" s="136">
        <f>IF(E363=$AA$6,1,"")</f>
        <v/>
      </c>
      <c r="AB363" s="136">
        <f>IF(E363=$AB$6,1,"")</f>
        <v/>
      </c>
      <c r="AC363" s="136">
        <f>IF(E363=$AC$6,1,"")</f>
        <v/>
      </c>
      <c r="AD363" s="136">
        <f>IF(E363=$AD$6,1,"")</f>
        <v/>
      </c>
      <c r="AE363" s="136">
        <f>IF(E363=$AE$6,1,"")</f>
        <v/>
      </c>
      <c r="AF363" s="136">
        <f>IF(E363=$AF$6,1,"")</f>
        <v/>
      </c>
      <c r="AG363" s="136">
        <f>IF(E363=$AG$6,1,"")</f>
        <v/>
      </c>
      <c r="AH363" s="136">
        <f>IF(E363=$AH$6,1,"")</f>
        <v/>
      </c>
      <c r="AI363" s="136">
        <f>IF(E363=$AI$6,1,"")</f>
        <v/>
      </c>
      <c r="AJ363" s="136">
        <f>IF(E363=$AJ$6,1,"")</f>
        <v/>
      </c>
      <c r="AK363" s="81">
        <f>IF(E363=$AK$6,1,"")</f>
        <v/>
      </c>
      <c r="AL363" s="81">
        <f>IF(E363=$AL$6,1,"")</f>
        <v/>
      </c>
      <c r="AM363" s="81">
        <f>IF(E363=$AM$6,1,"")</f>
        <v/>
      </c>
      <c r="AN363" s="81">
        <f>IF(E363=$AN$6,1,"")</f>
        <v/>
      </c>
      <c r="AO363" s="81">
        <f>IF(E363=$AO$6,1,"")</f>
        <v/>
      </c>
      <c r="AP363" s="81">
        <f>IF(E363=$AP$6,1,"")</f>
        <v/>
      </c>
      <c r="AQ363" s="81">
        <f>IF(E363=$AQ$6,1,"")</f>
        <v/>
      </c>
      <c r="AR363" s="81">
        <f>IF(E363=$AR$6,1,"")</f>
        <v/>
      </c>
      <c r="AS363" s="81" t="n"/>
    </row>
    <row r="364" ht="15.75" customHeight="1" s="80">
      <c r="A364" s="157" t="n"/>
      <c r="B364" s="124" t="n"/>
      <c r="C364" s="125" t="n"/>
      <c r="D364" s="126" t="n"/>
      <c r="E364" s="127" t="n"/>
      <c r="F364" s="128" t="n"/>
      <c r="G364" s="129">
        <f>IF(F364="","",ROUND(F364/60,2))</f>
        <v/>
      </c>
      <c r="H364" s="130" t="n"/>
      <c r="I364" s="131" t="n"/>
      <c r="J364" s="131">
        <f>IF(COUNTIF(B364:E364,"*")=0,"",IF(T364=1,"Invalid Service",IF(AND(V364=1,F364=""),"Add Session Mins",IF(AND(E364&gt;0,H364="",T364=""),"Enter Contract Rate",IF(AND(E364="IEP mtg, prep, rept",F364&gt;0),(G364*H364),IF(AND(E364&gt;0,F364&gt;0,H364&gt;0,I364=""),"Enter Travel",IF(AND(F364&gt;0,I364="Y"),(G364*H364)+$M$10,IF(AND(F364&gt;0,I364="N"),(G364*H364),H364))))))))</f>
        <v/>
      </c>
      <c r="K364" s="132">
        <f>J364</f>
        <v/>
      </c>
      <c r="L364" s="148" t="n"/>
      <c r="M364" s="148" t="n"/>
      <c r="N364" s="148" t="n"/>
      <c r="O364" s="87" t="n"/>
      <c r="P364" s="81" t="n"/>
      <c r="Q364" s="81" t="n"/>
      <c r="R364" s="81" t="n"/>
      <c r="S364" s="81" t="n"/>
      <c r="T364" s="136">
        <f>IF(AND(E364&gt;0,U364=0),1,"")</f>
        <v/>
      </c>
      <c r="U364" s="136">
        <f>SUM(X364:AR364)</f>
        <v/>
      </c>
      <c r="V364" s="136">
        <f>IF(E364=$Q$16,0,SUM(X364:AI364))</f>
        <v/>
      </c>
      <c r="W364" s="136">
        <f>SUM(AK364:AR364)</f>
        <v/>
      </c>
      <c r="X364" s="136">
        <f>IF(E364=$X$6,1,"")</f>
        <v/>
      </c>
      <c r="Y364" s="136">
        <f>IF(E364=$Y$6,1,"")</f>
        <v/>
      </c>
      <c r="Z364" s="136">
        <f>IF(E364=$Z$6,1,"")</f>
        <v/>
      </c>
      <c r="AA364" s="136">
        <f>IF(E364=$AA$6,1,"")</f>
        <v/>
      </c>
      <c r="AB364" s="136">
        <f>IF(E364=$AB$6,1,"")</f>
        <v/>
      </c>
      <c r="AC364" s="136">
        <f>IF(E364=$AC$6,1,"")</f>
        <v/>
      </c>
      <c r="AD364" s="136">
        <f>IF(E364=$AD$6,1,"")</f>
        <v/>
      </c>
      <c r="AE364" s="136">
        <f>IF(E364=$AE$6,1,"")</f>
        <v/>
      </c>
      <c r="AF364" s="136">
        <f>IF(E364=$AF$6,1,"")</f>
        <v/>
      </c>
      <c r="AG364" s="136">
        <f>IF(E364=$AG$6,1,"")</f>
        <v/>
      </c>
      <c r="AH364" s="136">
        <f>IF(E364=$AH$6,1,"")</f>
        <v/>
      </c>
      <c r="AI364" s="136">
        <f>IF(E364=$AI$6,1,"")</f>
        <v/>
      </c>
      <c r="AJ364" s="136">
        <f>IF(E364=$AJ$6,1,"")</f>
        <v/>
      </c>
      <c r="AK364" s="81">
        <f>IF(E364=$AK$6,1,"")</f>
        <v/>
      </c>
      <c r="AL364" s="81">
        <f>IF(E364=$AL$6,1,"")</f>
        <v/>
      </c>
      <c r="AM364" s="81">
        <f>IF(E364=$AM$6,1,"")</f>
        <v/>
      </c>
      <c r="AN364" s="81">
        <f>IF(E364=$AN$6,1,"")</f>
        <v/>
      </c>
      <c r="AO364" s="81">
        <f>IF(E364=$AO$6,1,"")</f>
        <v/>
      </c>
      <c r="AP364" s="81">
        <f>IF(E364=$AP$6,1,"")</f>
        <v/>
      </c>
      <c r="AQ364" s="81">
        <f>IF(E364=$AQ$6,1,"")</f>
        <v/>
      </c>
      <c r="AR364" s="81">
        <f>IF(E364=$AR$6,1,"")</f>
        <v/>
      </c>
      <c r="AS364" s="81" t="n"/>
    </row>
    <row r="365" ht="15.75" customHeight="1" s="80">
      <c r="A365" s="157" t="n"/>
      <c r="B365" s="124" t="n"/>
      <c r="C365" s="125" t="n"/>
      <c r="D365" s="126" t="n"/>
      <c r="E365" s="127" t="n"/>
      <c r="F365" s="128" t="n"/>
      <c r="G365" s="129">
        <f>IF(F365="","",ROUND(F365/60,2))</f>
        <v/>
      </c>
      <c r="H365" s="130" t="n"/>
      <c r="I365" s="131" t="n"/>
      <c r="J365" s="131">
        <f>IF(COUNTIF(B365:E365,"*")=0,"",IF(T365=1,"Invalid Service",IF(AND(V365=1,F365=""),"Add Session Mins",IF(AND(E365&gt;0,H365="",T365=""),"Enter Contract Rate",IF(AND(E365="IEP mtg, prep, rept",F365&gt;0),(G365*H365),IF(AND(E365&gt;0,F365&gt;0,H365&gt;0,I365=""),"Enter Travel",IF(AND(F365&gt;0,I365="Y"),(G365*H365)+$M$10,IF(AND(F365&gt;0,I365="N"),(G365*H365),H365))))))))</f>
        <v/>
      </c>
      <c r="K365" s="132">
        <f>J365</f>
        <v/>
      </c>
      <c r="L365" s="148" t="n"/>
      <c r="M365" s="148" t="n"/>
      <c r="N365" s="148" t="n"/>
      <c r="O365" s="87" t="n"/>
      <c r="P365" s="81" t="n"/>
      <c r="Q365" s="81" t="n"/>
      <c r="R365" s="81" t="n"/>
      <c r="S365" s="81" t="n"/>
      <c r="T365" s="136">
        <f>IF(AND(E365&gt;0,U365=0),1,"")</f>
        <v/>
      </c>
      <c r="U365" s="136">
        <f>SUM(X365:AR365)</f>
        <v/>
      </c>
      <c r="V365" s="136">
        <f>IF(E365=$Q$16,0,SUM(X365:AI365))</f>
        <v/>
      </c>
      <c r="W365" s="136">
        <f>SUM(AK365:AR365)</f>
        <v/>
      </c>
      <c r="X365" s="136">
        <f>IF(E365=$X$6,1,"")</f>
        <v/>
      </c>
      <c r="Y365" s="136">
        <f>IF(E365=$Y$6,1,"")</f>
        <v/>
      </c>
      <c r="Z365" s="136">
        <f>IF(E365=$Z$6,1,"")</f>
        <v/>
      </c>
      <c r="AA365" s="136">
        <f>IF(E365=$AA$6,1,"")</f>
        <v/>
      </c>
      <c r="AB365" s="136">
        <f>IF(E365=$AB$6,1,"")</f>
        <v/>
      </c>
      <c r="AC365" s="136">
        <f>IF(E365=$AC$6,1,"")</f>
        <v/>
      </c>
      <c r="AD365" s="136">
        <f>IF(E365=$AD$6,1,"")</f>
        <v/>
      </c>
      <c r="AE365" s="136">
        <f>IF(E365=$AE$6,1,"")</f>
        <v/>
      </c>
      <c r="AF365" s="136">
        <f>IF(E365=$AF$6,1,"")</f>
        <v/>
      </c>
      <c r="AG365" s="136">
        <f>IF(E365=$AG$6,1,"")</f>
        <v/>
      </c>
      <c r="AH365" s="136">
        <f>IF(E365=$AH$6,1,"")</f>
        <v/>
      </c>
      <c r="AI365" s="136">
        <f>IF(E365=$AI$6,1,"")</f>
        <v/>
      </c>
      <c r="AJ365" s="136">
        <f>IF(E365=$AJ$6,1,"")</f>
        <v/>
      </c>
      <c r="AK365" s="81">
        <f>IF(E365=$AK$6,1,"")</f>
        <v/>
      </c>
      <c r="AL365" s="81">
        <f>IF(E365=$AL$6,1,"")</f>
        <v/>
      </c>
      <c r="AM365" s="81">
        <f>IF(E365=$AM$6,1,"")</f>
        <v/>
      </c>
      <c r="AN365" s="81">
        <f>IF(E365=$AN$6,1,"")</f>
        <v/>
      </c>
      <c r="AO365" s="81">
        <f>IF(E365=$AO$6,1,"")</f>
        <v/>
      </c>
      <c r="AP365" s="81">
        <f>IF(E365=$AP$6,1,"")</f>
        <v/>
      </c>
      <c r="AQ365" s="81">
        <f>IF(E365=$AQ$6,1,"")</f>
        <v/>
      </c>
      <c r="AR365" s="81">
        <f>IF(E365=$AR$6,1,"")</f>
        <v/>
      </c>
      <c r="AS365" s="81" t="n"/>
    </row>
    <row r="366" ht="15.75" customHeight="1" s="80">
      <c r="A366" s="157" t="n"/>
      <c r="B366" s="124" t="n"/>
      <c r="C366" s="125" t="n"/>
      <c r="D366" s="126" t="n"/>
      <c r="E366" s="127" t="n"/>
      <c r="F366" s="128" t="n"/>
      <c r="G366" s="129">
        <f>IF(F366="","",ROUND(F366/60,2))</f>
        <v/>
      </c>
      <c r="H366" s="130" t="n"/>
      <c r="I366" s="131" t="n"/>
      <c r="J366" s="131">
        <f>IF(COUNTIF(B366:E366,"*")=0,"",IF(T366=1,"Invalid Service",IF(AND(V366=1,F366=""),"Add Session Mins",IF(AND(E366&gt;0,H366="",T366=""),"Enter Contract Rate",IF(AND(E366="IEP mtg, prep, rept",F366&gt;0),(G366*H366),IF(AND(E366&gt;0,F366&gt;0,H366&gt;0,I366=""),"Enter Travel",IF(AND(F366&gt;0,I366="Y"),(G366*H366)+$M$10,IF(AND(F366&gt;0,I366="N"),(G366*H366),H366))))))))</f>
        <v/>
      </c>
      <c r="K366" s="132">
        <f>J366</f>
        <v/>
      </c>
      <c r="L366" s="148" t="n"/>
      <c r="M366" s="148" t="n"/>
      <c r="N366" s="148" t="n"/>
      <c r="O366" s="87" t="n"/>
      <c r="P366" s="81" t="n"/>
      <c r="Q366" s="81" t="n"/>
      <c r="R366" s="81" t="n"/>
      <c r="S366" s="81" t="n"/>
      <c r="T366" s="136">
        <f>IF(AND(E366&gt;0,U366=0),1,"")</f>
        <v/>
      </c>
      <c r="U366" s="136">
        <f>SUM(X366:AR366)</f>
        <v/>
      </c>
      <c r="V366" s="136">
        <f>IF(E366=$Q$16,0,SUM(X366:AI366))</f>
        <v/>
      </c>
      <c r="W366" s="136">
        <f>SUM(AK366:AR366)</f>
        <v/>
      </c>
      <c r="X366" s="136">
        <f>IF(E366=$X$6,1,"")</f>
        <v/>
      </c>
      <c r="Y366" s="136">
        <f>IF(E366=$Y$6,1,"")</f>
        <v/>
      </c>
      <c r="Z366" s="136">
        <f>IF(E366=$Z$6,1,"")</f>
        <v/>
      </c>
      <c r="AA366" s="136">
        <f>IF(E366=$AA$6,1,"")</f>
        <v/>
      </c>
      <c r="AB366" s="136">
        <f>IF(E366=$AB$6,1,"")</f>
        <v/>
      </c>
      <c r="AC366" s="136">
        <f>IF(E366=$AC$6,1,"")</f>
        <v/>
      </c>
      <c r="AD366" s="136">
        <f>IF(E366=$AD$6,1,"")</f>
        <v/>
      </c>
      <c r="AE366" s="136">
        <f>IF(E366=$AE$6,1,"")</f>
        <v/>
      </c>
      <c r="AF366" s="136">
        <f>IF(E366=$AF$6,1,"")</f>
        <v/>
      </c>
      <c r="AG366" s="136">
        <f>IF(E366=$AG$6,1,"")</f>
        <v/>
      </c>
      <c r="AH366" s="136">
        <f>IF(E366=$AH$6,1,"")</f>
        <v/>
      </c>
      <c r="AI366" s="136">
        <f>IF(E366=$AI$6,1,"")</f>
        <v/>
      </c>
      <c r="AJ366" s="136">
        <f>IF(E366=$AJ$6,1,"")</f>
        <v/>
      </c>
      <c r="AK366" s="81">
        <f>IF(E366=$AK$6,1,"")</f>
        <v/>
      </c>
      <c r="AL366" s="81">
        <f>IF(E366=$AL$6,1,"")</f>
        <v/>
      </c>
      <c r="AM366" s="81">
        <f>IF(E366=$AM$6,1,"")</f>
        <v/>
      </c>
      <c r="AN366" s="81">
        <f>IF(E366=$AN$6,1,"")</f>
        <v/>
      </c>
      <c r="AO366" s="81">
        <f>IF(E366=$AO$6,1,"")</f>
        <v/>
      </c>
      <c r="AP366" s="81">
        <f>IF(E366=$AP$6,1,"")</f>
        <v/>
      </c>
      <c r="AQ366" s="81">
        <f>IF(E366=$AQ$6,1,"")</f>
        <v/>
      </c>
      <c r="AR366" s="81">
        <f>IF(E366=$AR$6,1,"")</f>
        <v/>
      </c>
      <c r="AS366" s="81" t="n"/>
    </row>
    <row r="367" ht="15.75" customHeight="1" s="80">
      <c r="A367" s="157" t="n"/>
      <c r="B367" s="124" t="n"/>
      <c r="C367" s="125" t="n"/>
      <c r="D367" s="126" t="n"/>
      <c r="E367" s="127" t="n"/>
      <c r="F367" s="128" t="n"/>
      <c r="G367" s="129">
        <f>IF(F367="","",ROUND(F367/60,2))</f>
        <v/>
      </c>
      <c r="H367" s="130" t="n"/>
      <c r="I367" s="131" t="n"/>
      <c r="J367" s="131">
        <f>IF(COUNTIF(B367:E367,"*")=0,"",IF(T367=1,"Invalid Service",IF(AND(V367=1,F367=""),"Add Session Mins",IF(AND(E367&gt;0,H367="",T367=""),"Enter Contract Rate",IF(AND(E367="IEP mtg, prep, rept",F367&gt;0),(G367*H367),IF(AND(E367&gt;0,F367&gt;0,H367&gt;0,I367=""),"Enter Travel",IF(AND(F367&gt;0,I367="Y"),(G367*H367)+$M$10,IF(AND(F367&gt;0,I367="N"),(G367*H367),H367))))))))</f>
        <v/>
      </c>
      <c r="K367" s="132">
        <f>J367</f>
        <v/>
      </c>
      <c r="L367" s="148" t="n"/>
      <c r="M367" s="148" t="n"/>
      <c r="N367" s="148" t="n"/>
      <c r="O367" s="87" t="n"/>
      <c r="P367" s="81" t="n"/>
      <c r="Q367" s="81" t="n"/>
      <c r="R367" s="81" t="n"/>
      <c r="S367" s="81" t="n"/>
      <c r="T367" s="136">
        <f>IF(AND(E367&gt;0,U367=0),1,"")</f>
        <v/>
      </c>
      <c r="U367" s="136">
        <f>SUM(X367:AR367)</f>
        <v/>
      </c>
      <c r="V367" s="136">
        <f>IF(E367=$Q$16,0,SUM(X367:AI367))</f>
        <v/>
      </c>
      <c r="W367" s="136">
        <f>SUM(AK367:AR367)</f>
        <v/>
      </c>
      <c r="X367" s="136">
        <f>IF(E367=$X$6,1,"")</f>
        <v/>
      </c>
      <c r="Y367" s="136">
        <f>IF(E367=$Y$6,1,"")</f>
        <v/>
      </c>
      <c r="Z367" s="136">
        <f>IF(E367=$Z$6,1,"")</f>
        <v/>
      </c>
      <c r="AA367" s="136">
        <f>IF(E367=$AA$6,1,"")</f>
        <v/>
      </c>
      <c r="AB367" s="136">
        <f>IF(E367=$AB$6,1,"")</f>
        <v/>
      </c>
      <c r="AC367" s="136">
        <f>IF(E367=$AC$6,1,"")</f>
        <v/>
      </c>
      <c r="AD367" s="136">
        <f>IF(E367=$AD$6,1,"")</f>
        <v/>
      </c>
      <c r="AE367" s="136">
        <f>IF(E367=$AE$6,1,"")</f>
        <v/>
      </c>
      <c r="AF367" s="136">
        <f>IF(E367=$AF$6,1,"")</f>
        <v/>
      </c>
      <c r="AG367" s="136">
        <f>IF(E367=$AG$6,1,"")</f>
        <v/>
      </c>
      <c r="AH367" s="136">
        <f>IF(E367=$AH$6,1,"")</f>
        <v/>
      </c>
      <c r="AI367" s="136">
        <f>IF(E367=$AI$6,1,"")</f>
        <v/>
      </c>
      <c r="AJ367" s="136">
        <f>IF(E367=$AJ$6,1,"")</f>
        <v/>
      </c>
      <c r="AK367" s="81">
        <f>IF(E367=$AK$6,1,"")</f>
        <v/>
      </c>
      <c r="AL367" s="81">
        <f>IF(E367=$AL$6,1,"")</f>
        <v/>
      </c>
      <c r="AM367" s="81">
        <f>IF(E367=$AM$6,1,"")</f>
        <v/>
      </c>
      <c r="AN367" s="81">
        <f>IF(E367=$AN$6,1,"")</f>
        <v/>
      </c>
      <c r="AO367" s="81">
        <f>IF(E367=$AO$6,1,"")</f>
        <v/>
      </c>
      <c r="AP367" s="81">
        <f>IF(E367=$AP$6,1,"")</f>
        <v/>
      </c>
      <c r="AQ367" s="81">
        <f>IF(E367=$AQ$6,1,"")</f>
        <v/>
      </c>
      <c r="AR367" s="81">
        <f>IF(E367=$AR$6,1,"")</f>
        <v/>
      </c>
      <c r="AS367" s="81" t="n"/>
    </row>
    <row r="368" ht="15.75" customHeight="1" s="80">
      <c r="A368" s="157" t="n"/>
      <c r="B368" s="124" t="n"/>
      <c r="C368" s="125" t="n"/>
      <c r="D368" s="126" t="n"/>
      <c r="E368" s="127" t="n"/>
      <c r="F368" s="128" t="n"/>
      <c r="G368" s="129">
        <f>IF(F368="","",ROUND(F368/60,2))</f>
        <v/>
      </c>
      <c r="H368" s="130" t="n"/>
      <c r="I368" s="131" t="n"/>
      <c r="J368" s="131">
        <f>IF(COUNTIF(B368:E368,"*")=0,"",IF(T368=1,"Invalid Service",IF(AND(V368=1,F368=""),"Add Session Mins",IF(AND(E368&gt;0,H368="",T368=""),"Enter Contract Rate",IF(AND(E368="IEP mtg, prep, rept",F368&gt;0),(G368*H368),IF(AND(E368&gt;0,F368&gt;0,H368&gt;0,I368=""),"Enter Travel",IF(AND(F368&gt;0,I368="Y"),(G368*H368)+$M$10,IF(AND(F368&gt;0,I368="N"),(G368*H368),H368))))))))</f>
        <v/>
      </c>
      <c r="K368" s="132">
        <f>J368</f>
        <v/>
      </c>
      <c r="L368" s="148" t="n"/>
      <c r="M368" s="148" t="n"/>
      <c r="N368" s="148" t="n"/>
      <c r="O368" s="87" t="n"/>
      <c r="P368" s="81" t="n"/>
      <c r="Q368" s="81" t="n"/>
      <c r="R368" s="81" t="n"/>
      <c r="S368" s="81" t="n"/>
      <c r="T368" s="136">
        <f>IF(AND(E368&gt;0,U368=0),1,"")</f>
        <v/>
      </c>
      <c r="U368" s="136">
        <f>SUM(X368:AR368)</f>
        <v/>
      </c>
      <c r="V368" s="136">
        <f>IF(E368=$Q$16,0,SUM(X368:AI368))</f>
        <v/>
      </c>
      <c r="W368" s="136">
        <f>SUM(AK368:AR368)</f>
        <v/>
      </c>
      <c r="X368" s="136">
        <f>IF(E368=$X$6,1,"")</f>
        <v/>
      </c>
      <c r="Y368" s="136">
        <f>IF(E368=$Y$6,1,"")</f>
        <v/>
      </c>
      <c r="Z368" s="136">
        <f>IF(E368=$Z$6,1,"")</f>
        <v/>
      </c>
      <c r="AA368" s="136">
        <f>IF(E368=$AA$6,1,"")</f>
        <v/>
      </c>
      <c r="AB368" s="136">
        <f>IF(E368=$AB$6,1,"")</f>
        <v/>
      </c>
      <c r="AC368" s="136">
        <f>IF(E368=$AC$6,1,"")</f>
        <v/>
      </c>
      <c r="AD368" s="136">
        <f>IF(E368=$AD$6,1,"")</f>
        <v/>
      </c>
      <c r="AE368" s="136">
        <f>IF(E368=$AE$6,1,"")</f>
        <v/>
      </c>
      <c r="AF368" s="136">
        <f>IF(E368=$AF$6,1,"")</f>
        <v/>
      </c>
      <c r="AG368" s="136">
        <f>IF(E368=$AG$6,1,"")</f>
        <v/>
      </c>
      <c r="AH368" s="136">
        <f>IF(E368=$AH$6,1,"")</f>
        <v/>
      </c>
      <c r="AI368" s="136">
        <f>IF(E368=$AI$6,1,"")</f>
        <v/>
      </c>
      <c r="AJ368" s="136">
        <f>IF(E368=$AJ$6,1,"")</f>
        <v/>
      </c>
      <c r="AK368" s="81">
        <f>IF(E368=$AK$6,1,"")</f>
        <v/>
      </c>
      <c r="AL368" s="81">
        <f>IF(E368=$AL$6,1,"")</f>
        <v/>
      </c>
      <c r="AM368" s="81">
        <f>IF(E368=$AM$6,1,"")</f>
        <v/>
      </c>
      <c r="AN368" s="81">
        <f>IF(E368=$AN$6,1,"")</f>
        <v/>
      </c>
      <c r="AO368" s="81">
        <f>IF(E368=$AO$6,1,"")</f>
        <v/>
      </c>
      <c r="AP368" s="81">
        <f>IF(E368=$AP$6,1,"")</f>
        <v/>
      </c>
      <c r="AQ368" s="81">
        <f>IF(E368=$AQ$6,1,"")</f>
        <v/>
      </c>
      <c r="AR368" s="81">
        <f>IF(E368=$AR$6,1,"")</f>
        <v/>
      </c>
      <c r="AS368" s="81" t="n"/>
    </row>
    <row r="369" ht="15.75" customHeight="1" s="80">
      <c r="A369" s="157" t="n"/>
      <c r="B369" s="124" t="n"/>
      <c r="C369" s="125" t="n"/>
      <c r="D369" s="126" t="n"/>
      <c r="E369" s="127" t="n"/>
      <c r="F369" s="128" t="n"/>
      <c r="G369" s="129">
        <f>IF(F369="","",ROUND(F369/60,2))</f>
        <v/>
      </c>
      <c r="H369" s="130" t="n"/>
      <c r="I369" s="131" t="n"/>
      <c r="J369" s="131">
        <f>IF(COUNTIF(B369:E369,"*")=0,"",IF(T369=1,"Invalid Service",IF(AND(V369=1,F369=""),"Add Session Mins",IF(AND(E369&gt;0,H369="",T369=""),"Enter Contract Rate",IF(AND(E369="IEP mtg, prep, rept",F369&gt;0),(G369*H369),IF(AND(E369&gt;0,F369&gt;0,H369&gt;0,I369=""),"Enter Travel",IF(AND(F369&gt;0,I369="Y"),(G369*H369)+$M$10,IF(AND(F369&gt;0,I369="N"),(G369*H369),H369))))))))</f>
        <v/>
      </c>
      <c r="K369" s="132">
        <f>J369</f>
        <v/>
      </c>
      <c r="L369" s="148" t="n"/>
      <c r="M369" s="148" t="n"/>
      <c r="N369" s="148" t="n"/>
      <c r="O369" s="87" t="n"/>
      <c r="P369" s="81" t="n"/>
      <c r="Q369" s="81" t="n"/>
      <c r="R369" s="81" t="n"/>
      <c r="S369" s="81" t="n"/>
      <c r="T369" s="136">
        <f>IF(AND(E369&gt;0,U369=0),1,"")</f>
        <v/>
      </c>
      <c r="U369" s="136">
        <f>SUM(X369:AR369)</f>
        <v/>
      </c>
      <c r="V369" s="136">
        <f>IF(E369=$Q$16,0,SUM(X369:AI369))</f>
        <v/>
      </c>
      <c r="W369" s="136">
        <f>SUM(AK369:AR369)</f>
        <v/>
      </c>
      <c r="X369" s="136">
        <f>IF(E369=$X$6,1,"")</f>
        <v/>
      </c>
      <c r="Y369" s="136">
        <f>IF(E369=$Y$6,1,"")</f>
        <v/>
      </c>
      <c r="Z369" s="136">
        <f>IF(E369=$Z$6,1,"")</f>
        <v/>
      </c>
      <c r="AA369" s="136">
        <f>IF(E369=$AA$6,1,"")</f>
        <v/>
      </c>
      <c r="AB369" s="136">
        <f>IF(E369=$AB$6,1,"")</f>
        <v/>
      </c>
      <c r="AC369" s="136">
        <f>IF(E369=$AC$6,1,"")</f>
        <v/>
      </c>
      <c r="AD369" s="136">
        <f>IF(E369=$AD$6,1,"")</f>
        <v/>
      </c>
      <c r="AE369" s="136">
        <f>IF(E369=$AE$6,1,"")</f>
        <v/>
      </c>
      <c r="AF369" s="136">
        <f>IF(E369=$AF$6,1,"")</f>
        <v/>
      </c>
      <c r="AG369" s="136">
        <f>IF(E369=$AG$6,1,"")</f>
        <v/>
      </c>
      <c r="AH369" s="136">
        <f>IF(E369=$AH$6,1,"")</f>
        <v/>
      </c>
      <c r="AI369" s="136">
        <f>IF(E369=$AI$6,1,"")</f>
        <v/>
      </c>
      <c r="AJ369" s="136">
        <f>IF(E369=$AJ$6,1,"")</f>
        <v/>
      </c>
      <c r="AK369" s="81">
        <f>IF(E369=$AK$6,1,"")</f>
        <v/>
      </c>
      <c r="AL369" s="81">
        <f>IF(E369=$AL$6,1,"")</f>
        <v/>
      </c>
      <c r="AM369" s="81">
        <f>IF(E369=$AM$6,1,"")</f>
        <v/>
      </c>
      <c r="AN369" s="81">
        <f>IF(E369=$AN$6,1,"")</f>
        <v/>
      </c>
      <c r="AO369" s="81">
        <f>IF(E369=$AO$6,1,"")</f>
        <v/>
      </c>
      <c r="AP369" s="81">
        <f>IF(E369=$AP$6,1,"")</f>
        <v/>
      </c>
      <c r="AQ369" s="81">
        <f>IF(E369=$AQ$6,1,"")</f>
        <v/>
      </c>
      <c r="AR369" s="81">
        <f>IF(E369=$AR$6,1,"")</f>
        <v/>
      </c>
      <c r="AS369" s="81" t="n"/>
    </row>
    <row r="370" ht="15.75" customHeight="1" s="80">
      <c r="A370" s="157" t="n"/>
      <c r="B370" s="124" t="n"/>
      <c r="C370" s="125" t="n"/>
      <c r="D370" s="126" t="n"/>
      <c r="E370" s="127" t="n"/>
      <c r="F370" s="128" t="n"/>
      <c r="G370" s="129">
        <f>IF(F370="","",ROUND(F370/60,2))</f>
        <v/>
      </c>
      <c r="H370" s="130" t="n"/>
      <c r="I370" s="131" t="n"/>
      <c r="J370" s="131">
        <f>IF(COUNTIF(B370:E370,"*")=0,"",IF(T370=1,"Invalid Service",IF(AND(V370=1,F370=""),"Add Session Mins",IF(AND(E370&gt;0,H370="",T370=""),"Enter Contract Rate",IF(AND(E370="IEP mtg, prep, rept",F370&gt;0),(G370*H370),IF(AND(E370&gt;0,F370&gt;0,H370&gt;0,I370=""),"Enter Travel",IF(AND(F370&gt;0,I370="Y"),(G370*H370)+$M$10,IF(AND(F370&gt;0,I370="N"),(G370*H370),H370))))))))</f>
        <v/>
      </c>
      <c r="K370" s="132">
        <f>J370</f>
        <v/>
      </c>
      <c r="L370" s="148" t="n"/>
      <c r="M370" s="148" t="n"/>
      <c r="N370" s="148" t="n"/>
      <c r="O370" s="87" t="n"/>
      <c r="P370" s="81" t="n"/>
      <c r="Q370" s="81" t="n"/>
      <c r="R370" s="81" t="n"/>
      <c r="S370" s="81" t="n"/>
      <c r="T370" s="136">
        <f>IF(AND(E370&gt;0,U370=0),1,"")</f>
        <v/>
      </c>
      <c r="U370" s="136">
        <f>SUM(X370:AR370)</f>
        <v/>
      </c>
      <c r="V370" s="136">
        <f>IF(E370=$Q$16,0,SUM(X370:AI370))</f>
        <v/>
      </c>
      <c r="W370" s="136">
        <f>SUM(AK370:AR370)</f>
        <v/>
      </c>
      <c r="X370" s="136">
        <f>IF(E370=$X$6,1,"")</f>
        <v/>
      </c>
      <c r="Y370" s="136">
        <f>IF(E370=$Y$6,1,"")</f>
        <v/>
      </c>
      <c r="Z370" s="136">
        <f>IF(E370=$Z$6,1,"")</f>
        <v/>
      </c>
      <c r="AA370" s="136">
        <f>IF(E370=$AA$6,1,"")</f>
        <v/>
      </c>
      <c r="AB370" s="136">
        <f>IF(E370=$AB$6,1,"")</f>
        <v/>
      </c>
      <c r="AC370" s="136">
        <f>IF(E370=$AC$6,1,"")</f>
        <v/>
      </c>
      <c r="AD370" s="136">
        <f>IF(E370=$AD$6,1,"")</f>
        <v/>
      </c>
      <c r="AE370" s="136">
        <f>IF(E370=$AE$6,1,"")</f>
        <v/>
      </c>
      <c r="AF370" s="136">
        <f>IF(E370=$AF$6,1,"")</f>
        <v/>
      </c>
      <c r="AG370" s="136">
        <f>IF(E370=$AG$6,1,"")</f>
        <v/>
      </c>
      <c r="AH370" s="136">
        <f>IF(E370=$AH$6,1,"")</f>
        <v/>
      </c>
      <c r="AI370" s="136">
        <f>IF(E370=$AI$6,1,"")</f>
        <v/>
      </c>
      <c r="AJ370" s="136">
        <f>IF(E370=$AJ$6,1,"")</f>
        <v/>
      </c>
      <c r="AK370" s="81">
        <f>IF(E370=$AK$6,1,"")</f>
        <v/>
      </c>
      <c r="AL370" s="81">
        <f>IF(E370=$AL$6,1,"")</f>
        <v/>
      </c>
      <c r="AM370" s="81">
        <f>IF(E370=$AM$6,1,"")</f>
        <v/>
      </c>
      <c r="AN370" s="81">
        <f>IF(E370=$AN$6,1,"")</f>
        <v/>
      </c>
      <c r="AO370" s="81">
        <f>IF(E370=$AO$6,1,"")</f>
        <v/>
      </c>
      <c r="AP370" s="81">
        <f>IF(E370=$AP$6,1,"")</f>
        <v/>
      </c>
      <c r="AQ370" s="81">
        <f>IF(E370=$AQ$6,1,"")</f>
        <v/>
      </c>
      <c r="AR370" s="81">
        <f>IF(E370=$AR$6,1,"")</f>
        <v/>
      </c>
      <c r="AS370" s="81" t="n"/>
    </row>
    <row r="371" ht="15.75" customHeight="1" s="80">
      <c r="A371" s="157" t="n"/>
      <c r="B371" s="124" t="n"/>
      <c r="C371" s="125" t="n"/>
      <c r="D371" s="126" t="n"/>
      <c r="E371" s="127" t="n"/>
      <c r="F371" s="128" t="n"/>
      <c r="G371" s="129">
        <f>IF(F371="","",ROUND(F371/60,2))</f>
        <v/>
      </c>
      <c r="H371" s="130" t="n"/>
      <c r="I371" s="131" t="n"/>
      <c r="J371" s="131">
        <f>IF(COUNTIF(B371:E371,"*")=0,"",IF(T371=1,"Invalid Service",IF(AND(V371=1,F371=""),"Add Session Mins",IF(AND(E371&gt;0,H371="",T371=""),"Enter Contract Rate",IF(AND(E371="IEP mtg, prep, rept",F371&gt;0),(G371*H371),IF(AND(E371&gt;0,F371&gt;0,H371&gt;0,I371=""),"Enter Travel",IF(AND(F371&gt;0,I371="Y"),(G371*H371)+$M$10,IF(AND(F371&gt;0,I371="N"),(G371*H371),H371))))))))</f>
        <v/>
      </c>
      <c r="K371" s="132">
        <f>J371</f>
        <v/>
      </c>
      <c r="L371" s="148" t="n"/>
      <c r="M371" s="148" t="n"/>
      <c r="N371" s="148" t="n"/>
      <c r="O371" s="87" t="n"/>
      <c r="P371" s="81" t="n"/>
      <c r="Q371" s="81" t="n"/>
      <c r="R371" s="81" t="n"/>
      <c r="S371" s="81" t="n"/>
      <c r="T371" s="136">
        <f>IF(AND(E371&gt;0,U371=0),1,"")</f>
        <v/>
      </c>
      <c r="U371" s="136">
        <f>SUM(X371:AR371)</f>
        <v/>
      </c>
      <c r="V371" s="136">
        <f>IF(E371=$Q$16,0,SUM(X371:AI371))</f>
        <v/>
      </c>
      <c r="W371" s="136">
        <f>SUM(AK371:AR371)</f>
        <v/>
      </c>
      <c r="X371" s="136">
        <f>IF(E371=$X$6,1,"")</f>
        <v/>
      </c>
      <c r="Y371" s="136">
        <f>IF(E371=$Y$6,1,"")</f>
        <v/>
      </c>
      <c r="Z371" s="136">
        <f>IF(E371=$Z$6,1,"")</f>
        <v/>
      </c>
      <c r="AA371" s="136">
        <f>IF(E371=$AA$6,1,"")</f>
        <v/>
      </c>
      <c r="AB371" s="136">
        <f>IF(E371=$AB$6,1,"")</f>
        <v/>
      </c>
      <c r="AC371" s="136">
        <f>IF(E371=$AC$6,1,"")</f>
        <v/>
      </c>
      <c r="AD371" s="136">
        <f>IF(E371=$AD$6,1,"")</f>
        <v/>
      </c>
      <c r="AE371" s="136">
        <f>IF(E371=$AE$6,1,"")</f>
        <v/>
      </c>
      <c r="AF371" s="136">
        <f>IF(E371=$AF$6,1,"")</f>
        <v/>
      </c>
      <c r="AG371" s="136">
        <f>IF(E371=$AG$6,1,"")</f>
        <v/>
      </c>
      <c r="AH371" s="136">
        <f>IF(E371=$AH$6,1,"")</f>
        <v/>
      </c>
      <c r="AI371" s="136">
        <f>IF(E371=$AI$6,1,"")</f>
        <v/>
      </c>
      <c r="AJ371" s="136">
        <f>IF(E371=$AJ$6,1,"")</f>
        <v/>
      </c>
      <c r="AK371" s="81">
        <f>IF(E371=$AK$6,1,"")</f>
        <v/>
      </c>
      <c r="AL371" s="81">
        <f>IF(E371=$AL$6,1,"")</f>
        <v/>
      </c>
      <c r="AM371" s="81">
        <f>IF(E371=$AM$6,1,"")</f>
        <v/>
      </c>
      <c r="AN371" s="81">
        <f>IF(E371=$AN$6,1,"")</f>
        <v/>
      </c>
      <c r="AO371" s="81">
        <f>IF(E371=$AO$6,1,"")</f>
        <v/>
      </c>
      <c r="AP371" s="81">
        <f>IF(E371=$AP$6,1,"")</f>
        <v/>
      </c>
      <c r="AQ371" s="81">
        <f>IF(E371=$AQ$6,1,"")</f>
        <v/>
      </c>
      <c r="AR371" s="81">
        <f>IF(E371=$AR$6,1,"")</f>
        <v/>
      </c>
      <c r="AS371" s="81" t="n"/>
    </row>
    <row r="372" ht="15.75" customHeight="1" s="80">
      <c r="A372" s="157" t="n"/>
      <c r="B372" s="124" t="n"/>
      <c r="C372" s="125" t="n"/>
      <c r="D372" s="126" t="n"/>
      <c r="E372" s="127" t="n"/>
      <c r="F372" s="128" t="n"/>
      <c r="G372" s="129">
        <f>IF(F372="","",ROUND(F372/60,2))</f>
        <v/>
      </c>
      <c r="H372" s="130" t="n"/>
      <c r="I372" s="131" t="n"/>
      <c r="J372" s="131">
        <f>IF(COUNTIF(B372:E372,"*")=0,"",IF(T372=1,"Invalid Service",IF(AND(V372=1,F372=""),"Add Session Mins",IF(AND(E372&gt;0,H372="",T372=""),"Enter Contract Rate",IF(AND(E372="IEP mtg, prep, rept",F372&gt;0),(G372*H372),IF(AND(E372&gt;0,F372&gt;0,H372&gt;0,I372=""),"Enter Travel",IF(AND(F372&gt;0,I372="Y"),(G372*H372)+$M$10,IF(AND(F372&gt;0,I372="N"),(G372*H372),H372))))))))</f>
        <v/>
      </c>
      <c r="K372" s="132">
        <f>J372</f>
        <v/>
      </c>
      <c r="L372" s="148" t="n"/>
      <c r="M372" s="148" t="n"/>
      <c r="N372" s="148" t="n"/>
      <c r="O372" s="87" t="n"/>
      <c r="P372" s="81" t="n"/>
      <c r="Q372" s="81" t="n"/>
      <c r="R372" s="81" t="n"/>
      <c r="S372" s="81" t="n"/>
      <c r="T372" s="136">
        <f>IF(AND(E372&gt;0,U372=0),1,"")</f>
        <v/>
      </c>
      <c r="U372" s="136">
        <f>SUM(X372:AR372)</f>
        <v/>
      </c>
      <c r="V372" s="136">
        <f>IF(E372=$Q$16,0,SUM(X372:AI372))</f>
        <v/>
      </c>
      <c r="W372" s="136">
        <f>SUM(AK372:AR372)</f>
        <v/>
      </c>
      <c r="X372" s="136">
        <f>IF(E372=$X$6,1,"")</f>
        <v/>
      </c>
      <c r="Y372" s="136">
        <f>IF(E372=$Y$6,1,"")</f>
        <v/>
      </c>
      <c r="Z372" s="136">
        <f>IF(E372=$Z$6,1,"")</f>
        <v/>
      </c>
      <c r="AA372" s="136">
        <f>IF(E372=$AA$6,1,"")</f>
        <v/>
      </c>
      <c r="AB372" s="136">
        <f>IF(E372=$AB$6,1,"")</f>
        <v/>
      </c>
      <c r="AC372" s="136">
        <f>IF(E372=$AC$6,1,"")</f>
        <v/>
      </c>
      <c r="AD372" s="136">
        <f>IF(E372=$AD$6,1,"")</f>
        <v/>
      </c>
      <c r="AE372" s="136">
        <f>IF(E372=$AE$6,1,"")</f>
        <v/>
      </c>
      <c r="AF372" s="136">
        <f>IF(E372=$AF$6,1,"")</f>
        <v/>
      </c>
      <c r="AG372" s="136">
        <f>IF(E372=$AG$6,1,"")</f>
        <v/>
      </c>
      <c r="AH372" s="136">
        <f>IF(E372=$AH$6,1,"")</f>
        <v/>
      </c>
      <c r="AI372" s="136">
        <f>IF(E372=$AI$6,1,"")</f>
        <v/>
      </c>
      <c r="AJ372" s="136">
        <f>IF(E372=$AJ$6,1,"")</f>
        <v/>
      </c>
      <c r="AK372" s="81">
        <f>IF(E372=$AK$6,1,"")</f>
        <v/>
      </c>
      <c r="AL372" s="81">
        <f>IF(E372=$AL$6,1,"")</f>
        <v/>
      </c>
      <c r="AM372" s="81">
        <f>IF(E372=$AM$6,1,"")</f>
        <v/>
      </c>
      <c r="AN372" s="81">
        <f>IF(E372=$AN$6,1,"")</f>
        <v/>
      </c>
      <c r="AO372" s="81">
        <f>IF(E372=$AO$6,1,"")</f>
        <v/>
      </c>
      <c r="AP372" s="81">
        <f>IF(E372=$AP$6,1,"")</f>
        <v/>
      </c>
      <c r="AQ372" s="81">
        <f>IF(E372=$AQ$6,1,"")</f>
        <v/>
      </c>
      <c r="AR372" s="81">
        <f>IF(E372=$AR$6,1,"")</f>
        <v/>
      </c>
      <c r="AS372" s="81" t="n"/>
    </row>
    <row r="373" ht="15.75" customHeight="1" s="80">
      <c r="A373" s="157" t="n"/>
      <c r="B373" s="124" t="n"/>
      <c r="C373" s="125" t="n"/>
      <c r="D373" s="126" t="n"/>
      <c r="E373" s="127" t="n"/>
      <c r="F373" s="128" t="n"/>
      <c r="G373" s="129">
        <f>IF(F373="","",ROUND(F373/60,2))</f>
        <v/>
      </c>
      <c r="H373" s="130" t="n"/>
      <c r="I373" s="131" t="n"/>
      <c r="J373" s="131">
        <f>IF(COUNTIF(B373:E373,"*")=0,"",IF(T373=1,"Invalid Service",IF(AND(V373=1,F373=""),"Add Session Mins",IF(AND(E373&gt;0,H373="",T373=""),"Enter Contract Rate",IF(AND(E373="IEP mtg, prep, rept",F373&gt;0),(G373*H373),IF(AND(E373&gt;0,F373&gt;0,H373&gt;0,I373=""),"Enter Travel",IF(AND(F373&gt;0,I373="Y"),(G373*H373)+$M$10,IF(AND(F373&gt;0,I373="N"),(G373*H373),H373))))))))</f>
        <v/>
      </c>
      <c r="K373" s="132">
        <f>J373</f>
        <v/>
      </c>
      <c r="L373" s="148" t="n"/>
      <c r="M373" s="148" t="n"/>
      <c r="N373" s="148" t="n"/>
      <c r="O373" s="87" t="n"/>
      <c r="P373" s="81" t="n"/>
      <c r="Q373" s="81" t="n"/>
      <c r="R373" s="81" t="n"/>
      <c r="S373" s="81" t="n"/>
      <c r="T373" s="136">
        <f>IF(AND(E373&gt;0,U373=0),1,"")</f>
        <v/>
      </c>
      <c r="U373" s="136">
        <f>SUM(X373:AR373)</f>
        <v/>
      </c>
      <c r="V373" s="136">
        <f>IF(E373=$Q$16,0,SUM(X373:AI373))</f>
        <v/>
      </c>
      <c r="W373" s="136">
        <f>SUM(AK373:AR373)</f>
        <v/>
      </c>
      <c r="X373" s="136">
        <f>IF(E373=$X$6,1,"")</f>
        <v/>
      </c>
      <c r="Y373" s="136">
        <f>IF(E373=$Y$6,1,"")</f>
        <v/>
      </c>
      <c r="Z373" s="136">
        <f>IF(E373=$Z$6,1,"")</f>
        <v/>
      </c>
      <c r="AA373" s="136">
        <f>IF(E373=$AA$6,1,"")</f>
        <v/>
      </c>
      <c r="AB373" s="136">
        <f>IF(E373=$AB$6,1,"")</f>
        <v/>
      </c>
      <c r="AC373" s="136">
        <f>IF(E373=$AC$6,1,"")</f>
        <v/>
      </c>
      <c r="AD373" s="136">
        <f>IF(E373=$AD$6,1,"")</f>
        <v/>
      </c>
      <c r="AE373" s="136">
        <f>IF(E373=$AE$6,1,"")</f>
        <v/>
      </c>
      <c r="AF373" s="136">
        <f>IF(E373=$AF$6,1,"")</f>
        <v/>
      </c>
      <c r="AG373" s="136">
        <f>IF(E373=$AG$6,1,"")</f>
        <v/>
      </c>
      <c r="AH373" s="136">
        <f>IF(E373=$AH$6,1,"")</f>
        <v/>
      </c>
      <c r="AI373" s="136">
        <f>IF(E373=$AI$6,1,"")</f>
        <v/>
      </c>
      <c r="AJ373" s="136">
        <f>IF(E373=$AJ$6,1,"")</f>
        <v/>
      </c>
      <c r="AK373" s="81">
        <f>IF(E373=$AK$6,1,"")</f>
        <v/>
      </c>
      <c r="AL373" s="81">
        <f>IF(E373=$AL$6,1,"")</f>
        <v/>
      </c>
      <c r="AM373" s="81">
        <f>IF(E373=$AM$6,1,"")</f>
        <v/>
      </c>
      <c r="AN373" s="81">
        <f>IF(E373=$AN$6,1,"")</f>
        <v/>
      </c>
      <c r="AO373" s="81">
        <f>IF(E373=$AO$6,1,"")</f>
        <v/>
      </c>
      <c r="AP373" s="81">
        <f>IF(E373=$AP$6,1,"")</f>
        <v/>
      </c>
      <c r="AQ373" s="81">
        <f>IF(E373=$AQ$6,1,"")</f>
        <v/>
      </c>
      <c r="AR373" s="81">
        <f>IF(E373=$AR$6,1,"")</f>
        <v/>
      </c>
      <c r="AS373" s="81" t="n"/>
    </row>
    <row r="374" ht="15.75" customHeight="1" s="80">
      <c r="A374" s="157" t="n"/>
      <c r="B374" s="124" t="n"/>
      <c r="C374" s="125" t="n"/>
      <c r="D374" s="126" t="n"/>
      <c r="E374" s="127" t="n"/>
      <c r="F374" s="128" t="n"/>
      <c r="G374" s="129">
        <f>IF(F374="","",ROUND(F374/60,2))</f>
        <v/>
      </c>
      <c r="H374" s="130" t="n"/>
      <c r="I374" s="131" t="n"/>
      <c r="J374" s="131">
        <f>IF(COUNTIF(B374:E374,"*")=0,"",IF(T374=1,"Invalid Service",IF(AND(V374=1,F374=""),"Add Session Mins",IF(AND(E374&gt;0,H374="",T374=""),"Enter Contract Rate",IF(AND(E374="IEP mtg, prep, rept",F374&gt;0),(G374*H374),IF(AND(E374&gt;0,F374&gt;0,H374&gt;0,I374=""),"Enter Travel",IF(AND(F374&gt;0,I374="Y"),(G374*H374)+$M$10,IF(AND(F374&gt;0,I374="N"),(G374*H374),H374))))))))</f>
        <v/>
      </c>
      <c r="K374" s="132">
        <f>J374</f>
        <v/>
      </c>
      <c r="L374" s="148" t="n"/>
      <c r="M374" s="148" t="n"/>
      <c r="N374" s="148" t="n"/>
      <c r="O374" s="87" t="n"/>
      <c r="P374" s="81" t="n"/>
      <c r="Q374" s="81" t="n"/>
      <c r="R374" s="81" t="n"/>
      <c r="S374" s="81" t="n"/>
      <c r="T374" s="136">
        <f>IF(AND(E374&gt;0,U374=0),1,"")</f>
        <v/>
      </c>
      <c r="U374" s="136">
        <f>SUM(X374:AR374)</f>
        <v/>
      </c>
      <c r="V374" s="136">
        <f>IF(E374=$Q$16,0,SUM(X374:AI374))</f>
        <v/>
      </c>
      <c r="W374" s="136">
        <f>SUM(AK374:AR374)</f>
        <v/>
      </c>
      <c r="X374" s="136">
        <f>IF(E374=$X$6,1,"")</f>
        <v/>
      </c>
      <c r="Y374" s="136">
        <f>IF(E374=$Y$6,1,"")</f>
        <v/>
      </c>
      <c r="Z374" s="136">
        <f>IF(E374=$Z$6,1,"")</f>
        <v/>
      </c>
      <c r="AA374" s="136">
        <f>IF(E374=$AA$6,1,"")</f>
        <v/>
      </c>
      <c r="AB374" s="136">
        <f>IF(E374=$AB$6,1,"")</f>
        <v/>
      </c>
      <c r="AC374" s="136">
        <f>IF(E374=$AC$6,1,"")</f>
        <v/>
      </c>
      <c r="AD374" s="136">
        <f>IF(E374=$AD$6,1,"")</f>
        <v/>
      </c>
      <c r="AE374" s="136">
        <f>IF(E374=$AE$6,1,"")</f>
        <v/>
      </c>
      <c r="AF374" s="136">
        <f>IF(E374=$AF$6,1,"")</f>
        <v/>
      </c>
      <c r="AG374" s="136">
        <f>IF(E374=$AG$6,1,"")</f>
        <v/>
      </c>
      <c r="AH374" s="136">
        <f>IF(E374=$AH$6,1,"")</f>
        <v/>
      </c>
      <c r="AI374" s="136">
        <f>IF(E374=$AI$6,1,"")</f>
        <v/>
      </c>
      <c r="AJ374" s="136">
        <f>IF(E374=$AJ$6,1,"")</f>
        <v/>
      </c>
      <c r="AK374" s="81">
        <f>IF(E374=$AK$6,1,"")</f>
        <v/>
      </c>
      <c r="AL374" s="81">
        <f>IF(E374=$AL$6,1,"")</f>
        <v/>
      </c>
      <c r="AM374" s="81">
        <f>IF(E374=$AM$6,1,"")</f>
        <v/>
      </c>
      <c r="AN374" s="81">
        <f>IF(E374=$AN$6,1,"")</f>
        <v/>
      </c>
      <c r="AO374" s="81">
        <f>IF(E374=$AO$6,1,"")</f>
        <v/>
      </c>
      <c r="AP374" s="81">
        <f>IF(E374=$AP$6,1,"")</f>
        <v/>
      </c>
      <c r="AQ374" s="81">
        <f>IF(E374=$AQ$6,1,"")</f>
        <v/>
      </c>
      <c r="AR374" s="81">
        <f>IF(E374=$AR$6,1,"")</f>
        <v/>
      </c>
      <c r="AS374" s="81" t="n"/>
    </row>
    <row r="375" ht="15.75" customHeight="1" s="80">
      <c r="A375" s="157" t="n"/>
      <c r="B375" s="124" t="n"/>
      <c r="C375" s="125" t="n"/>
      <c r="D375" s="126" t="n"/>
      <c r="E375" s="127" t="n"/>
      <c r="F375" s="128" t="n"/>
      <c r="G375" s="129">
        <f>IF(F375="","",ROUND(F375/60,2))</f>
        <v/>
      </c>
      <c r="H375" s="130" t="n"/>
      <c r="I375" s="131" t="n"/>
      <c r="J375" s="131">
        <f>IF(COUNTIF(B375:E375,"*")=0,"",IF(T375=1,"Invalid Service",IF(AND(V375=1,F375=""),"Add Session Mins",IF(AND(E375&gt;0,H375="",T375=""),"Enter Contract Rate",IF(AND(E375="IEP mtg, prep, rept",F375&gt;0),(G375*H375),IF(AND(E375&gt;0,F375&gt;0,H375&gt;0,I375=""),"Enter Travel",IF(AND(F375&gt;0,I375="Y"),(G375*H375)+$M$10,IF(AND(F375&gt;0,I375="N"),(G375*H375),H375))))))))</f>
        <v/>
      </c>
      <c r="K375" s="132">
        <f>J375</f>
        <v/>
      </c>
      <c r="L375" s="148" t="n"/>
      <c r="M375" s="148" t="n"/>
      <c r="N375" s="148" t="n"/>
      <c r="O375" s="87" t="n"/>
      <c r="P375" s="81" t="n"/>
      <c r="Q375" s="81" t="n"/>
      <c r="R375" s="81" t="n"/>
      <c r="S375" s="81" t="n"/>
      <c r="T375" s="136">
        <f>IF(AND(E375&gt;0,U375=0),1,"")</f>
        <v/>
      </c>
      <c r="U375" s="136">
        <f>SUM(X375:AR375)</f>
        <v/>
      </c>
      <c r="V375" s="136">
        <f>IF(E375=$Q$16,0,SUM(X375:AI375))</f>
        <v/>
      </c>
      <c r="W375" s="136">
        <f>SUM(AK375:AR375)</f>
        <v/>
      </c>
      <c r="X375" s="136">
        <f>IF(E375=$X$6,1,"")</f>
        <v/>
      </c>
      <c r="Y375" s="136">
        <f>IF(E375=$Y$6,1,"")</f>
        <v/>
      </c>
      <c r="Z375" s="136">
        <f>IF(E375=$Z$6,1,"")</f>
        <v/>
      </c>
      <c r="AA375" s="136">
        <f>IF(E375=$AA$6,1,"")</f>
        <v/>
      </c>
      <c r="AB375" s="136">
        <f>IF(E375=$AB$6,1,"")</f>
        <v/>
      </c>
      <c r="AC375" s="136">
        <f>IF(E375=$AC$6,1,"")</f>
        <v/>
      </c>
      <c r="AD375" s="136">
        <f>IF(E375=$AD$6,1,"")</f>
        <v/>
      </c>
      <c r="AE375" s="136">
        <f>IF(E375=$AE$6,1,"")</f>
        <v/>
      </c>
      <c r="AF375" s="136">
        <f>IF(E375=$AF$6,1,"")</f>
        <v/>
      </c>
      <c r="AG375" s="136">
        <f>IF(E375=$AG$6,1,"")</f>
        <v/>
      </c>
      <c r="AH375" s="136">
        <f>IF(E375=$AH$6,1,"")</f>
        <v/>
      </c>
      <c r="AI375" s="136">
        <f>IF(E375=$AI$6,1,"")</f>
        <v/>
      </c>
      <c r="AJ375" s="136">
        <f>IF(E375=$AJ$6,1,"")</f>
        <v/>
      </c>
      <c r="AK375" s="81">
        <f>IF(E375=$AK$6,1,"")</f>
        <v/>
      </c>
      <c r="AL375" s="81">
        <f>IF(E375=$AL$6,1,"")</f>
        <v/>
      </c>
      <c r="AM375" s="81">
        <f>IF(E375=$AM$6,1,"")</f>
        <v/>
      </c>
      <c r="AN375" s="81">
        <f>IF(E375=$AN$6,1,"")</f>
        <v/>
      </c>
      <c r="AO375" s="81">
        <f>IF(E375=$AO$6,1,"")</f>
        <v/>
      </c>
      <c r="AP375" s="81">
        <f>IF(E375=$AP$6,1,"")</f>
        <v/>
      </c>
      <c r="AQ375" s="81">
        <f>IF(E375=$AQ$6,1,"")</f>
        <v/>
      </c>
      <c r="AR375" s="81">
        <f>IF(E375=$AR$6,1,"")</f>
        <v/>
      </c>
      <c r="AS375" s="81" t="n"/>
    </row>
    <row r="376" ht="15.75" customHeight="1" s="80">
      <c r="A376" s="157" t="n"/>
      <c r="B376" s="124" t="n"/>
      <c r="C376" s="125" t="n"/>
      <c r="D376" s="126" t="n"/>
      <c r="E376" s="127" t="n"/>
      <c r="F376" s="128" t="n"/>
      <c r="G376" s="129">
        <f>IF(F376="","",ROUND(F376/60,2))</f>
        <v/>
      </c>
      <c r="H376" s="130" t="n"/>
      <c r="I376" s="131" t="n"/>
      <c r="J376" s="131">
        <f>IF(COUNTIF(B376:E376,"*")=0,"",IF(T376=1,"Invalid Service",IF(AND(V376=1,F376=""),"Add Session Mins",IF(AND(E376&gt;0,H376="",T376=""),"Enter Contract Rate",IF(AND(E376="IEP mtg, prep, rept",F376&gt;0),(G376*H376),IF(AND(E376&gt;0,F376&gt;0,H376&gt;0,I376=""),"Enter Travel",IF(AND(F376&gt;0,I376="Y"),(G376*H376)+$M$10,IF(AND(F376&gt;0,I376="N"),(G376*H376),H376))))))))</f>
        <v/>
      </c>
      <c r="K376" s="132">
        <f>J376</f>
        <v/>
      </c>
      <c r="L376" s="148" t="n"/>
      <c r="M376" s="148" t="n"/>
      <c r="N376" s="148" t="n"/>
      <c r="O376" s="87" t="n"/>
      <c r="P376" s="81" t="n"/>
      <c r="Q376" s="81" t="n"/>
      <c r="R376" s="81" t="n"/>
      <c r="S376" s="81" t="n"/>
      <c r="T376" s="136">
        <f>IF(AND(E376&gt;0,U376=0),1,"")</f>
        <v/>
      </c>
      <c r="U376" s="136">
        <f>SUM(X376:AR376)</f>
        <v/>
      </c>
      <c r="V376" s="136">
        <f>IF(E376=$Q$16,0,SUM(X376:AI376))</f>
        <v/>
      </c>
      <c r="W376" s="136">
        <f>SUM(AK376:AR376)</f>
        <v/>
      </c>
      <c r="X376" s="136">
        <f>IF(E376=$X$6,1,"")</f>
        <v/>
      </c>
      <c r="Y376" s="136">
        <f>IF(E376=$Y$6,1,"")</f>
        <v/>
      </c>
      <c r="Z376" s="136">
        <f>IF(E376=$Z$6,1,"")</f>
        <v/>
      </c>
      <c r="AA376" s="136">
        <f>IF(E376=$AA$6,1,"")</f>
        <v/>
      </c>
      <c r="AB376" s="136">
        <f>IF(E376=$AB$6,1,"")</f>
        <v/>
      </c>
      <c r="AC376" s="136">
        <f>IF(E376=$AC$6,1,"")</f>
        <v/>
      </c>
      <c r="AD376" s="136">
        <f>IF(E376=$AD$6,1,"")</f>
        <v/>
      </c>
      <c r="AE376" s="136">
        <f>IF(E376=$AE$6,1,"")</f>
        <v/>
      </c>
      <c r="AF376" s="136">
        <f>IF(E376=$AF$6,1,"")</f>
        <v/>
      </c>
      <c r="AG376" s="136">
        <f>IF(E376=$AG$6,1,"")</f>
        <v/>
      </c>
      <c r="AH376" s="136">
        <f>IF(E376=$AH$6,1,"")</f>
        <v/>
      </c>
      <c r="AI376" s="136">
        <f>IF(E376=$AI$6,1,"")</f>
        <v/>
      </c>
      <c r="AJ376" s="136">
        <f>IF(E376=$AJ$6,1,"")</f>
        <v/>
      </c>
      <c r="AK376" s="81">
        <f>IF(E376=$AK$6,1,"")</f>
        <v/>
      </c>
      <c r="AL376" s="81">
        <f>IF(E376=$AL$6,1,"")</f>
        <v/>
      </c>
      <c r="AM376" s="81">
        <f>IF(E376=$AM$6,1,"")</f>
        <v/>
      </c>
      <c r="AN376" s="81">
        <f>IF(E376=$AN$6,1,"")</f>
        <v/>
      </c>
      <c r="AO376" s="81">
        <f>IF(E376=$AO$6,1,"")</f>
        <v/>
      </c>
      <c r="AP376" s="81">
        <f>IF(E376=$AP$6,1,"")</f>
        <v/>
      </c>
      <c r="AQ376" s="81">
        <f>IF(E376=$AQ$6,1,"")</f>
        <v/>
      </c>
      <c r="AR376" s="81">
        <f>IF(E376=$AR$6,1,"")</f>
        <v/>
      </c>
      <c r="AS376" s="81" t="n"/>
    </row>
    <row r="377" ht="15.75" customHeight="1" s="80">
      <c r="A377" s="157" t="n"/>
      <c r="B377" s="124" t="n"/>
      <c r="C377" s="125" t="n"/>
      <c r="D377" s="126" t="n"/>
      <c r="E377" s="127" t="n"/>
      <c r="F377" s="128" t="n"/>
      <c r="G377" s="129">
        <f>IF(F377="","",ROUND(F377/60,2))</f>
        <v/>
      </c>
      <c r="H377" s="130" t="n"/>
      <c r="I377" s="131" t="n"/>
      <c r="J377" s="131">
        <f>IF(COUNTIF(B377:E377,"*")=0,"",IF(T377=1,"Invalid Service",IF(AND(V377=1,F377=""),"Add Session Mins",IF(AND(E377&gt;0,H377="",T377=""),"Enter Contract Rate",IF(AND(E377="IEP mtg, prep, rept",F377&gt;0),(G377*H377),IF(AND(E377&gt;0,F377&gt;0,H377&gt;0,I377=""),"Enter Travel",IF(AND(F377&gt;0,I377="Y"),(G377*H377)+$M$10,IF(AND(F377&gt;0,I377="N"),(G377*H377),H377))))))))</f>
        <v/>
      </c>
      <c r="K377" s="132">
        <f>J377</f>
        <v/>
      </c>
      <c r="L377" s="148" t="n"/>
      <c r="M377" s="148" t="n"/>
      <c r="N377" s="148" t="n"/>
      <c r="O377" s="87" t="n"/>
      <c r="P377" s="81" t="n"/>
      <c r="Q377" s="81" t="n"/>
      <c r="R377" s="81" t="n"/>
      <c r="S377" s="81" t="n"/>
      <c r="T377" s="136">
        <f>IF(AND(E377&gt;0,U377=0),1,"")</f>
        <v/>
      </c>
      <c r="U377" s="136">
        <f>SUM(X377:AR377)</f>
        <v/>
      </c>
      <c r="V377" s="136">
        <f>IF(E377=$Q$16,0,SUM(X377:AI377))</f>
        <v/>
      </c>
      <c r="W377" s="136">
        <f>SUM(AK377:AR377)</f>
        <v/>
      </c>
      <c r="X377" s="136">
        <f>IF(E377=$X$6,1,"")</f>
        <v/>
      </c>
      <c r="Y377" s="136">
        <f>IF(E377=$Y$6,1,"")</f>
        <v/>
      </c>
      <c r="Z377" s="136">
        <f>IF(E377=$Z$6,1,"")</f>
        <v/>
      </c>
      <c r="AA377" s="136">
        <f>IF(E377=$AA$6,1,"")</f>
        <v/>
      </c>
      <c r="AB377" s="136">
        <f>IF(E377=$AB$6,1,"")</f>
        <v/>
      </c>
      <c r="AC377" s="136">
        <f>IF(E377=$AC$6,1,"")</f>
        <v/>
      </c>
      <c r="AD377" s="136">
        <f>IF(E377=$AD$6,1,"")</f>
        <v/>
      </c>
      <c r="AE377" s="136">
        <f>IF(E377=$AE$6,1,"")</f>
        <v/>
      </c>
      <c r="AF377" s="136">
        <f>IF(E377=$AF$6,1,"")</f>
        <v/>
      </c>
      <c r="AG377" s="136">
        <f>IF(E377=$AG$6,1,"")</f>
        <v/>
      </c>
      <c r="AH377" s="136">
        <f>IF(E377=$AH$6,1,"")</f>
        <v/>
      </c>
      <c r="AI377" s="136">
        <f>IF(E377=$AI$6,1,"")</f>
        <v/>
      </c>
      <c r="AJ377" s="136">
        <f>IF(E377=$AJ$6,1,"")</f>
        <v/>
      </c>
      <c r="AK377" s="81">
        <f>IF(E377=$AK$6,1,"")</f>
        <v/>
      </c>
      <c r="AL377" s="81">
        <f>IF(E377=$AL$6,1,"")</f>
        <v/>
      </c>
      <c r="AM377" s="81">
        <f>IF(E377=$AM$6,1,"")</f>
        <v/>
      </c>
      <c r="AN377" s="81">
        <f>IF(E377=$AN$6,1,"")</f>
        <v/>
      </c>
      <c r="AO377" s="81">
        <f>IF(E377=$AO$6,1,"")</f>
        <v/>
      </c>
      <c r="AP377" s="81">
        <f>IF(E377=$AP$6,1,"")</f>
        <v/>
      </c>
      <c r="AQ377" s="81">
        <f>IF(E377=$AQ$6,1,"")</f>
        <v/>
      </c>
      <c r="AR377" s="81">
        <f>IF(E377=$AR$6,1,"")</f>
        <v/>
      </c>
      <c r="AS377" s="81" t="n"/>
    </row>
    <row r="378" ht="15.75" customHeight="1" s="80">
      <c r="A378" s="157" t="n"/>
      <c r="B378" s="124" t="n"/>
      <c r="C378" s="125" t="n"/>
      <c r="D378" s="126" t="n"/>
      <c r="E378" s="127" t="n"/>
      <c r="F378" s="128" t="n"/>
      <c r="G378" s="129">
        <f>IF(F378="","",ROUND(F378/60,2))</f>
        <v/>
      </c>
      <c r="H378" s="130" t="n"/>
      <c r="I378" s="131" t="n"/>
      <c r="J378" s="131">
        <f>IF(COUNTIF(B378:E378,"*")=0,"",IF(T378=1,"Invalid Service",IF(AND(V378=1,F378=""),"Add Session Mins",IF(AND(E378&gt;0,H378="",T378=""),"Enter Contract Rate",IF(AND(E378="IEP mtg, prep, rept",F378&gt;0),(G378*H378),IF(AND(E378&gt;0,F378&gt;0,H378&gt;0,I378=""),"Enter Travel",IF(AND(F378&gt;0,I378="Y"),(G378*H378)+$M$10,IF(AND(F378&gt;0,I378="N"),(G378*H378),H378))))))))</f>
        <v/>
      </c>
      <c r="K378" s="132">
        <f>J378</f>
        <v/>
      </c>
      <c r="L378" s="148" t="n"/>
      <c r="M378" s="148" t="n"/>
      <c r="N378" s="148" t="n"/>
      <c r="O378" s="87" t="n"/>
      <c r="P378" s="81" t="n"/>
      <c r="Q378" s="81" t="n"/>
      <c r="R378" s="81" t="n"/>
      <c r="S378" s="81" t="n"/>
      <c r="T378" s="136">
        <f>IF(AND(E378&gt;0,U378=0),1,"")</f>
        <v/>
      </c>
      <c r="U378" s="136">
        <f>SUM(X378:AR378)</f>
        <v/>
      </c>
      <c r="V378" s="136">
        <f>IF(E378=$Q$16,0,SUM(X378:AI378))</f>
        <v/>
      </c>
      <c r="W378" s="136">
        <f>SUM(AK378:AR378)</f>
        <v/>
      </c>
      <c r="X378" s="136">
        <f>IF(E378=$X$6,1,"")</f>
        <v/>
      </c>
      <c r="Y378" s="136">
        <f>IF(E378=$Y$6,1,"")</f>
        <v/>
      </c>
      <c r="Z378" s="136">
        <f>IF(E378=$Z$6,1,"")</f>
        <v/>
      </c>
      <c r="AA378" s="136">
        <f>IF(E378=$AA$6,1,"")</f>
        <v/>
      </c>
      <c r="AB378" s="136">
        <f>IF(E378=$AB$6,1,"")</f>
        <v/>
      </c>
      <c r="AC378" s="136">
        <f>IF(E378=$AC$6,1,"")</f>
        <v/>
      </c>
      <c r="AD378" s="136">
        <f>IF(E378=$AD$6,1,"")</f>
        <v/>
      </c>
      <c r="AE378" s="136">
        <f>IF(E378=$AE$6,1,"")</f>
        <v/>
      </c>
      <c r="AF378" s="136">
        <f>IF(E378=$AF$6,1,"")</f>
        <v/>
      </c>
      <c r="AG378" s="136">
        <f>IF(E378=$AG$6,1,"")</f>
        <v/>
      </c>
      <c r="AH378" s="136">
        <f>IF(E378=$AH$6,1,"")</f>
        <v/>
      </c>
      <c r="AI378" s="136">
        <f>IF(E378=$AI$6,1,"")</f>
        <v/>
      </c>
      <c r="AJ378" s="136">
        <f>IF(E378=$AJ$6,1,"")</f>
        <v/>
      </c>
      <c r="AK378" s="81">
        <f>IF(E378=$AK$6,1,"")</f>
        <v/>
      </c>
      <c r="AL378" s="81">
        <f>IF(E378=$AL$6,1,"")</f>
        <v/>
      </c>
      <c r="AM378" s="81">
        <f>IF(E378=$AM$6,1,"")</f>
        <v/>
      </c>
      <c r="AN378" s="81">
        <f>IF(E378=$AN$6,1,"")</f>
        <v/>
      </c>
      <c r="AO378" s="81">
        <f>IF(E378=$AO$6,1,"")</f>
        <v/>
      </c>
      <c r="AP378" s="81">
        <f>IF(E378=$AP$6,1,"")</f>
        <v/>
      </c>
      <c r="AQ378" s="81">
        <f>IF(E378=$AQ$6,1,"")</f>
        <v/>
      </c>
      <c r="AR378" s="81">
        <f>IF(E378=$AR$6,1,"")</f>
        <v/>
      </c>
      <c r="AS378" s="81" t="n"/>
    </row>
    <row r="379" ht="15.75" customHeight="1" s="80">
      <c r="A379" s="157" t="n"/>
      <c r="B379" s="124" t="n"/>
      <c r="C379" s="125" t="n"/>
      <c r="D379" s="126" t="n"/>
      <c r="E379" s="127" t="n"/>
      <c r="F379" s="128" t="n"/>
      <c r="G379" s="129">
        <f>IF(F379="","",ROUND(F379/60,2))</f>
        <v/>
      </c>
      <c r="H379" s="130" t="n"/>
      <c r="I379" s="131" t="n"/>
      <c r="J379" s="131">
        <f>IF(COUNTIF(B379:E379,"*")=0,"",IF(T379=1,"Invalid Service",IF(AND(V379=1,F379=""),"Add Session Mins",IF(AND(E379&gt;0,H379="",T379=""),"Enter Contract Rate",IF(AND(E379="IEP mtg, prep, rept",F379&gt;0),(G379*H379),IF(AND(E379&gt;0,F379&gt;0,H379&gt;0,I379=""),"Enter Travel",IF(AND(F379&gt;0,I379="Y"),(G379*H379)+$M$10,IF(AND(F379&gt;0,I379="N"),(G379*H379),H379))))))))</f>
        <v/>
      </c>
      <c r="K379" s="132">
        <f>J379</f>
        <v/>
      </c>
      <c r="L379" s="148" t="n"/>
      <c r="M379" s="148" t="n"/>
      <c r="N379" s="148" t="n"/>
      <c r="O379" s="87" t="n"/>
      <c r="P379" s="81" t="n"/>
      <c r="Q379" s="81" t="n"/>
      <c r="R379" s="81" t="n"/>
      <c r="S379" s="81" t="n"/>
      <c r="T379" s="136">
        <f>IF(AND(E379&gt;0,U379=0),1,"")</f>
        <v/>
      </c>
      <c r="U379" s="136">
        <f>SUM(X379:AR379)</f>
        <v/>
      </c>
      <c r="V379" s="136">
        <f>IF(E379=$Q$16,0,SUM(X379:AI379))</f>
        <v/>
      </c>
      <c r="W379" s="136">
        <f>SUM(AK379:AR379)</f>
        <v/>
      </c>
      <c r="X379" s="136">
        <f>IF(E379=$X$6,1,"")</f>
        <v/>
      </c>
      <c r="Y379" s="136">
        <f>IF(E379=$Y$6,1,"")</f>
        <v/>
      </c>
      <c r="Z379" s="136">
        <f>IF(E379=$Z$6,1,"")</f>
        <v/>
      </c>
      <c r="AA379" s="136">
        <f>IF(E379=$AA$6,1,"")</f>
        <v/>
      </c>
      <c r="AB379" s="136">
        <f>IF(E379=$AB$6,1,"")</f>
        <v/>
      </c>
      <c r="AC379" s="136">
        <f>IF(E379=$AC$6,1,"")</f>
        <v/>
      </c>
      <c r="AD379" s="136">
        <f>IF(E379=$AD$6,1,"")</f>
        <v/>
      </c>
      <c r="AE379" s="136">
        <f>IF(E379=$AE$6,1,"")</f>
        <v/>
      </c>
      <c r="AF379" s="136">
        <f>IF(E379=$AF$6,1,"")</f>
        <v/>
      </c>
      <c r="AG379" s="136">
        <f>IF(E379=$AG$6,1,"")</f>
        <v/>
      </c>
      <c r="AH379" s="136">
        <f>IF(E379=$AH$6,1,"")</f>
        <v/>
      </c>
      <c r="AI379" s="136">
        <f>IF(E379=$AI$6,1,"")</f>
        <v/>
      </c>
      <c r="AJ379" s="136">
        <f>IF(E379=$AJ$6,1,"")</f>
        <v/>
      </c>
      <c r="AK379" s="81">
        <f>IF(E379=$AK$6,1,"")</f>
        <v/>
      </c>
      <c r="AL379" s="81">
        <f>IF(E379=$AL$6,1,"")</f>
        <v/>
      </c>
      <c r="AM379" s="81">
        <f>IF(E379=$AM$6,1,"")</f>
        <v/>
      </c>
      <c r="AN379" s="81">
        <f>IF(E379=$AN$6,1,"")</f>
        <v/>
      </c>
      <c r="AO379" s="81">
        <f>IF(E379=$AO$6,1,"")</f>
        <v/>
      </c>
      <c r="AP379" s="81">
        <f>IF(E379=$AP$6,1,"")</f>
        <v/>
      </c>
      <c r="AQ379" s="81">
        <f>IF(E379=$AQ$6,1,"")</f>
        <v/>
      </c>
      <c r="AR379" s="81">
        <f>IF(E379=$AR$6,1,"")</f>
        <v/>
      </c>
      <c r="AS379" s="81" t="n"/>
    </row>
    <row r="380" ht="15.75" customHeight="1" s="80">
      <c r="A380" s="157" t="n"/>
      <c r="B380" s="124" t="n"/>
      <c r="C380" s="125" t="n"/>
      <c r="D380" s="126" t="n"/>
      <c r="E380" s="127" t="n"/>
      <c r="F380" s="128" t="n"/>
      <c r="G380" s="129">
        <f>IF(F380="","",ROUND(F380/60,2))</f>
        <v/>
      </c>
      <c r="H380" s="130" t="n"/>
      <c r="I380" s="131" t="n"/>
      <c r="J380" s="131">
        <f>IF(COUNTIF(B380:E380,"*")=0,"",IF(T380=1,"Invalid Service",IF(AND(V380=1,F380=""),"Add Session Mins",IF(AND(E380&gt;0,H380="",T380=""),"Enter Contract Rate",IF(AND(E380="IEP mtg, prep, rept",F380&gt;0),(G380*H380),IF(AND(E380&gt;0,F380&gt;0,H380&gt;0,I380=""),"Enter Travel",IF(AND(F380&gt;0,I380="Y"),(G380*H380)+$M$10,IF(AND(F380&gt;0,I380="N"),(G380*H380),H380))))))))</f>
        <v/>
      </c>
      <c r="K380" s="132">
        <f>J380</f>
        <v/>
      </c>
      <c r="L380" s="148" t="n"/>
      <c r="M380" s="148" t="n"/>
      <c r="N380" s="148" t="n"/>
      <c r="O380" s="87" t="n"/>
      <c r="P380" s="81" t="n"/>
      <c r="Q380" s="81" t="n"/>
      <c r="R380" s="81" t="n"/>
      <c r="S380" s="81" t="n"/>
      <c r="T380" s="136">
        <f>IF(AND(E380&gt;0,U380=0),1,"")</f>
        <v/>
      </c>
      <c r="U380" s="136">
        <f>SUM(X380:AR380)</f>
        <v/>
      </c>
      <c r="V380" s="136">
        <f>IF(E380=$Q$16,0,SUM(X380:AI380))</f>
        <v/>
      </c>
      <c r="W380" s="136">
        <f>SUM(AK380:AR380)</f>
        <v/>
      </c>
      <c r="X380" s="136">
        <f>IF(E380=$X$6,1,"")</f>
        <v/>
      </c>
      <c r="Y380" s="136">
        <f>IF(E380=$Y$6,1,"")</f>
        <v/>
      </c>
      <c r="Z380" s="136">
        <f>IF(E380=$Z$6,1,"")</f>
        <v/>
      </c>
      <c r="AA380" s="136">
        <f>IF(E380=$AA$6,1,"")</f>
        <v/>
      </c>
      <c r="AB380" s="136">
        <f>IF(E380=$AB$6,1,"")</f>
        <v/>
      </c>
      <c r="AC380" s="136">
        <f>IF(E380=$AC$6,1,"")</f>
        <v/>
      </c>
      <c r="AD380" s="136">
        <f>IF(E380=$AD$6,1,"")</f>
        <v/>
      </c>
      <c r="AE380" s="136">
        <f>IF(E380=$AE$6,1,"")</f>
        <v/>
      </c>
      <c r="AF380" s="136">
        <f>IF(E380=$AF$6,1,"")</f>
        <v/>
      </c>
      <c r="AG380" s="136">
        <f>IF(E380=$AG$6,1,"")</f>
        <v/>
      </c>
      <c r="AH380" s="136">
        <f>IF(E380=$AH$6,1,"")</f>
        <v/>
      </c>
      <c r="AI380" s="136">
        <f>IF(E380=$AI$6,1,"")</f>
        <v/>
      </c>
      <c r="AJ380" s="136">
        <f>IF(E380=$AJ$6,1,"")</f>
        <v/>
      </c>
      <c r="AK380" s="81">
        <f>IF(E380=$AK$6,1,"")</f>
        <v/>
      </c>
      <c r="AL380" s="81">
        <f>IF(E380=$AL$6,1,"")</f>
        <v/>
      </c>
      <c r="AM380" s="81">
        <f>IF(E380=$AM$6,1,"")</f>
        <v/>
      </c>
      <c r="AN380" s="81">
        <f>IF(E380=$AN$6,1,"")</f>
        <v/>
      </c>
      <c r="AO380" s="81">
        <f>IF(E380=$AO$6,1,"")</f>
        <v/>
      </c>
      <c r="AP380" s="81">
        <f>IF(E380=$AP$6,1,"")</f>
        <v/>
      </c>
      <c r="AQ380" s="81">
        <f>IF(E380=$AQ$6,1,"")</f>
        <v/>
      </c>
      <c r="AR380" s="81">
        <f>IF(E380=$AR$6,1,"")</f>
        <v/>
      </c>
      <c r="AS380" s="81" t="n"/>
    </row>
    <row r="381" ht="15.75" customHeight="1" s="80">
      <c r="A381" s="157" t="n"/>
      <c r="B381" s="124" t="n"/>
      <c r="C381" s="125" t="n"/>
      <c r="D381" s="126" t="n"/>
      <c r="E381" s="127" t="n"/>
      <c r="F381" s="128" t="n"/>
      <c r="G381" s="129">
        <f>IF(F381="","",ROUND(F381/60,2))</f>
        <v/>
      </c>
      <c r="H381" s="130" t="n"/>
      <c r="I381" s="131" t="n"/>
      <c r="J381" s="131">
        <f>IF(COUNTIF(B381:E381,"*")=0,"",IF(T381=1,"Invalid Service",IF(AND(V381=1,F381=""),"Add Session Mins",IF(AND(E381&gt;0,H381="",T381=""),"Enter Contract Rate",IF(AND(E381="IEP mtg, prep, rept",F381&gt;0),(G381*H381),IF(AND(E381&gt;0,F381&gt;0,H381&gt;0,I381=""),"Enter Travel",IF(AND(F381&gt;0,I381="Y"),(G381*H381)+$M$10,IF(AND(F381&gt;0,I381="N"),(G381*H381),H381))))))))</f>
        <v/>
      </c>
      <c r="K381" s="132">
        <f>J381</f>
        <v/>
      </c>
      <c r="L381" s="148" t="n"/>
      <c r="M381" s="148" t="n"/>
      <c r="N381" s="148" t="n"/>
      <c r="O381" s="87" t="n"/>
      <c r="P381" s="81" t="n"/>
      <c r="Q381" s="81" t="n"/>
      <c r="R381" s="81" t="n"/>
      <c r="S381" s="81" t="n"/>
      <c r="T381" s="136">
        <f>IF(AND(E381&gt;0,U381=0),1,"")</f>
        <v/>
      </c>
      <c r="U381" s="136">
        <f>SUM(X381:AR381)</f>
        <v/>
      </c>
      <c r="V381" s="136">
        <f>IF(E381=$Q$16,0,SUM(X381:AI381))</f>
        <v/>
      </c>
      <c r="W381" s="136">
        <f>SUM(AK381:AR381)</f>
        <v/>
      </c>
      <c r="X381" s="136">
        <f>IF(E381=$X$6,1,"")</f>
        <v/>
      </c>
      <c r="Y381" s="136">
        <f>IF(E381=$Y$6,1,"")</f>
        <v/>
      </c>
      <c r="Z381" s="136">
        <f>IF(E381=$Z$6,1,"")</f>
        <v/>
      </c>
      <c r="AA381" s="136">
        <f>IF(E381=$AA$6,1,"")</f>
        <v/>
      </c>
      <c r="AB381" s="136">
        <f>IF(E381=$AB$6,1,"")</f>
        <v/>
      </c>
      <c r="AC381" s="136">
        <f>IF(E381=$AC$6,1,"")</f>
        <v/>
      </c>
      <c r="AD381" s="136">
        <f>IF(E381=$AD$6,1,"")</f>
        <v/>
      </c>
      <c r="AE381" s="136">
        <f>IF(E381=$AE$6,1,"")</f>
        <v/>
      </c>
      <c r="AF381" s="136">
        <f>IF(E381=$AF$6,1,"")</f>
        <v/>
      </c>
      <c r="AG381" s="136">
        <f>IF(E381=$AG$6,1,"")</f>
        <v/>
      </c>
      <c r="AH381" s="136">
        <f>IF(E381=$AH$6,1,"")</f>
        <v/>
      </c>
      <c r="AI381" s="136">
        <f>IF(E381=$AI$6,1,"")</f>
        <v/>
      </c>
      <c r="AJ381" s="136">
        <f>IF(E381=$AJ$6,1,"")</f>
        <v/>
      </c>
      <c r="AK381" s="81">
        <f>IF(E381=$AK$6,1,"")</f>
        <v/>
      </c>
      <c r="AL381" s="81">
        <f>IF(E381=$AL$6,1,"")</f>
        <v/>
      </c>
      <c r="AM381" s="81">
        <f>IF(E381=$AM$6,1,"")</f>
        <v/>
      </c>
      <c r="AN381" s="81">
        <f>IF(E381=$AN$6,1,"")</f>
        <v/>
      </c>
      <c r="AO381" s="81">
        <f>IF(E381=$AO$6,1,"")</f>
        <v/>
      </c>
      <c r="AP381" s="81">
        <f>IF(E381=$AP$6,1,"")</f>
        <v/>
      </c>
      <c r="AQ381" s="81">
        <f>IF(E381=$AQ$6,1,"")</f>
        <v/>
      </c>
      <c r="AR381" s="81">
        <f>IF(E381=$AR$6,1,"")</f>
        <v/>
      </c>
      <c r="AS381" s="81" t="n"/>
    </row>
    <row r="382" ht="15.75" customHeight="1" s="80">
      <c r="A382" s="157" t="n"/>
      <c r="B382" s="124" t="n"/>
      <c r="C382" s="125" t="n"/>
      <c r="D382" s="126" t="n"/>
      <c r="E382" s="127" t="n"/>
      <c r="F382" s="128" t="n"/>
      <c r="G382" s="129">
        <f>IF(F382="","",ROUND(F382/60,2))</f>
        <v/>
      </c>
      <c r="H382" s="130" t="n"/>
      <c r="I382" s="131" t="n"/>
      <c r="J382" s="131">
        <f>IF(COUNTIF(B382:E382,"*")=0,"",IF(T382=1,"Invalid Service",IF(AND(V382=1,F382=""),"Add Session Mins",IF(AND(E382&gt;0,H382="",T382=""),"Enter Contract Rate",IF(AND(E382="IEP mtg, prep, rept",F382&gt;0),(G382*H382),IF(AND(E382&gt;0,F382&gt;0,H382&gt;0,I382=""),"Enter Travel",IF(AND(F382&gt;0,I382="Y"),(G382*H382)+$M$10,IF(AND(F382&gt;0,I382="N"),(G382*H382),H382))))))))</f>
        <v/>
      </c>
      <c r="K382" s="132">
        <f>J382</f>
        <v/>
      </c>
      <c r="L382" s="148" t="n"/>
      <c r="M382" s="148" t="n"/>
      <c r="N382" s="148" t="n"/>
      <c r="O382" s="87" t="n"/>
      <c r="P382" s="81" t="n"/>
      <c r="Q382" s="81" t="n"/>
      <c r="R382" s="81" t="n"/>
      <c r="S382" s="81" t="n"/>
      <c r="T382" s="136">
        <f>IF(AND(E382&gt;0,U382=0),1,"")</f>
        <v/>
      </c>
      <c r="U382" s="136">
        <f>SUM(X382:AR382)</f>
        <v/>
      </c>
      <c r="V382" s="136">
        <f>IF(E382=$Q$16,0,SUM(X382:AI382))</f>
        <v/>
      </c>
      <c r="W382" s="136">
        <f>SUM(AK382:AR382)</f>
        <v/>
      </c>
      <c r="X382" s="136">
        <f>IF(E382=$X$6,1,"")</f>
        <v/>
      </c>
      <c r="Y382" s="136">
        <f>IF(E382=$Y$6,1,"")</f>
        <v/>
      </c>
      <c r="Z382" s="136">
        <f>IF(E382=$Z$6,1,"")</f>
        <v/>
      </c>
      <c r="AA382" s="136">
        <f>IF(E382=$AA$6,1,"")</f>
        <v/>
      </c>
      <c r="AB382" s="136">
        <f>IF(E382=$AB$6,1,"")</f>
        <v/>
      </c>
      <c r="AC382" s="136">
        <f>IF(E382=$AC$6,1,"")</f>
        <v/>
      </c>
      <c r="AD382" s="136">
        <f>IF(E382=$AD$6,1,"")</f>
        <v/>
      </c>
      <c r="AE382" s="136">
        <f>IF(E382=$AE$6,1,"")</f>
        <v/>
      </c>
      <c r="AF382" s="136">
        <f>IF(E382=$AF$6,1,"")</f>
        <v/>
      </c>
      <c r="AG382" s="136">
        <f>IF(E382=$AG$6,1,"")</f>
        <v/>
      </c>
      <c r="AH382" s="136">
        <f>IF(E382=$AH$6,1,"")</f>
        <v/>
      </c>
      <c r="AI382" s="136">
        <f>IF(E382=$AI$6,1,"")</f>
        <v/>
      </c>
      <c r="AJ382" s="136">
        <f>IF(E382=$AJ$6,1,"")</f>
        <v/>
      </c>
      <c r="AK382" s="81">
        <f>IF(E382=$AK$6,1,"")</f>
        <v/>
      </c>
      <c r="AL382" s="81">
        <f>IF(E382=$AL$6,1,"")</f>
        <v/>
      </c>
      <c r="AM382" s="81">
        <f>IF(E382=$AM$6,1,"")</f>
        <v/>
      </c>
      <c r="AN382" s="81">
        <f>IF(E382=$AN$6,1,"")</f>
        <v/>
      </c>
      <c r="AO382" s="81">
        <f>IF(E382=$AO$6,1,"")</f>
        <v/>
      </c>
      <c r="AP382" s="81">
        <f>IF(E382=$AP$6,1,"")</f>
        <v/>
      </c>
      <c r="AQ382" s="81">
        <f>IF(E382=$AQ$6,1,"")</f>
        <v/>
      </c>
      <c r="AR382" s="81">
        <f>IF(E382=$AR$6,1,"")</f>
        <v/>
      </c>
      <c r="AS382" s="81" t="n"/>
    </row>
    <row r="383" ht="15.75" customHeight="1" s="80">
      <c r="A383" s="157" t="n"/>
      <c r="B383" s="124" t="n"/>
      <c r="C383" s="125" t="n"/>
      <c r="D383" s="126" t="n"/>
      <c r="E383" s="127" t="n"/>
      <c r="F383" s="128" t="n"/>
      <c r="G383" s="129">
        <f>IF(F383="","",ROUND(F383/60,2))</f>
        <v/>
      </c>
      <c r="H383" s="130" t="n"/>
      <c r="I383" s="131" t="n"/>
      <c r="J383" s="131">
        <f>IF(COUNTIF(B383:E383,"*")=0,"",IF(T383=1,"Invalid Service",IF(AND(V383=1,F383=""),"Add Session Mins",IF(AND(E383&gt;0,H383="",T383=""),"Enter Contract Rate",IF(AND(E383="IEP mtg, prep, rept",F383&gt;0),(G383*H383),IF(AND(E383&gt;0,F383&gt;0,H383&gt;0,I383=""),"Enter Travel",IF(AND(F383&gt;0,I383="Y"),(G383*H383)+$M$10,IF(AND(F383&gt;0,I383="N"),(G383*H383),H383))))))))</f>
        <v/>
      </c>
      <c r="K383" s="132">
        <f>J383</f>
        <v/>
      </c>
      <c r="L383" s="148" t="n"/>
      <c r="M383" s="148" t="n"/>
      <c r="N383" s="148" t="n"/>
      <c r="O383" s="87" t="n"/>
      <c r="P383" s="81" t="n"/>
      <c r="Q383" s="81" t="n"/>
      <c r="R383" s="81" t="n"/>
      <c r="S383" s="81" t="n"/>
      <c r="T383" s="136">
        <f>IF(AND(E383&gt;0,U383=0),1,"")</f>
        <v/>
      </c>
      <c r="U383" s="136">
        <f>SUM(X383:AR383)</f>
        <v/>
      </c>
      <c r="V383" s="136">
        <f>IF(E383=$Q$16,0,SUM(X383:AI383))</f>
        <v/>
      </c>
      <c r="W383" s="136">
        <f>SUM(AK383:AR383)</f>
        <v/>
      </c>
      <c r="X383" s="136">
        <f>IF(E383=$X$6,1,"")</f>
        <v/>
      </c>
      <c r="Y383" s="136">
        <f>IF(E383=$Y$6,1,"")</f>
        <v/>
      </c>
      <c r="Z383" s="136">
        <f>IF(E383=$Z$6,1,"")</f>
        <v/>
      </c>
      <c r="AA383" s="136">
        <f>IF(E383=$AA$6,1,"")</f>
        <v/>
      </c>
      <c r="AB383" s="136">
        <f>IF(E383=$AB$6,1,"")</f>
        <v/>
      </c>
      <c r="AC383" s="136">
        <f>IF(E383=$AC$6,1,"")</f>
        <v/>
      </c>
      <c r="AD383" s="136">
        <f>IF(E383=$AD$6,1,"")</f>
        <v/>
      </c>
      <c r="AE383" s="136">
        <f>IF(E383=$AE$6,1,"")</f>
        <v/>
      </c>
      <c r="AF383" s="136">
        <f>IF(E383=$AF$6,1,"")</f>
        <v/>
      </c>
      <c r="AG383" s="136">
        <f>IF(E383=$AG$6,1,"")</f>
        <v/>
      </c>
      <c r="AH383" s="136">
        <f>IF(E383=$AH$6,1,"")</f>
        <v/>
      </c>
      <c r="AI383" s="136">
        <f>IF(E383=$AI$6,1,"")</f>
        <v/>
      </c>
      <c r="AJ383" s="136">
        <f>IF(E383=$AJ$6,1,"")</f>
        <v/>
      </c>
      <c r="AK383" s="81">
        <f>IF(E383=$AK$6,1,"")</f>
        <v/>
      </c>
      <c r="AL383" s="81">
        <f>IF(E383=$AL$6,1,"")</f>
        <v/>
      </c>
      <c r="AM383" s="81">
        <f>IF(E383=$AM$6,1,"")</f>
        <v/>
      </c>
      <c r="AN383" s="81">
        <f>IF(E383=$AN$6,1,"")</f>
        <v/>
      </c>
      <c r="AO383" s="81">
        <f>IF(E383=$AO$6,1,"")</f>
        <v/>
      </c>
      <c r="AP383" s="81">
        <f>IF(E383=$AP$6,1,"")</f>
        <v/>
      </c>
      <c r="AQ383" s="81">
        <f>IF(E383=$AQ$6,1,"")</f>
        <v/>
      </c>
      <c r="AR383" s="81">
        <f>IF(E383=$AR$6,1,"")</f>
        <v/>
      </c>
      <c r="AS383" s="81" t="n"/>
    </row>
    <row r="384" ht="15.75" customHeight="1" s="80">
      <c r="A384" s="157" t="n"/>
      <c r="B384" s="124" t="n"/>
      <c r="C384" s="125" t="n"/>
      <c r="D384" s="126" t="n"/>
      <c r="E384" s="127" t="n"/>
      <c r="F384" s="128" t="n"/>
      <c r="G384" s="129">
        <f>IF(F384="","",ROUND(F384/60,2))</f>
        <v/>
      </c>
      <c r="H384" s="130" t="n"/>
      <c r="I384" s="131" t="n"/>
      <c r="J384" s="131">
        <f>IF(COUNTIF(B384:E384,"*")=0,"",IF(T384=1,"Invalid Service",IF(AND(V384=1,F384=""),"Add Session Mins",IF(AND(E384&gt;0,H384="",T384=""),"Enter Contract Rate",IF(AND(E384="IEP mtg, prep, rept",F384&gt;0),(G384*H384),IF(AND(E384&gt;0,F384&gt;0,H384&gt;0,I384=""),"Enter Travel",IF(AND(F384&gt;0,I384="Y"),(G384*H384)+$M$10,IF(AND(F384&gt;0,I384="N"),(G384*H384),H384))))))))</f>
        <v/>
      </c>
      <c r="K384" s="132">
        <f>J384</f>
        <v/>
      </c>
      <c r="L384" s="148" t="n"/>
      <c r="M384" s="148" t="n"/>
      <c r="N384" s="148" t="n"/>
      <c r="O384" s="87" t="n"/>
      <c r="P384" s="81" t="n"/>
      <c r="Q384" s="81" t="n"/>
      <c r="R384" s="81" t="n"/>
      <c r="S384" s="81" t="n"/>
      <c r="T384" s="136">
        <f>IF(AND(E384&gt;0,U384=0),1,"")</f>
        <v/>
      </c>
      <c r="U384" s="136">
        <f>SUM(X384:AR384)</f>
        <v/>
      </c>
      <c r="V384" s="136">
        <f>IF(E384=$Q$16,0,SUM(X384:AI384))</f>
        <v/>
      </c>
      <c r="W384" s="136">
        <f>SUM(AK384:AR384)</f>
        <v/>
      </c>
      <c r="X384" s="136">
        <f>IF(E384=$X$6,1,"")</f>
        <v/>
      </c>
      <c r="Y384" s="136">
        <f>IF(E384=$Y$6,1,"")</f>
        <v/>
      </c>
      <c r="Z384" s="136">
        <f>IF(E384=$Z$6,1,"")</f>
        <v/>
      </c>
      <c r="AA384" s="136">
        <f>IF(E384=$AA$6,1,"")</f>
        <v/>
      </c>
      <c r="AB384" s="136">
        <f>IF(E384=$AB$6,1,"")</f>
        <v/>
      </c>
      <c r="AC384" s="136">
        <f>IF(E384=$AC$6,1,"")</f>
        <v/>
      </c>
      <c r="AD384" s="136">
        <f>IF(E384=$AD$6,1,"")</f>
        <v/>
      </c>
      <c r="AE384" s="136">
        <f>IF(E384=$AE$6,1,"")</f>
        <v/>
      </c>
      <c r="AF384" s="136">
        <f>IF(E384=$AF$6,1,"")</f>
        <v/>
      </c>
      <c r="AG384" s="136">
        <f>IF(E384=$AG$6,1,"")</f>
        <v/>
      </c>
      <c r="AH384" s="136">
        <f>IF(E384=$AH$6,1,"")</f>
        <v/>
      </c>
      <c r="AI384" s="136">
        <f>IF(E384=$AI$6,1,"")</f>
        <v/>
      </c>
      <c r="AJ384" s="136">
        <f>IF(E384=$AJ$6,1,"")</f>
        <v/>
      </c>
      <c r="AK384" s="81">
        <f>IF(E384=$AK$6,1,"")</f>
        <v/>
      </c>
      <c r="AL384" s="81">
        <f>IF(E384=$AL$6,1,"")</f>
        <v/>
      </c>
      <c r="AM384" s="81">
        <f>IF(E384=$AM$6,1,"")</f>
        <v/>
      </c>
      <c r="AN384" s="81">
        <f>IF(E384=$AN$6,1,"")</f>
        <v/>
      </c>
      <c r="AO384" s="81">
        <f>IF(E384=$AO$6,1,"")</f>
        <v/>
      </c>
      <c r="AP384" s="81">
        <f>IF(E384=$AP$6,1,"")</f>
        <v/>
      </c>
      <c r="AQ384" s="81">
        <f>IF(E384=$AQ$6,1,"")</f>
        <v/>
      </c>
      <c r="AR384" s="81">
        <f>IF(E384=$AR$6,1,"")</f>
        <v/>
      </c>
      <c r="AS384" s="81" t="n"/>
    </row>
    <row r="385" ht="15.75" customHeight="1" s="80">
      <c r="A385" s="157" t="n"/>
      <c r="B385" s="124" t="n"/>
      <c r="C385" s="125" t="n"/>
      <c r="D385" s="126" t="n"/>
      <c r="E385" s="127" t="n"/>
      <c r="F385" s="128" t="n"/>
      <c r="G385" s="129">
        <f>IF(F385="","",ROUND(F385/60,2))</f>
        <v/>
      </c>
      <c r="H385" s="130" t="n"/>
      <c r="I385" s="131" t="n"/>
      <c r="J385" s="131">
        <f>IF(COUNTIF(B385:E385,"*")=0,"",IF(T385=1,"Invalid Service",IF(AND(V385=1,F385=""),"Add Session Mins",IF(AND(E385&gt;0,H385="",T385=""),"Enter Contract Rate",IF(AND(E385="IEP mtg, prep, rept",F385&gt;0),(G385*H385),IF(AND(E385&gt;0,F385&gt;0,H385&gt;0,I385=""),"Enter Travel",IF(AND(F385&gt;0,I385="Y"),(G385*H385)+$M$10,IF(AND(F385&gt;0,I385="N"),(G385*H385),H385))))))))</f>
        <v/>
      </c>
      <c r="K385" s="132">
        <f>J385</f>
        <v/>
      </c>
      <c r="L385" s="148" t="n"/>
      <c r="M385" s="148" t="n"/>
      <c r="N385" s="148" t="n"/>
      <c r="O385" s="87" t="n"/>
      <c r="P385" s="81" t="n"/>
      <c r="Q385" s="81" t="n"/>
      <c r="R385" s="81" t="n"/>
      <c r="S385" s="81" t="n"/>
      <c r="T385" s="136">
        <f>IF(AND(E385&gt;0,U385=0),1,"")</f>
        <v/>
      </c>
      <c r="U385" s="136">
        <f>SUM(X385:AR385)</f>
        <v/>
      </c>
      <c r="V385" s="136">
        <f>IF(E385=$Q$16,0,SUM(X385:AI385))</f>
        <v/>
      </c>
      <c r="W385" s="136">
        <f>SUM(AK385:AR385)</f>
        <v/>
      </c>
      <c r="X385" s="136">
        <f>IF(E385=$X$6,1,"")</f>
        <v/>
      </c>
      <c r="Y385" s="136">
        <f>IF(E385=$Y$6,1,"")</f>
        <v/>
      </c>
      <c r="Z385" s="136">
        <f>IF(E385=$Z$6,1,"")</f>
        <v/>
      </c>
      <c r="AA385" s="136">
        <f>IF(E385=$AA$6,1,"")</f>
        <v/>
      </c>
      <c r="AB385" s="136">
        <f>IF(E385=$AB$6,1,"")</f>
        <v/>
      </c>
      <c r="AC385" s="136">
        <f>IF(E385=$AC$6,1,"")</f>
        <v/>
      </c>
      <c r="AD385" s="136">
        <f>IF(E385=$AD$6,1,"")</f>
        <v/>
      </c>
      <c r="AE385" s="136">
        <f>IF(E385=$AE$6,1,"")</f>
        <v/>
      </c>
      <c r="AF385" s="136">
        <f>IF(E385=$AF$6,1,"")</f>
        <v/>
      </c>
      <c r="AG385" s="136">
        <f>IF(E385=$AG$6,1,"")</f>
        <v/>
      </c>
      <c r="AH385" s="136">
        <f>IF(E385=$AH$6,1,"")</f>
        <v/>
      </c>
      <c r="AI385" s="136">
        <f>IF(E385=$AI$6,1,"")</f>
        <v/>
      </c>
      <c r="AJ385" s="136">
        <f>IF(E385=$AJ$6,1,"")</f>
        <v/>
      </c>
      <c r="AK385" s="81">
        <f>IF(E385=$AK$6,1,"")</f>
        <v/>
      </c>
      <c r="AL385" s="81">
        <f>IF(E385=$AL$6,1,"")</f>
        <v/>
      </c>
      <c r="AM385" s="81">
        <f>IF(E385=$AM$6,1,"")</f>
        <v/>
      </c>
      <c r="AN385" s="81">
        <f>IF(E385=$AN$6,1,"")</f>
        <v/>
      </c>
      <c r="AO385" s="81">
        <f>IF(E385=$AO$6,1,"")</f>
        <v/>
      </c>
      <c r="AP385" s="81">
        <f>IF(E385=$AP$6,1,"")</f>
        <v/>
      </c>
      <c r="AQ385" s="81">
        <f>IF(E385=$AQ$6,1,"")</f>
        <v/>
      </c>
      <c r="AR385" s="81">
        <f>IF(E385=$AR$6,1,"")</f>
        <v/>
      </c>
      <c r="AS385" s="81" t="n"/>
    </row>
    <row r="386" ht="15.75" customHeight="1" s="80">
      <c r="A386" s="157" t="n"/>
      <c r="B386" s="124" t="n"/>
      <c r="C386" s="125" t="n"/>
      <c r="D386" s="126" t="n"/>
      <c r="E386" s="127" t="n"/>
      <c r="F386" s="128" t="n"/>
      <c r="G386" s="129">
        <f>IF(F386="","",ROUND(F386/60,2))</f>
        <v/>
      </c>
      <c r="H386" s="130" t="n"/>
      <c r="I386" s="131" t="n"/>
      <c r="J386" s="131">
        <f>IF(COUNTIF(B386:E386,"*")=0,"",IF(T386=1,"Invalid Service",IF(AND(V386=1,F386=""),"Add Session Mins",IF(AND(E386&gt;0,H386="",T386=""),"Enter Contract Rate",IF(AND(E386="IEP mtg, prep, rept",F386&gt;0),(G386*H386),IF(AND(E386&gt;0,F386&gt;0,H386&gt;0,I386=""),"Enter Travel",IF(AND(F386&gt;0,I386="Y"),(G386*H386)+$M$10,IF(AND(F386&gt;0,I386="N"),(G386*H386),H386))))))))</f>
        <v/>
      </c>
      <c r="K386" s="132">
        <f>J386</f>
        <v/>
      </c>
      <c r="L386" s="148" t="n"/>
      <c r="M386" s="148" t="n"/>
      <c r="N386" s="148" t="n"/>
      <c r="O386" s="87" t="n"/>
      <c r="P386" s="81" t="n"/>
      <c r="Q386" s="81" t="n"/>
      <c r="R386" s="81" t="n"/>
      <c r="S386" s="81" t="n"/>
      <c r="T386" s="136">
        <f>IF(AND(E386&gt;0,U386=0),1,"")</f>
        <v/>
      </c>
      <c r="U386" s="136">
        <f>SUM(X386:AR386)</f>
        <v/>
      </c>
      <c r="V386" s="136">
        <f>IF(E386=$Q$16,0,SUM(X386:AI386))</f>
        <v/>
      </c>
      <c r="W386" s="136">
        <f>SUM(AK386:AR386)</f>
        <v/>
      </c>
      <c r="X386" s="136">
        <f>IF(E386=$X$6,1,"")</f>
        <v/>
      </c>
      <c r="Y386" s="136">
        <f>IF(E386=$Y$6,1,"")</f>
        <v/>
      </c>
      <c r="Z386" s="136">
        <f>IF(E386=$Z$6,1,"")</f>
        <v/>
      </c>
      <c r="AA386" s="136">
        <f>IF(E386=$AA$6,1,"")</f>
        <v/>
      </c>
      <c r="AB386" s="136">
        <f>IF(E386=$AB$6,1,"")</f>
        <v/>
      </c>
      <c r="AC386" s="136">
        <f>IF(E386=$AC$6,1,"")</f>
        <v/>
      </c>
      <c r="AD386" s="136">
        <f>IF(E386=$AD$6,1,"")</f>
        <v/>
      </c>
      <c r="AE386" s="136">
        <f>IF(E386=$AE$6,1,"")</f>
        <v/>
      </c>
      <c r="AF386" s="136">
        <f>IF(E386=$AF$6,1,"")</f>
        <v/>
      </c>
      <c r="AG386" s="136">
        <f>IF(E386=$AG$6,1,"")</f>
        <v/>
      </c>
      <c r="AH386" s="136">
        <f>IF(E386=$AH$6,1,"")</f>
        <v/>
      </c>
      <c r="AI386" s="136">
        <f>IF(E386=$AI$6,1,"")</f>
        <v/>
      </c>
      <c r="AJ386" s="136">
        <f>IF(E386=$AJ$6,1,"")</f>
        <v/>
      </c>
      <c r="AK386" s="81">
        <f>IF(E386=$AK$6,1,"")</f>
        <v/>
      </c>
      <c r="AL386" s="81">
        <f>IF(E386=$AL$6,1,"")</f>
        <v/>
      </c>
      <c r="AM386" s="81">
        <f>IF(E386=$AM$6,1,"")</f>
        <v/>
      </c>
      <c r="AN386" s="81">
        <f>IF(E386=$AN$6,1,"")</f>
        <v/>
      </c>
      <c r="AO386" s="81">
        <f>IF(E386=$AO$6,1,"")</f>
        <v/>
      </c>
      <c r="AP386" s="81">
        <f>IF(E386=$AP$6,1,"")</f>
        <v/>
      </c>
      <c r="AQ386" s="81">
        <f>IF(E386=$AQ$6,1,"")</f>
        <v/>
      </c>
      <c r="AR386" s="81">
        <f>IF(E386=$AR$6,1,"")</f>
        <v/>
      </c>
      <c r="AS386" s="81" t="n"/>
    </row>
    <row r="387" ht="15.75" customHeight="1" s="80">
      <c r="A387" s="157" t="n"/>
      <c r="B387" s="124" t="n"/>
      <c r="C387" s="125" t="n"/>
      <c r="D387" s="126" t="n"/>
      <c r="E387" s="127" t="n"/>
      <c r="F387" s="128" t="n"/>
      <c r="G387" s="129">
        <f>IF(F387="","",ROUND(F387/60,2))</f>
        <v/>
      </c>
      <c r="H387" s="130" t="n"/>
      <c r="I387" s="131" t="n"/>
      <c r="J387" s="131">
        <f>IF(COUNTIF(B387:E387,"*")=0,"",IF(T387=1,"Invalid Service",IF(AND(V387=1,F387=""),"Add Session Mins",IF(AND(E387&gt;0,H387="",T387=""),"Enter Contract Rate",IF(AND(E387="IEP mtg, prep, rept",F387&gt;0),(G387*H387),IF(AND(E387&gt;0,F387&gt;0,H387&gt;0,I387=""),"Enter Travel",IF(AND(F387&gt;0,I387="Y"),(G387*H387)+$M$10,IF(AND(F387&gt;0,I387="N"),(G387*H387),H387))))))))</f>
        <v/>
      </c>
      <c r="K387" s="132">
        <f>J387</f>
        <v/>
      </c>
      <c r="L387" s="148" t="n"/>
      <c r="M387" s="148" t="n"/>
      <c r="N387" s="148" t="n"/>
      <c r="O387" s="87" t="n"/>
      <c r="P387" s="81" t="n"/>
      <c r="Q387" s="81" t="n"/>
      <c r="R387" s="81" t="n"/>
      <c r="S387" s="81" t="n"/>
      <c r="T387" s="136">
        <f>IF(AND(E387&gt;0,U387=0),1,"")</f>
        <v/>
      </c>
      <c r="U387" s="136">
        <f>SUM(X387:AR387)</f>
        <v/>
      </c>
      <c r="V387" s="136">
        <f>IF(E387=$Q$16,0,SUM(X387:AI387))</f>
        <v/>
      </c>
      <c r="W387" s="136">
        <f>SUM(AK387:AR387)</f>
        <v/>
      </c>
      <c r="X387" s="136">
        <f>IF(E387=$X$6,1,"")</f>
        <v/>
      </c>
      <c r="Y387" s="136">
        <f>IF(E387=$Y$6,1,"")</f>
        <v/>
      </c>
      <c r="Z387" s="136">
        <f>IF(E387=$Z$6,1,"")</f>
        <v/>
      </c>
      <c r="AA387" s="136">
        <f>IF(E387=$AA$6,1,"")</f>
        <v/>
      </c>
      <c r="AB387" s="136">
        <f>IF(E387=$AB$6,1,"")</f>
        <v/>
      </c>
      <c r="AC387" s="136">
        <f>IF(E387=$AC$6,1,"")</f>
        <v/>
      </c>
      <c r="AD387" s="136">
        <f>IF(E387=$AD$6,1,"")</f>
        <v/>
      </c>
      <c r="AE387" s="136">
        <f>IF(E387=$AE$6,1,"")</f>
        <v/>
      </c>
      <c r="AF387" s="136">
        <f>IF(E387=$AF$6,1,"")</f>
        <v/>
      </c>
      <c r="AG387" s="136">
        <f>IF(E387=$AG$6,1,"")</f>
        <v/>
      </c>
      <c r="AH387" s="136">
        <f>IF(E387=$AH$6,1,"")</f>
        <v/>
      </c>
      <c r="AI387" s="136">
        <f>IF(E387=$AI$6,1,"")</f>
        <v/>
      </c>
      <c r="AJ387" s="136">
        <f>IF(E387=$AJ$6,1,"")</f>
        <v/>
      </c>
      <c r="AK387" s="81">
        <f>IF(E387=$AK$6,1,"")</f>
        <v/>
      </c>
      <c r="AL387" s="81">
        <f>IF(E387=$AL$6,1,"")</f>
        <v/>
      </c>
      <c r="AM387" s="81">
        <f>IF(E387=$AM$6,1,"")</f>
        <v/>
      </c>
      <c r="AN387" s="81">
        <f>IF(E387=$AN$6,1,"")</f>
        <v/>
      </c>
      <c r="AO387" s="81">
        <f>IF(E387=$AO$6,1,"")</f>
        <v/>
      </c>
      <c r="AP387" s="81">
        <f>IF(E387=$AP$6,1,"")</f>
        <v/>
      </c>
      <c r="AQ387" s="81">
        <f>IF(E387=$AQ$6,1,"")</f>
        <v/>
      </c>
      <c r="AR387" s="81">
        <f>IF(E387=$AR$6,1,"")</f>
        <v/>
      </c>
      <c r="AS387" s="81" t="n"/>
    </row>
    <row r="388" ht="15.75" customHeight="1" s="80">
      <c r="A388" s="157" t="n"/>
      <c r="B388" s="124" t="n"/>
      <c r="C388" s="125" t="n"/>
      <c r="D388" s="126" t="n"/>
      <c r="E388" s="127" t="n"/>
      <c r="F388" s="128" t="n"/>
      <c r="G388" s="129">
        <f>IF(F388="","",ROUND(F388/60,2))</f>
        <v/>
      </c>
      <c r="H388" s="130" t="n"/>
      <c r="I388" s="131" t="n"/>
      <c r="J388" s="131">
        <f>IF(COUNTIF(B388:E388,"*")=0,"",IF(T388=1,"Invalid Service",IF(AND(V388=1,F388=""),"Add Session Mins",IF(AND(E388&gt;0,H388="",T388=""),"Enter Contract Rate",IF(AND(E388="IEP mtg, prep, rept",F388&gt;0),(G388*H388),IF(AND(E388&gt;0,F388&gt;0,H388&gt;0,I388=""),"Enter Travel",IF(AND(F388&gt;0,I388="Y"),(G388*H388)+$M$10,IF(AND(F388&gt;0,I388="N"),(G388*H388),H388))))))))</f>
        <v/>
      </c>
      <c r="K388" s="132">
        <f>J388</f>
        <v/>
      </c>
      <c r="L388" s="148" t="n"/>
      <c r="M388" s="148" t="n"/>
      <c r="N388" s="148" t="n"/>
      <c r="O388" s="87" t="n"/>
      <c r="P388" s="81" t="n"/>
      <c r="Q388" s="81" t="n"/>
      <c r="R388" s="81" t="n"/>
      <c r="S388" s="81" t="n"/>
      <c r="T388" s="136">
        <f>IF(AND(E388&gt;0,U388=0),1,"")</f>
        <v/>
      </c>
      <c r="U388" s="136">
        <f>SUM(X388:AR388)</f>
        <v/>
      </c>
      <c r="V388" s="136">
        <f>IF(E388=$Q$16,0,SUM(X388:AI388))</f>
        <v/>
      </c>
      <c r="W388" s="136">
        <f>SUM(AK388:AR388)</f>
        <v/>
      </c>
      <c r="X388" s="136">
        <f>IF(E388=$X$6,1,"")</f>
        <v/>
      </c>
      <c r="Y388" s="136">
        <f>IF(E388=$Y$6,1,"")</f>
        <v/>
      </c>
      <c r="Z388" s="136">
        <f>IF(E388=$Z$6,1,"")</f>
        <v/>
      </c>
      <c r="AA388" s="136">
        <f>IF(E388=$AA$6,1,"")</f>
        <v/>
      </c>
      <c r="AB388" s="136">
        <f>IF(E388=$AB$6,1,"")</f>
        <v/>
      </c>
      <c r="AC388" s="136">
        <f>IF(E388=$AC$6,1,"")</f>
        <v/>
      </c>
      <c r="AD388" s="136">
        <f>IF(E388=$AD$6,1,"")</f>
        <v/>
      </c>
      <c r="AE388" s="136">
        <f>IF(E388=$AE$6,1,"")</f>
        <v/>
      </c>
      <c r="AF388" s="136">
        <f>IF(E388=$AF$6,1,"")</f>
        <v/>
      </c>
      <c r="AG388" s="136">
        <f>IF(E388=$AG$6,1,"")</f>
        <v/>
      </c>
      <c r="AH388" s="136">
        <f>IF(E388=$AH$6,1,"")</f>
        <v/>
      </c>
      <c r="AI388" s="136">
        <f>IF(E388=$AI$6,1,"")</f>
        <v/>
      </c>
      <c r="AJ388" s="136">
        <f>IF(E388=$AJ$6,1,"")</f>
        <v/>
      </c>
      <c r="AK388" s="81">
        <f>IF(E388=$AK$6,1,"")</f>
        <v/>
      </c>
      <c r="AL388" s="81">
        <f>IF(E388=$AL$6,1,"")</f>
        <v/>
      </c>
      <c r="AM388" s="81">
        <f>IF(E388=$AM$6,1,"")</f>
        <v/>
      </c>
      <c r="AN388" s="81">
        <f>IF(E388=$AN$6,1,"")</f>
        <v/>
      </c>
      <c r="AO388" s="81">
        <f>IF(E388=$AO$6,1,"")</f>
        <v/>
      </c>
      <c r="AP388" s="81">
        <f>IF(E388=$AP$6,1,"")</f>
        <v/>
      </c>
      <c r="AQ388" s="81">
        <f>IF(E388=$AQ$6,1,"")</f>
        <v/>
      </c>
      <c r="AR388" s="81">
        <f>IF(E388=$AR$6,1,"")</f>
        <v/>
      </c>
      <c r="AS388" s="81" t="n"/>
    </row>
    <row r="389" ht="15.75" customHeight="1" s="80">
      <c r="A389" s="157" t="n"/>
      <c r="B389" s="124" t="n"/>
      <c r="C389" s="125" t="n"/>
      <c r="D389" s="126" t="n"/>
      <c r="E389" s="127" t="n"/>
      <c r="F389" s="128" t="n"/>
      <c r="G389" s="129">
        <f>IF(F389="","",ROUND(F389/60,2))</f>
        <v/>
      </c>
      <c r="H389" s="130" t="n"/>
      <c r="I389" s="131" t="n"/>
      <c r="J389" s="131">
        <f>IF(COUNTIF(B389:E389,"*")=0,"",IF(T389=1,"Invalid Service",IF(AND(V389=1,F389=""),"Add Session Mins",IF(AND(E389&gt;0,H389="",T389=""),"Enter Contract Rate",IF(AND(E389="IEP mtg, prep, rept",F389&gt;0),(G389*H389),IF(AND(E389&gt;0,F389&gt;0,H389&gt;0,I389=""),"Enter Travel",IF(AND(F389&gt;0,I389="Y"),(G389*H389)+$M$10,IF(AND(F389&gt;0,I389="N"),(G389*H389),H389))))))))</f>
        <v/>
      </c>
      <c r="K389" s="132">
        <f>J389</f>
        <v/>
      </c>
      <c r="L389" s="148" t="n"/>
      <c r="M389" s="148" t="n"/>
      <c r="N389" s="148" t="n"/>
      <c r="O389" s="87" t="n"/>
      <c r="P389" s="81" t="n"/>
      <c r="Q389" s="81" t="n"/>
      <c r="R389" s="81" t="n"/>
      <c r="S389" s="81" t="n"/>
      <c r="T389" s="136">
        <f>IF(AND(E389&gt;0,U389=0),1,"")</f>
        <v/>
      </c>
      <c r="U389" s="136">
        <f>SUM(X389:AR389)</f>
        <v/>
      </c>
      <c r="V389" s="136">
        <f>IF(E389=$Q$16,0,SUM(X389:AI389))</f>
        <v/>
      </c>
      <c r="W389" s="136">
        <f>SUM(AK389:AR389)</f>
        <v/>
      </c>
      <c r="X389" s="136">
        <f>IF(E389=$X$6,1,"")</f>
        <v/>
      </c>
      <c r="Y389" s="136">
        <f>IF(E389=$Y$6,1,"")</f>
        <v/>
      </c>
      <c r="Z389" s="136">
        <f>IF(E389=$Z$6,1,"")</f>
        <v/>
      </c>
      <c r="AA389" s="136">
        <f>IF(E389=$AA$6,1,"")</f>
        <v/>
      </c>
      <c r="AB389" s="136">
        <f>IF(E389=$AB$6,1,"")</f>
        <v/>
      </c>
      <c r="AC389" s="136">
        <f>IF(E389=$AC$6,1,"")</f>
        <v/>
      </c>
      <c r="AD389" s="136">
        <f>IF(E389=$AD$6,1,"")</f>
        <v/>
      </c>
      <c r="AE389" s="136">
        <f>IF(E389=$AE$6,1,"")</f>
        <v/>
      </c>
      <c r="AF389" s="136">
        <f>IF(E389=$AF$6,1,"")</f>
        <v/>
      </c>
      <c r="AG389" s="136">
        <f>IF(E389=$AG$6,1,"")</f>
        <v/>
      </c>
      <c r="AH389" s="136">
        <f>IF(E389=$AH$6,1,"")</f>
        <v/>
      </c>
      <c r="AI389" s="136">
        <f>IF(E389=$AI$6,1,"")</f>
        <v/>
      </c>
      <c r="AJ389" s="136">
        <f>IF(E389=$AJ$6,1,"")</f>
        <v/>
      </c>
      <c r="AK389" s="81">
        <f>IF(E389=$AK$6,1,"")</f>
        <v/>
      </c>
      <c r="AL389" s="81">
        <f>IF(E389=$AL$6,1,"")</f>
        <v/>
      </c>
      <c r="AM389" s="81">
        <f>IF(E389=$AM$6,1,"")</f>
        <v/>
      </c>
      <c r="AN389" s="81">
        <f>IF(E389=$AN$6,1,"")</f>
        <v/>
      </c>
      <c r="AO389" s="81">
        <f>IF(E389=$AO$6,1,"")</f>
        <v/>
      </c>
      <c r="AP389" s="81">
        <f>IF(E389=$AP$6,1,"")</f>
        <v/>
      </c>
      <c r="AQ389" s="81">
        <f>IF(E389=$AQ$6,1,"")</f>
        <v/>
      </c>
      <c r="AR389" s="81">
        <f>IF(E389=$AR$6,1,"")</f>
        <v/>
      </c>
      <c r="AS389" s="81" t="n"/>
    </row>
    <row r="390" ht="15.75" customHeight="1" s="80">
      <c r="A390" s="157" t="n"/>
      <c r="B390" s="124" t="n"/>
      <c r="C390" s="125" t="n"/>
      <c r="D390" s="126" t="n"/>
      <c r="E390" s="127" t="n"/>
      <c r="F390" s="128" t="n"/>
      <c r="G390" s="129">
        <f>IF(F390="","",ROUND(F390/60,2))</f>
        <v/>
      </c>
      <c r="H390" s="130" t="n"/>
      <c r="I390" s="131" t="n"/>
      <c r="J390" s="131">
        <f>IF(COUNTIF(B390:E390,"*")=0,"",IF(T390=1,"Invalid Service",IF(AND(V390=1,F390=""),"Add Session Mins",IF(AND(E390&gt;0,H390="",T390=""),"Enter Contract Rate",IF(AND(E390="IEP mtg, prep, rept",F390&gt;0),(G390*H390),IF(AND(E390&gt;0,F390&gt;0,H390&gt;0,I390=""),"Enter Travel",IF(AND(F390&gt;0,I390="Y"),(G390*H390)+$M$10,IF(AND(F390&gt;0,I390="N"),(G390*H390),H390))))))))</f>
        <v/>
      </c>
      <c r="K390" s="132">
        <f>J390</f>
        <v/>
      </c>
      <c r="L390" s="148" t="n"/>
      <c r="M390" s="148" t="n"/>
      <c r="N390" s="148" t="n"/>
      <c r="O390" s="87" t="n"/>
      <c r="P390" s="81" t="n"/>
      <c r="Q390" s="81" t="n"/>
      <c r="R390" s="81" t="n"/>
      <c r="S390" s="81" t="n"/>
      <c r="T390" s="136">
        <f>IF(AND(E390&gt;0,U390=0),1,"")</f>
        <v/>
      </c>
      <c r="U390" s="136">
        <f>SUM(X390:AR390)</f>
        <v/>
      </c>
      <c r="V390" s="136">
        <f>IF(E390=$Q$16,0,SUM(X390:AI390))</f>
        <v/>
      </c>
      <c r="W390" s="136">
        <f>SUM(AK390:AR390)</f>
        <v/>
      </c>
      <c r="X390" s="136">
        <f>IF(E390=$X$6,1,"")</f>
        <v/>
      </c>
      <c r="Y390" s="136">
        <f>IF(E390=$Y$6,1,"")</f>
        <v/>
      </c>
      <c r="Z390" s="136">
        <f>IF(E390=$Z$6,1,"")</f>
        <v/>
      </c>
      <c r="AA390" s="136">
        <f>IF(E390=$AA$6,1,"")</f>
        <v/>
      </c>
      <c r="AB390" s="136">
        <f>IF(E390=$AB$6,1,"")</f>
        <v/>
      </c>
      <c r="AC390" s="136">
        <f>IF(E390=$AC$6,1,"")</f>
        <v/>
      </c>
      <c r="AD390" s="136">
        <f>IF(E390=$AD$6,1,"")</f>
        <v/>
      </c>
      <c r="AE390" s="136">
        <f>IF(E390=$AE$6,1,"")</f>
        <v/>
      </c>
      <c r="AF390" s="136">
        <f>IF(E390=$AF$6,1,"")</f>
        <v/>
      </c>
      <c r="AG390" s="136">
        <f>IF(E390=$AG$6,1,"")</f>
        <v/>
      </c>
      <c r="AH390" s="136">
        <f>IF(E390=$AH$6,1,"")</f>
        <v/>
      </c>
      <c r="AI390" s="136">
        <f>IF(E390=$AI$6,1,"")</f>
        <v/>
      </c>
      <c r="AJ390" s="136">
        <f>IF(E390=$AJ$6,1,"")</f>
        <v/>
      </c>
      <c r="AK390" s="81">
        <f>IF(E390=$AK$6,1,"")</f>
        <v/>
      </c>
      <c r="AL390" s="81">
        <f>IF(E390=$AL$6,1,"")</f>
        <v/>
      </c>
      <c r="AM390" s="81">
        <f>IF(E390=$AM$6,1,"")</f>
        <v/>
      </c>
      <c r="AN390" s="81">
        <f>IF(E390=$AN$6,1,"")</f>
        <v/>
      </c>
      <c r="AO390" s="81">
        <f>IF(E390=$AO$6,1,"")</f>
        <v/>
      </c>
      <c r="AP390" s="81">
        <f>IF(E390=$AP$6,1,"")</f>
        <v/>
      </c>
      <c r="AQ390" s="81">
        <f>IF(E390=$AQ$6,1,"")</f>
        <v/>
      </c>
      <c r="AR390" s="81">
        <f>IF(E390=$AR$6,1,"")</f>
        <v/>
      </c>
      <c r="AS390" s="81" t="n"/>
    </row>
    <row r="391" ht="15.75" customHeight="1" s="80">
      <c r="A391" s="157" t="n"/>
      <c r="B391" s="124" t="n"/>
      <c r="C391" s="125" t="n"/>
      <c r="D391" s="126" t="n"/>
      <c r="E391" s="127" t="n"/>
      <c r="F391" s="128" t="n"/>
      <c r="G391" s="129">
        <f>IF(F391="","",ROUND(F391/60,2))</f>
        <v/>
      </c>
      <c r="H391" s="130" t="n"/>
      <c r="I391" s="131" t="n"/>
      <c r="J391" s="131">
        <f>IF(COUNTIF(B391:E391,"*")=0,"",IF(T391=1,"Invalid Service",IF(AND(V391=1,F391=""),"Add Session Mins",IF(AND(E391&gt;0,H391="",T391=""),"Enter Contract Rate",IF(AND(E391="IEP mtg, prep, rept",F391&gt;0),(G391*H391),IF(AND(E391&gt;0,F391&gt;0,H391&gt;0,I391=""),"Enter Travel",IF(AND(F391&gt;0,I391="Y"),(G391*H391)+$M$10,IF(AND(F391&gt;0,I391="N"),(G391*H391),H391))))))))</f>
        <v/>
      </c>
      <c r="K391" s="132">
        <f>J391</f>
        <v/>
      </c>
      <c r="L391" s="148" t="n"/>
      <c r="M391" s="148" t="n"/>
      <c r="N391" s="148" t="n"/>
      <c r="O391" s="87" t="n"/>
      <c r="P391" s="81" t="n"/>
      <c r="Q391" s="81" t="n"/>
      <c r="R391" s="81" t="n"/>
      <c r="S391" s="81" t="n"/>
      <c r="T391" s="136">
        <f>IF(AND(E391&gt;0,U391=0),1,"")</f>
        <v/>
      </c>
      <c r="U391" s="136">
        <f>SUM(X391:AR391)</f>
        <v/>
      </c>
      <c r="V391" s="136">
        <f>IF(E391=$Q$16,0,SUM(X391:AI391))</f>
        <v/>
      </c>
      <c r="W391" s="136">
        <f>SUM(AK391:AR391)</f>
        <v/>
      </c>
      <c r="X391" s="136">
        <f>IF(E391=$X$6,1,"")</f>
        <v/>
      </c>
      <c r="Y391" s="136">
        <f>IF(E391=$Y$6,1,"")</f>
        <v/>
      </c>
      <c r="Z391" s="136">
        <f>IF(E391=$Z$6,1,"")</f>
        <v/>
      </c>
      <c r="AA391" s="136">
        <f>IF(E391=$AA$6,1,"")</f>
        <v/>
      </c>
      <c r="AB391" s="136">
        <f>IF(E391=$AB$6,1,"")</f>
        <v/>
      </c>
      <c r="AC391" s="136">
        <f>IF(E391=$AC$6,1,"")</f>
        <v/>
      </c>
      <c r="AD391" s="136">
        <f>IF(E391=$AD$6,1,"")</f>
        <v/>
      </c>
      <c r="AE391" s="136">
        <f>IF(E391=$AE$6,1,"")</f>
        <v/>
      </c>
      <c r="AF391" s="136">
        <f>IF(E391=$AF$6,1,"")</f>
        <v/>
      </c>
      <c r="AG391" s="136">
        <f>IF(E391=$AG$6,1,"")</f>
        <v/>
      </c>
      <c r="AH391" s="136">
        <f>IF(E391=$AH$6,1,"")</f>
        <v/>
      </c>
      <c r="AI391" s="136">
        <f>IF(E391=$AI$6,1,"")</f>
        <v/>
      </c>
      <c r="AJ391" s="136">
        <f>IF(E391=$AJ$6,1,"")</f>
        <v/>
      </c>
      <c r="AK391" s="81">
        <f>IF(E391=$AK$6,1,"")</f>
        <v/>
      </c>
      <c r="AL391" s="81">
        <f>IF(E391=$AL$6,1,"")</f>
        <v/>
      </c>
      <c r="AM391" s="81">
        <f>IF(E391=$AM$6,1,"")</f>
        <v/>
      </c>
      <c r="AN391" s="81">
        <f>IF(E391=$AN$6,1,"")</f>
        <v/>
      </c>
      <c r="AO391" s="81">
        <f>IF(E391=$AO$6,1,"")</f>
        <v/>
      </c>
      <c r="AP391" s="81">
        <f>IF(E391=$AP$6,1,"")</f>
        <v/>
      </c>
      <c r="AQ391" s="81">
        <f>IF(E391=$AQ$6,1,"")</f>
        <v/>
      </c>
      <c r="AR391" s="81">
        <f>IF(E391=$AR$6,1,"")</f>
        <v/>
      </c>
      <c r="AS391" s="81" t="n"/>
    </row>
    <row r="392" ht="15.75" customHeight="1" s="80">
      <c r="A392" s="157" t="n"/>
      <c r="B392" s="124" t="n"/>
      <c r="C392" s="125" t="n"/>
      <c r="D392" s="126" t="n"/>
      <c r="E392" s="127" t="n"/>
      <c r="F392" s="128" t="n"/>
      <c r="G392" s="129">
        <f>IF(F392="","",ROUND(F392/60,2))</f>
        <v/>
      </c>
      <c r="H392" s="130" t="n"/>
      <c r="I392" s="131" t="n"/>
      <c r="J392" s="131">
        <f>IF(COUNTIF(B392:E392,"*")=0,"",IF(T392=1,"Invalid Service",IF(AND(V392=1,F392=""),"Add Session Mins",IF(AND(E392&gt;0,H392="",T392=""),"Enter Contract Rate",IF(AND(E392="IEP mtg, prep, rept",F392&gt;0),(G392*H392),IF(AND(E392&gt;0,F392&gt;0,H392&gt;0,I392=""),"Enter Travel",IF(AND(F392&gt;0,I392="Y"),(G392*H392)+$M$10,IF(AND(F392&gt;0,I392="N"),(G392*H392),H392))))))))</f>
        <v/>
      </c>
      <c r="K392" s="132">
        <f>J392</f>
        <v/>
      </c>
      <c r="L392" s="148" t="n"/>
      <c r="M392" s="148" t="n"/>
      <c r="N392" s="148" t="n"/>
      <c r="O392" s="87" t="n"/>
      <c r="P392" s="81" t="n"/>
      <c r="Q392" s="81" t="n"/>
      <c r="R392" s="81" t="n"/>
      <c r="S392" s="81" t="n"/>
      <c r="T392" s="136">
        <f>IF(AND(E392&gt;0,U392=0),1,"")</f>
        <v/>
      </c>
      <c r="U392" s="136">
        <f>SUM(X392:AR392)</f>
        <v/>
      </c>
      <c r="V392" s="136">
        <f>IF(E392=$Q$16,0,SUM(X392:AI392))</f>
        <v/>
      </c>
      <c r="W392" s="136">
        <f>SUM(AK392:AR392)</f>
        <v/>
      </c>
      <c r="X392" s="136">
        <f>IF(E392=$X$6,1,"")</f>
        <v/>
      </c>
      <c r="Y392" s="136">
        <f>IF(E392=$Y$6,1,"")</f>
        <v/>
      </c>
      <c r="Z392" s="136">
        <f>IF(E392=$Z$6,1,"")</f>
        <v/>
      </c>
      <c r="AA392" s="136">
        <f>IF(E392=$AA$6,1,"")</f>
        <v/>
      </c>
      <c r="AB392" s="136">
        <f>IF(E392=$AB$6,1,"")</f>
        <v/>
      </c>
      <c r="AC392" s="136">
        <f>IF(E392=$AC$6,1,"")</f>
        <v/>
      </c>
      <c r="AD392" s="136">
        <f>IF(E392=$AD$6,1,"")</f>
        <v/>
      </c>
      <c r="AE392" s="136">
        <f>IF(E392=$AE$6,1,"")</f>
        <v/>
      </c>
      <c r="AF392" s="136">
        <f>IF(E392=$AF$6,1,"")</f>
        <v/>
      </c>
      <c r="AG392" s="136">
        <f>IF(E392=$AG$6,1,"")</f>
        <v/>
      </c>
      <c r="AH392" s="136">
        <f>IF(E392=$AH$6,1,"")</f>
        <v/>
      </c>
      <c r="AI392" s="136">
        <f>IF(E392=$AI$6,1,"")</f>
        <v/>
      </c>
      <c r="AJ392" s="136">
        <f>IF(E392=$AJ$6,1,"")</f>
        <v/>
      </c>
      <c r="AK392" s="81">
        <f>IF(E392=$AK$6,1,"")</f>
        <v/>
      </c>
      <c r="AL392" s="81">
        <f>IF(E392=$AL$6,1,"")</f>
        <v/>
      </c>
      <c r="AM392" s="81">
        <f>IF(E392=$AM$6,1,"")</f>
        <v/>
      </c>
      <c r="AN392" s="81">
        <f>IF(E392=$AN$6,1,"")</f>
        <v/>
      </c>
      <c r="AO392" s="81">
        <f>IF(E392=$AO$6,1,"")</f>
        <v/>
      </c>
      <c r="AP392" s="81">
        <f>IF(E392=$AP$6,1,"")</f>
        <v/>
      </c>
      <c r="AQ392" s="81">
        <f>IF(E392=$AQ$6,1,"")</f>
        <v/>
      </c>
      <c r="AR392" s="81">
        <f>IF(E392=$AR$6,1,"")</f>
        <v/>
      </c>
      <c r="AS392" s="81" t="n"/>
    </row>
    <row r="393" ht="15.75" customHeight="1" s="80">
      <c r="A393" s="157" t="n"/>
      <c r="B393" s="124" t="n"/>
      <c r="C393" s="125" t="n"/>
      <c r="D393" s="126" t="n"/>
      <c r="E393" s="127" t="n"/>
      <c r="F393" s="128" t="n"/>
      <c r="G393" s="129">
        <f>IF(F393="","",ROUND(F393/60,2))</f>
        <v/>
      </c>
      <c r="H393" s="130" t="n"/>
      <c r="I393" s="131" t="n"/>
      <c r="J393" s="131">
        <f>IF(COUNTIF(B393:E393,"*")=0,"",IF(T393=1,"Invalid Service",IF(AND(V393=1,F393=""),"Add Session Mins",IF(AND(E393&gt;0,H393="",T393=""),"Enter Contract Rate",IF(AND(E393="IEP mtg, prep, rept",F393&gt;0),(G393*H393),IF(AND(E393&gt;0,F393&gt;0,H393&gt;0,I393=""),"Enter Travel",IF(AND(F393&gt;0,I393="Y"),(G393*H393)+$M$10,IF(AND(F393&gt;0,I393="N"),(G393*H393),H393))))))))</f>
        <v/>
      </c>
      <c r="K393" s="132">
        <f>J393</f>
        <v/>
      </c>
      <c r="L393" s="148" t="n"/>
      <c r="M393" s="148" t="n"/>
      <c r="N393" s="148" t="n"/>
      <c r="O393" s="87" t="n"/>
      <c r="P393" s="81" t="n"/>
      <c r="Q393" s="81" t="n"/>
      <c r="R393" s="81" t="n"/>
      <c r="S393" s="81" t="n"/>
      <c r="T393" s="136">
        <f>IF(AND(E393&gt;0,U393=0),1,"")</f>
        <v/>
      </c>
      <c r="U393" s="136">
        <f>SUM(X393:AR393)</f>
        <v/>
      </c>
      <c r="V393" s="136">
        <f>IF(E393=$Q$16,0,SUM(X393:AI393))</f>
        <v/>
      </c>
      <c r="W393" s="136">
        <f>SUM(AK393:AR393)</f>
        <v/>
      </c>
      <c r="X393" s="136">
        <f>IF(E393=$X$6,1,"")</f>
        <v/>
      </c>
      <c r="Y393" s="136">
        <f>IF(E393=$Y$6,1,"")</f>
        <v/>
      </c>
      <c r="Z393" s="136">
        <f>IF(E393=$Z$6,1,"")</f>
        <v/>
      </c>
      <c r="AA393" s="136">
        <f>IF(E393=$AA$6,1,"")</f>
        <v/>
      </c>
      <c r="AB393" s="136">
        <f>IF(E393=$AB$6,1,"")</f>
        <v/>
      </c>
      <c r="AC393" s="136">
        <f>IF(E393=$AC$6,1,"")</f>
        <v/>
      </c>
      <c r="AD393" s="136">
        <f>IF(E393=$AD$6,1,"")</f>
        <v/>
      </c>
      <c r="AE393" s="136">
        <f>IF(E393=$AE$6,1,"")</f>
        <v/>
      </c>
      <c r="AF393" s="136">
        <f>IF(E393=$AF$6,1,"")</f>
        <v/>
      </c>
      <c r="AG393" s="136">
        <f>IF(E393=$AG$6,1,"")</f>
        <v/>
      </c>
      <c r="AH393" s="136">
        <f>IF(E393=$AH$6,1,"")</f>
        <v/>
      </c>
      <c r="AI393" s="136">
        <f>IF(E393=$AI$6,1,"")</f>
        <v/>
      </c>
      <c r="AJ393" s="136">
        <f>IF(E393=$AJ$6,1,"")</f>
        <v/>
      </c>
      <c r="AK393" s="81">
        <f>IF(E393=$AK$6,1,"")</f>
        <v/>
      </c>
      <c r="AL393" s="81">
        <f>IF(E393=$AL$6,1,"")</f>
        <v/>
      </c>
      <c r="AM393" s="81">
        <f>IF(E393=$AM$6,1,"")</f>
        <v/>
      </c>
      <c r="AN393" s="81">
        <f>IF(E393=$AN$6,1,"")</f>
        <v/>
      </c>
      <c r="AO393" s="81">
        <f>IF(E393=$AO$6,1,"")</f>
        <v/>
      </c>
      <c r="AP393" s="81">
        <f>IF(E393=$AP$6,1,"")</f>
        <v/>
      </c>
      <c r="AQ393" s="81">
        <f>IF(E393=$AQ$6,1,"")</f>
        <v/>
      </c>
      <c r="AR393" s="81">
        <f>IF(E393=$AR$6,1,"")</f>
        <v/>
      </c>
      <c r="AS393" s="81" t="n"/>
    </row>
    <row r="394" ht="15.75" customHeight="1" s="80">
      <c r="A394" s="157" t="n"/>
      <c r="B394" s="124" t="n"/>
      <c r="C394" s="125" t="n"/>
      <c r="D394" s="126" t="n"/>
      <c r="E394" s="127" t="n"/>
      <c r="F394" s="128" t="n"/>
      <c r="G394" s="129">
        <f>IF(F394="","",ROUND(F394/60,2))</f>
        <v/>
      </c>
      <c r="H394" s="130" t="n"/>
      <c r="I394" s="131" t="n"/>
      <c r="J394" s="131">
        <f>IF(COUNTIF(B394:E394,"*")=0,"",IF(T394=1,"Invalid Service",IF(AND(V394=1,F394=""),"Add Session Mins",IF(AND(E394&gt;0,H394="",T394=""),"Enter Contract Rate",IF(AND(E394="IEP mtg, prep, rept",F394&gt;0),(G394*H394),IF(AND(E394&gt;0,F394&gt;0,H394&gt;0,I394=""),"Enter Travel",IF(AND(F394&gt;0,I394="Y"),(G394*H394)+$M$10,IF(AND(F394&gt;0,I394="N"),(G394*H394),H394))))))))</f>
        <v/>
      </c>
      <c r="K394" s="132">
        <f>J394</f>
        <v/>
      </c>
      <c r="L394" s="148" t="n"/>
      <c r="M394" s="148" t="n"/>
      <c r="N394" s="148" t="n"/>
      <c r="O394" s="87" t="n"/>
      <c r="P394" s="81" t="n"/>
      <c r="Q394" s="81" t="n"/>
      <c r="R394" s="81" t="n"/>
      <c r="S394" s="81" t="n"/>
      <c r="T394" s="136">
        <f>IF(AND(E394&gt;0,U394=0),1,"")</f>
        <v/>
      </c>
      <c r="U394" s="136">
        <f>SUM(X394:AR394)</f>
        <v/>
      </c>
      <c r="V394" s="136">
        <f>IF(E394=$Q$16,0,SUM(X394:AI394))</f>
        <v/>
      </c>
      <c r="W394" s="136">
        <f>SUM(AK394:AR394)</f>
        <v/>
      </c>
      <c r="X394" s="136">
        <f>IF(E394=$X$6,1,"")</f>
        <v/>
      </c>
      <c r="Y394" s="136">
        <f>IF(E394=$Y$6,1,"")</f>
        <v/>
      </c>
      <c r="Z394" s="136">
        <f>IF(E394=$Z$6,1,"")</f>
        <v/>
      </c>
      <c r="AA394" s="136">
        <f>IF(E394=$AA$6,1,"")</f>
        <v/>
      </c>
      <c r="AB394" s="136">
        <f>IF(E394=$AB$6,1,"")</f>
        <v/>
      </c>
      <c r="AC394" s="136">
        <f>IF(E394=$AC$6,1,"")</f>
        <v/>
      </c>
      <c r="AD394" s="136">
        <f>IF(E394=$AD$6,1,"")</f>
        <v/>
      </c>
      <c r="AE394" s="136">
        <f>IF(E394=$AE$6,1,"")</f>
        <v/>
      </c>
      <c r="AF394" s="136">
        <f>IF(E394=$AF$6,1,"")</f>
        <v/>
      </c>
      <c r="AG394" s="136">
        <f>IF(E394=$AG$6,1,"")</f>
        <v/>
      </c>
      <c r="AH394" s="136">
        <f>IF(E394=$AH$6,1,"")</f>
        <v/>
      </c>
      <c r="AI394" s="136">
        <f>IF(E394=$AI$6,1,"")</f>
        <v/>
      </c>
      <c r="AJ394" s="136">
        <f>IF(E394=$AJ$6,1,"")</f>
        <v/>
      </c>
      <c r="AK394" s="81">
        <f>IF(E394=$AK$6,1,"")</f>
        <v/>
      </c>
      <c r="AL394" s="81">
        <f>IF(E394=$AL$6,1,"")</f>
        <v/>
      </c>
      <c r="AM394" s="81">
        <f>IF(E394=$AM$6,1,"")</f>
        <v/>
      </c>
      <c r="AN394" s="81">
        <f>IF(E394=$AN$6,1,"")</f>
        <v/>
      </c>
      <c r="AO394" s="81">
        <f>IF(E394=$AO$6,1,"")</f>
        <v/>
      </c>
      <c r="AP394" s="81">
        <f>IF(E394=$AP$6,1,"")</f>
        <v/>
      </c>
      <c r="AQ394" s="81">
        <f>IF(E394=$AQ$6,1,"")</f>
        <v/>
      </c>
      <c r="AR394" s="81">
        <f>IF(E394=$AR$6,1,"")</f>
        <v/>
      </c>
      <c r="AS394" s="81" t="n"/>
    </row>
    <row r="395" ht="15.75" customHeight="1" s="80">
      <c r="A395" s="157" t="n"/>
      <c r="B395" s="124" t="n"/>
      <c r="C395" s="125" t="n"/>
      <c r="D395" s="126" t="n"/>
      <c r="E395" s="127" t="n"/>
      <c r="F395" s="128" t="n"/>
      <c r="G395" s="129">
        <f>IF(F395="","",ROUND(F395/60,2))</f>
        <v/>
      </c>
      <c r="H395" s="130" t="n"/>
      <c r="I395" s="131" t="n"/>
      <c r="J395" s="131">
        <f>IF(COUNTIF(B395:E395,"*")=0,"",IF(T395=1,"Invalid Service",IF(AND(V395=1,F395=""),"Add Session Mins",IF(AND(E395&gt;0,H395="",T395=""),"Enter Contract Rate",IF(AND(E395="IEP mtg, prep, rept",F395&gt;0),(G395*H395),IF(AND(E395&gt;0,F395&gt;0,H395&gt;0,I395=""),"Enter Travel",IF(AND(F395&gt;0,I395="Y"),(G395*H395)+$M$10,IF(AND(F395&gt;0,I395="N"),(G395*H395),H395))))))))</f>
        <v/>
      </c>
      <c r="K395" s="132">
        <f>J395</f>
        <v/>
      </c>
      <c r="L395" s="148" t="n"/>
      <c r="M395" s="148" t="n"/>
      <c r="N395" s="148" t="n"/>
      <c r="O395" s="87" t="n"/>
      <c r="P395" s="81" t="n"/>
      <c r="Q395" s="81" t="n"/>
      <c r="R395" s="81" t="n"/>
      <c r="S395" s="81" t="n"/>
      <c r="T395" s="136">
        <f>IF(AND(E395&gt;0,U395=0),1,"")</f>
        <v/>
      </c>
      <c r="U395" s="136">
        <f>SUM(X395:AR395)</f>
        <v/>
      </c>
      <c r="V395" s="136">
        <f>IF(E395=$Q$16,0,SUM(X395:AI395))</f>
        <v/>
      </c>
      <c r="W395" s="136">
        <f>SUM(AK395:AR395)</f>
        <v/>
      </c>
      <c r="X395" s="136">
        <f>IF(E395=$X$6,1,"")</f>
        <v/>
      </c>
      <c r="Y395" s="136">
        <f>IF(E395=$Y$6,1,"")</f>
        <v/>
      </c>
      <c r="Z395" s="136">
        <f>IF(E395=$Z$6,1,"")</f>
        <v/>
      </c>
      <c r="AA395" s="136">
        <f>IF(E395=$AA$6,1,"")</f>
        <v/>
      </c>
      <c r="AB395" s="136">
        <f>IF(E395=$AB$6,1,"")</f>
        <v/>
      </c>
      <c r="AC395" s="136">
        <f>IF(E395=$AC$6,1,"")</f>
        <v/>
      </c>
      <c r="AD395" s="136">
        <f>IF(E395=$AD$6,1,"")</f>
        <v/>
      </c>
      <c r="AE395" s="136">
        <f>IF(E395=$AE$6,1,"")</f>
        <v/>
      </c>
      <c r="AF395" s="136">
        <f>IF(E395=$AF$6,1,"")</f>
        <v/>
      </c>
      <c r="AG395" s="136">
        <f>IF(E395=$AG$6,1,"")</f>
        <v/>
      </c>
      <c r="AH395" s="136">
        <f>IF(E395=$AH$6,1,"")</f>
        <v/>
      </c>
      <c r="AI395" s="136">
        <f>IF(E395=$AI$6,1,"")</f>
        <v/>
      </c>
      <c r="AJ395" s="136">
        <f>IF(E395=$AJ$6,1,"")</f>
        <v/>
      </c>
      <c r="AK395" s="81">
        <f>IF(E395=$AK$6,1,"")</f>
        <v/>
      </c>
      <c r="AL395" s="81">
        <f>IF(E395=$AL$6,1,"")</f>
        <v/>
      </c>
      <c r="AM395" s="81">
        <f>IF(E395=$AM$6,1,"")</f>
        <v/>
      </c>
      <c r="AN395" s="81">
        <f>IF(E395=$AN$6,1,"")</f>
        <v/>
      </c>
      <c r="AO395" s="81">
        <f>IF(E395=$AO$6,1,"")</f>
        <v/>
      </c>
      <c r="AP395" s="81">
        <f>IF(E395=$AP$6,1,"")</f>
        <v/>
      </c>
      <c r="AQ395" s="81">
        <f>IF(E395=$AQ$6,1,"")</f>
        <v/>
      </c>
      <c r="AR395" s="81">
        <f>IF(E395=$AR$6,1,"")</f>
        <v/>
      </c>
      <c r="AS395" s="81" t="n"/>
    </row>
    <row r="396" ht="15.75" customHeight="1" s="80">
      <c r="A396" s="157" t="n"/>
      <c r="B396" s="124" t="n"/>
      <c r="C396" s="125" t="n"/>
      <c r="D396" s="126" t="n"/>
      <c r="E396" s="127" t="n"/>
      <c r="F396" s="128" t="n"/>
      <c r="G396" s="129">
        <f>IF(F396="","",ROUND(F396/60,2))</f>
        <v/>
      </c>
      <c r="H396" s="130" t="n"/>
      <c r="I396" s="131" t="n"/>
      <c r="J396" s="131">
        <f>IF(COUNTIF(B396:E396,"*")=0,"",IF(T396=1,"Invalid Service",IF(AND(V396=1,F396=""),"Add Session Mins",IF(AND(E396&gt;0,H396="",T396=""),"Enter Contract Rate",IF(AND(E396="IEP mtg, prep, rept",F396&gt;0),(G396*H396),IF(AND(E396&gt;0,F396&gt;0,H396&gt;0,I396=""),"Enter Travel",IF(AND(F396&gt;0,I396="Y"),(G396*H396)+$M$10,IF(AND(F396&gt;0,I396="N"),(G396*H396),H396))))))))</f>
        <v/>
      </c>
      <c r="K396" s="132">
        <f>J396</f>
        <v/>
      </c>
      <c r="L396" s="148" t="n"/>
      <c r="M396" s="148" t="n"/>
      <c r="N396" s="148" t="n"/>
      <c r="O396" s="87" t="n"/>
      <c r="P396" s="81" t="n"/>
      <c r="Q396" s="81" t="n"/>
      <c r="R396" s="81" t="n"/>
      <c r="S396" s="81" t="n"/>
      <c r="T396" s="136">
        <f>IF(AND(E396&gt;0,U396=0),1,"")</f>
        <v/>
      </c>
      <c r="U396" s="136">
        <f>SUM(X396:AR396)</f>
        <v/>
      </c>
      <c r="V396" s="136">
        <f>IF(E396=$Q$16,0,SUM(X396:AI396))</f>
        <v/>
      </c>
      <c r="W396" s="136">
        <f>SUM(AK396:AR396)</f>
        <v/>
      </c>
      <c r="X396" s="136">
        <f>IF(E396=$X$6,1,"")</f>
        <v/>
      </c>
      <c r="Y396" s="136">
        <f>IF(E396=$Y$6,1,"")</f>
        <v/>
      </c>
      <c r="Z396" s="136">
        <f>IF(E396=$Z$6,1,"")</f>
        <v/>
      </c>
      <c r="AA396" s="136">
        <f>IF(E396=$AA$6,1,"")</f>
        <v/>
      </c>
      <c r="AB396" s="136">
        <f>IF(E396=$AB$6,1,"")</f>
        <v/>
      </c>
      <c r="AC396" s="136">
        <f>IF(E396=$AC$6,1,"")</f>
        <v/>
      </c>
      <c r="AD396" s="136">
        <f>IF(E396=$AD$6,1,"")</f>
        <v/>
      </c>
      <c r="AE396" s="136">
        <f>IF(E396=$AE$6,1,"")</f>
        <v/>
      </c>
      <c r="AF396" s="136">
        <f>IF(E396=$AF$6,1,"")</f>
        <v/>
      </c>
      <c r="AG396" s="136">
        <f>IF(E396=$AG$6,1,"")</f>
        <v/>
      </c>
      <c r="AH396" s="136">
        <f>IF(E396=$AH$6,1,"")</f>
        <v/>
      </c>
      <c r="AI396" s="136">
        <f>IF(E396=$AI$6,1,"")</f>
        <v/>
      </c>
      <c r="AJ396" s="136">
        <f>IF(E396=$AJ$6,1,"")</f>
        <v/>
      </c>
      <c r="AK396" s="81">
        <f>IF(E396=$AK$6,1,"")</f>
        <v/>
      </c>
      <c r="AL396" s="81">
        <f>IF(E396=$AL$6,1,"")</f>
        <v/>
      </c>
      <c r="AM396" s="81">
        <f>IF(E396=$AM$6,1,"")</f>
        <v/>
      </c>
      <c r="AN396" s="81">
        <f>IF(E396=$AN$6,1,"")</f>
        <v/>
      </c>
      <c r="AO396" s="81">
        <f>IF(E396=$AO$6,1,"")</f>
        <v/>
      </c>
      <c r="AP396" s="81">
        <f>IF(E396=$AP$6,1,"")</f>
        <v/>
      </c>
      <c r="AQ396" s="81">
        <f>IF(E396=$AQ$6,1,"")</f>
        <v/>
      </c>
      <c r="AR396" s="81">
        <f>IF(E396=$AR$6,1,"")</f>
        <v/>
      </c>
      <c r="AS396" s="81" t="n"/>
    </row>
    <row r="397" ht="15.75" customHeight="1" s="80">
      <c r="A397" s="157" t="n"/>
      <c r="B397" s="124" t="n"/>
      <c r="C397" s="125" t="n"/>
      <c r="D397" s="126" t="n"/>
      <c r="E397" s="127" t="n"/>
      <c r="F397" s="128" t="n"/>
      <c r="G397" s="129">
        <f>IF(F397="","",ROUND(F397/60,2))</f>
        <v/>
      </c>
      <c r="H397" s="130" t="n"/>
      <c r="I397" s="131" t="n"/>
      <c r="J397" s="131">
        <f>IF(COUNTIF(B397:E397,"*")=0,"",IF(T397=1,"Invalid Service",IF(AND(V397=1,F397=""),"Add Session Mins",IF(AND(E397&gt;0,H397="",T397=""),"Enter Contract Rate",IF(AND(E397="IEP mtg, prep, rept",F397&gt;0),(G397*H397),IF(AND(E397&gt;0,F397&gt;0,H397&gt;0,I397=""),"Enter Travel",IF(AND(F397&gt;0,I397="Y"),(G397*H397)+$M$10,IF(AND(F397&gt;0,I397="N"),(G397*H397),H397))))))))</f>
        <v/>
      </c>
      <c r="K397" s="132">
        <f>J397</f>
        <v/>
      </c>
      <c r="L397" s="148" t="n"/>
      <c r="M397" s="148" t="n"/>
      <c r="N397" s="148" t="n"/>
      <c r="O397" s="87" t="n"/>
      <c r="P397" s="81" t="n"/>
      <c r="Q397" s="81" t="n"/>
      <c r="R397" s="81" t="n"/>
      <c r="S397" s="81" t="n"/>
      <c r="T397" s="136">
        <f>IF(AND(E397&gt;0,U397=0),1,"")</f>
        <v/>
      </c>
      <c r="U397" s="136">
        <f>SUM(X397:AR397)</f>
        <v/>
      </c>
      <c r="V397" s="136">
        <f>IF(E397=$Q$16,0,SUM(X397:AI397))</f>
        <v/>
      </c>
      <c r="W397" s="136">
        <f>SUM(AK397:AR397)</f>
        <v/>
      </c>
      <c r="X397" s="136">
        <f>IF(E397=$X$6,1,"")</f>
        <v/>
      </c>
      <c r="Y397" s="136">
        <f>IF(E397=$Y$6,1,"")</f>
        <v/>
      </c>
      <c r="Z397" s="136">
        <f>IF(E397=$Z$6,1,"")</f>
        <v/>
      </c>
      <c r="AA397" s="136">
        <f>IF(E397=$AA$6,1,"")</f>
        <v/>
      </c>
      <c r="AB397" s="136">
        <f>IF(E397=$AB$6,1,"")</f>
        <v/>
      </c>
      <c r="AC397" s="136">
        <f>IF(E397=$AC$6,1,"")</f>
        <v/>
      </c>
      <c r="AD397" s="136">
        <f>IF(E397=$AD$6,1,"")</f>
        <v/>
      </c>
      <c r="AE397" s="136">
        <f>IF(E397=$AE$6,1,"")</f>
        <v/>
      </c>
      <c r="AF397" s="136">
        <f>IF(E397=$AF$6,1,"")</f>
        <v/>
      </c>
      <c r="AG397" s="136">
        <f>IF(E397=$AG$6,1,"")</f>
        <v/>
      </c>
      <c r="AH397" s="136">
        <f>IF(E397=$AH$6,1,"")</f>
        <v/>
      </c>
      <c r="AI397" s="136">
        <f>IF(E397=$AI$6,1,"")</f>
        <v/>
      </c>
      <c r="AJ397" s="136">
        <f>IF(E397=$AJ$6,1,"")</f>
        <v/>
      </c>
      <c r="AK397" s="81">
        <f>IF(E397=$AK$6,1,"")</f>
        <v/>
      </c>
      <c r="AL397" s="81">
        <f>IF(E397=$AL$6,1,"")</f>
        <v/>
      </c>
      <c r="AM397" s="81">
        <f>IF(E397=$AM$6,1,"")</f>
        <v/>
      </c>
      <c r="AN397" s="81">
        <f>IF(E397=$AN$6,1,"")</f>
        <v/>
      </c>
      <c r="AO397" s="81">
        <f>IF(E397=$AO$6,1,"")</f>
        <v/>
      </c>
      <c r="AP397" s="81">
        <f>IF(E397=$AP$6,1,"")</f>
        <v/>
      </c>
      <c r="AQ397" s="81">
        <f>IF(E397=$AQ$6,1,"")</f>
        <v/>
      </c>
      <c r="AR397" s="81">
        <f>IF(E397=$AR$6,1,"")</f>
        <v/>
      </c>
      <c r="AS397" s="81" t="n"/>
    </row>
    <row r="398" ht="15.75" customHeight="1" s="80">
      <c r="A398" s="157" t="n"/>
      <c r="B398" s="124" t="n"/>
      <c r="C398" s="125" t="n"/>
      <c r="D398" s="126" t="n"/>
      <c r="E398" s="127" t="n"/>
      <c r="F398" s="128" t="n"/>
      <c r="G398" s="129">
        <f>IF(F398="","",ROUND(F398/60,2))</f>
        <v/>
      </c>
      <c r="H398" s="130" t="n"/>
      <c r="I398" s="131" t="n"/>
      <c r="J398" s="131">
        <f>IF(COUNTIF(B398:E398,"*")=0,"",IF(T398=1,"Invalid Service",IF(AND(V398=1,F398=""),"Add Session Mins",IF(AND(E398&gt;0,H398="",T398=""),"Enter Contract Rate",IF(AND(E398="IEP mtg, prep, rept",F398&gt;0),(G398*H398),IF(AND(E398&gt;0,F398&gt;0,H398&gt;0,I398=""),"Enter Travel",IF(AND(F398&gt;0,I398="Y"),(G398*H398)+$M$10,IF(AND(F398&gt;0,I398="N"),(G398*H398),H398))))))))</f>
        <v/>
      </c>
      <c r="K398" s="132">
        <f>J398</f>
        <v/>
      </c>
      <c r="L398" s="148" t="n"/>
      <c r="M398" s="148" t="n"/>
      <c r="N398" s="148" t="n"/>
      <c r="O398" s="87" t="n"/>
      <c r="P398" s="81" t="n"/>
      <c r="Q398" s="81" t="n"/>
      <c r="R398" s="81" t="n"/>
      <c r="S398" s="81" t="n"/>
      <c r="T398" s="136">
        <f>IF(AND(E398&gt;0,U398=0),1,"")</f>
        <v/>
      </c>
      <c r="U398" s="136">
        <f>SUM(X398:AR398)</f>
        <v/>
      </c>
      <c r="V398" s="136">
        <f>IF(E398=$Q$16,0,SUM(X398:AI398))</f>
        <v/>
      </c>
      <c r="W398" s="136">
        <f>SUM(AK398:AR398)</f>
        <v/>
      </c>
      <c r="X398" s="136">
        <f>IF(E398=$X$6,1,"")</f>
        <v/>
      </c>
      <c r="Y398" s="136">
        <f>IF(E398=$Y$6,1,"")</f>
        <v/>
      </c>
      <c r="Z398" s="136">
        <f>IF(E398=$Z$6,1,"")</f>
        <v/>
      </c>
      <c r="AA398" s="136">
        <f>IF(E398=$AA$6,1,"")</f>
        <v/>
      </c>
      <c r="AB398" s="136">
        <f>IF(E398=$AB$6,1,"")</f>
        <v/>
      </c>
      <c r="AC398" s="136">
        <f>IF(E398=$AC$6,1,"")</f>
        <v/>
      </c>
      <c r="AD398" s="136">
        <f>IF(E398=$AD$6,1,"")</f>
        <v/>
      </c>
      <c r="AE398" s="136">
        <f>IF(E398=$AE$6,1,"")</f>
        <v/>
      </c>
      <c r="AF398" s="136">
        <f>IF(E398=$AF$6,1,"")</f>
        <v/>
      </c>
      <c r="AG398" s="136">
        <f>IF(E398=$AG$6,1,"")</f>
        <v/>
      </c>
      <c r="AH398" s="136">
        <f>IF(E398=$AH$6,1,"")</f>
        <v/>
      </c>
      <c r="AI398" s="136">
        <f>IF(E398=$AI$6,1,"")</f>
        <v/>
      </c>
      <c r="AJ398" s="136">
        <f>IF(E398=$AJ$6,1,"")</f>
        <v/>
      </c>
      <c r="AK398" s="81">
        <f>IF(E398=$AK$6,1,"")</f>
        <v/>
      </c>
      <c r="AL398" s="81">
        <f>IF(E398=$AL$6,1,"")</f>
        <v/>
      </c>
      <c r="AM398" s="81">
        <f>IF(E398=$AM$6,1,"")</f>
        <v/>
      </c>
      <c r="AN398" s="81">
        <f>IF(E398=$AN$6,1,"")</f>
        <v/>
      </c>
      <c r="AO398" s="81">
        <f>IF(E398=$AO$6,1,"")</f>
        <v/>
      </c>
      <c r="AP398" s="81">
        <f>IF(E398=$AP$6,1,"")</f>
        <v/>
      </c>
      <c r="AQ398" s="81">
        <f>IF(E398=$AQ$6,1,"")</f>
        <v/>
      </c>
      <c r="AR398" s="81">
        <f>IF(E398=$AR$6,1,"")</f>
        <v/>
      </c>
      <c r="AS398" s="81" t="n"/>
    </row>
    <row r="399" ht="15.75" customHeight="1" s="80">
      <c r="A399" s="157" t="n"/>
      <c r="B399" s="124" t="n"/>
      <c r="C399" s="125" t="n"/>
      <c r="D399" s="126" t="n"/>
      <c r="E399" s="127" t="n"/>
      <c r="F399" s="128" t="n"/>
      <c r="G399" s="129">
        <f>IF(F399="","",ROUND(F399/60,2))</f>
        <v/>
      </c>
      <c r="H399" s="130" t="n"/>
      <c r="I399" s="131" t="n"/>
      <c r="J399" s="131">
        <f>IF(COUNTIF(B399:E399,"*")=0,"",IF(T399=1,"Invalid Service",IF(AND(V399=1,F399=""),"Add Session Mins",IF(AND(E399&gt;0,H399="",T399=""),"Enter Contract Rate",IF(AND(E399="IEP mtg, prep, rept",F399&gt;0),(G399*H399),IF(AND(E399&gt;0,F399&gt;0,H399&gt;0,I399=""),"Enter Travel",IF(AND(F399&gt;0,I399="Y"),(G399*H399)+$M$10,IF(AND(F399&gt;0,I399="N"),(G399*H399),H399))))))))</f>
        <v/>
      </c>
      <c r="K399" s="132">
        <f>J399</f>
        <v/>
      </c>
      <c r="L399" s="148" t="n"/>
      <c r="M399" s="148" t="n"/>
      <c r="N399" s="148" t="n"/>
      <c r="O399" s="87" t="n"/>
      <c r="P399" s="81" t="n"/>
      <c r="Q399" s="81" t="n"/>
      <c r="R399" s="81" t="n"/>
      <c r="S399" s="81" t="n"/>
      <c r="T399" s="136">
        <f>IF(AND(E399&gt;0,U399=0),1,"")</f>
        <v/>
      </c>
      <c r="U399" s="136">
        <f>SUM(X399:AR399)</f>
        <v/>
      </c>
      <c r="V399" s="136">
        <f>IF(E399=$Q$16,0,SUM(X399:AI399))</f>
        <v/>
      </c>
      <c r="W399" s="136">
        <f>SUM(AK399:AR399)</f>
        <v/>
      </c>
      <c r="X399" s="136">
        <f>IF(E399=$X$6,1,"")</f>
        <v/>
      </c>
      <c r="Y399" s="136">
        <f>IF(E399=$Y$6,1,"")</f>
        <v/>
      </c>
      <c r="Z399" s="136">
        <f>IF(E399=$Z$6,1,"")</f>
        <v/>
      </c>
      <c r="AA399" s="136">
        <f>IF(E399=$AA$6,1,"")</f>
        <v/>
      </c>
      <c r="AB399" s="136">
        <f>IF(E399=$AB$6,1,"")</f>
        <v/>
      </c>
      <c r="AC399" s="136">
        <f>IF(E399=$AC$6,1,"")</f>
        <v/>
      </c>
      <c r="AD399" s="136">
        <f>IF(E399=$AD$6,1,"")</f>
        <v/>
      </c>
      <c r="AE399" s="136">
        <f>IF(E399=$AE$6,1,"")</f>
        <v/>
      </c>
      <c r="AF399" s="136">
        <f>IF(E399=$AF$6,1,"")</f>
        <v/>
      </c>
      <c r="AG399" s="136">
        <f>IF(E399=$AG$6,1,"")</f>
        <v/>
      </c>
      <c r="AH399" s="136">
        <f>IF(E399=$AH$6,1,"")</f>
        <v/>
      </c>
      <c r="AI399" s="136">
        <f>IF(E399=$AI$6,1,"")</f>
        <v/>
      </c>
      <c r="AJ399" s="136">
        <f>IF(E399=$AJ$6,1,"")</f>
        <v/>
      </c>
      <c r="AK399" s="81">
        <f>IF(E399=$AK$6,1,"")</f>
        <v/>
      </c>
      <c r="AL399" s="81">
        <f>IF(E399=$AL$6,1,"")</f>
        <v/>
      </c>
      <c r="AM399" s="81">
        <f>IF(E399=$AM$6,1,"")</f>
        <v/>
      </c>
      <c r="AN399" s="81">
        <f>IF(E399=$AN$6,1,"")</f>
        <v/>
      </c>
      <c r="AO399" s="81">
        <f>IF(E399=$AO$6,1,"")</f>
        <v/>
      </c>
      <c r="AP399" s="81">
        <f>IF(E399=$AP$6,1,"")</f>
        <v/>
      </c>
      <c r="AQ399" s="81">
        <f>IF(E399=$AQ$6,1,"")</f>
        <v/>
      </c>
      <c r="AR399" s="81">
        <f>IF(E399=$AR$6,1,"")</f>
        <v/>
      </c>
      <c r="AS399" s="81" t="n"/>
    </row>
    <row r="400" ht="15.75" customHeight="1" s="80">
      <c r="A400" s="157" t="n"/>
      <c r="B400" s="124" t="n"/>
      <c r="C400" s="125" t="n"/>
      <c r="D400" s="126" t="n"/>
      <c r="E400" s="127" t="n"/>
      <c r="F400" s="128" t="n"/>
      <c r="G400" s="129">
        <f>IF(F400="","",ROUND(F400/60,2))</f>
        <v/>
      </c>
      <c r="H400" s="130" t="n"/>
      <c r="I400" s="131" t="n"/>
      <c r="J400" s="131">
        <f>IF(COUNTIF(B400:E400,"*")=0,"",IF(T400=1,"Invalid Service",IF(AND(V400=1,F400=""),"Add Session Mins",IF(AND(E400&gt;0,H400="",T400=""),"Enter Contract Rate",IF(AND(E400="IEP mtg, prep, rept",F400&gt;0),(G400*H400),IF(AND(E400&gt;0,F400&gt;0,H400&gt;0,I400=""),"Enter Travel",IF(AND(F400&gt;0,I400="Y"),(G400*H400)+$M$10,IF(AND(F400&gt;0,I400="N"),(G400*H400),H400))))))))</f>
        <v/>
      </c>
      <c r="K400" s="132">
        <f>J400</f>
        <v/>
      </c>
      <c r="L400" s="148" t="n"/>
      <c r="M400" s="148" t="n"/>
      <c r="N400" s="148" t="n"/>
      <c r="O400" s="87" t="n"/>
      <c r="P400" s="81" t="n"/>
      <c r="Q400" s="81" t="n"/>
      <c r="R400" s="81" t="n"/>
      <c r="S400" s="81" t="n"/>
      <c r="T400" s="136">
        <f>IF(AND(E400&gt;0,U400=0),1,"")</f>
        <v/>
      </c>
      <c r="U400" s="136">
        <f>SUM(X400:AR400)</f>
        <v/>
      </c>
      <c r="V400" s="136">
        <f>IF(E400=$Q$16,0,SUM(X400:AI400))</f>
        <v/>
      </c>
      <c r="W400" s="136">
        <f>SUM(AK400:AR400)</f>
        <v/>
      </c>
      <c r="X400" s="136">
        <f>IF(E400=$X$6,1,"")</f>
        <v/>
      </c>
      <c r="Y400" s="136">
        <f>IF(E400=$Y$6,1,"")</f>
        <v/>
      </c>
      <c r="Z400" s="136">
        <f>IF(E400=$Z$6,1,"")</f>
        <v/>
      </c>
      <c r="AA400" s="136">
        <f>IF(E400=$AA$6,1,"")</f>
        <v/>
      </c>
      <c r="AB400" s="136">
        <f>IF(E400=$AB$6,1,"")</f>
        <v/>
      </c>
      <c r="AC400" s="136">
        <f>IF(E400=$AC$6,1,"")</f>
        <v/>
      </c>
      <c r="AD400" s="136">
        <f>IF(E400=$AD$6,1,"")</f>
        <v/>
      </c>
      <c r="AE400" s="136">
        <f>IF(E400=$AE$6,1,"")</f>
        <v/>
      </c>
      <c r="AF400" s="136">
        <f>IF(E400=$AF$6,1,"")</f>
        <v/>
      </c>
      <c r="AG400" s="136">
        <f>IF(E400=$AG$6,1,"")</f>
        <v/>
      </c>
      <c r="AH400" s="136">
        <f>IF(E400=$AH$6,1,"")</f>
        <v/>
      </c>
      <c r="AI400" s="136">
        <f>IF(E400=$AI$6,1,"")</f>
        <v/>
      </c>
      <c r="AJ400" s="136">
        <f>IF(E400=$AJ$6,1,"")</f>
        <v/>
      </c>
      <c r="AK400" s="81">
        <f>IF(E400=$AK$6,1,"")</f>
        <v/>
      </c>
      <c r="AL400" s="81">
        <f>IF(E400=$AL$6,1,"")</f>
        <v/>
      </c>
      <c r="AM400" s="81">
        <f>IF(E400=$AM$6,1,"")</f>
        <v/>
      </c>
      <c r="AN400" s="81">
        <f>IF(E400=$AN$6,1,"")</f>
        <v/>
      </c>
      <c r="AO400" s="81">
        <f>IF(E400=$AO$6,1,"")</f>
        <v/>
      </c>
      <c r="AP400" s="81">
        <f>IF(E400=$AP$6,1,"")</f>
        <v/>
      </c>
      <c r="AQ400" s="81">
        <f>IF(E400=$AQ$6,1,"")</f>
        <v/>
      </c>
      <c r="AR400" s="81">
        <f>IF(E400=$AR$6,1,"")</f>
        <v/>
      </c>
      <c r="AS400" s="81" t="n"/>
    </row>
    <row r="401" ht="15.75" customHeight="1" s="80">
      <c r="A401" s="157" t="n"/>
      <c r="B401" s="124" t="n"/>
      <c r="C401" s="125" t="n"/>
      <c r="D401" s="126" t="n"/>
      <c r="E401" s="127" t="n"/>
      <c r="F401" s="128" t="n"/>
      <c r="G401" s="129">
        <f>IF(F401="","",ROUND(F401/60,2))</f>
        <v/>
      </c>
      <c r="H401" s="130" t="n"/>
      <c r="I401" s="131" t="n"/>
      <c r="J401" s="131">
        <f>IF(COUNTIF(B401:E401,"*")=0,"",IF(T401=1,"Invalid Service",IF(AND(V401=1,F401=""),"Add Session Mins",IF(AND(E401&gt;0,H401="",T401=""),"Enter Contract Rate",IF(AND(E401="IEP mtg, prep, rept",F401&gt;0),(G401*H401),IF(AND(E401&gt;0,F401&gt;0,H401&gt;0,I401=""),"Enter Travel",IF(AND(F401&gt;0,I401="Y"),(G401*H401)+$M$10,IF(AND(F401&gt;0,I401="N"),(G401*H401),H401))))))))</f>
        <v/>
      </c>
      <c r="K401" s="132">
        <f>J401</f>
        <v/>
      </c>
      <c r="L401" s="148" t="n"/>
      <c r="M401" s="148" t="n"/>
      <c r="N401" s="148" t="n"/>
      <c r="O401" s="87" t="n"/>
      <c r="P401" s="81" t="n"/>
      <c r="Q401" s="81" t="n"/>
      <c r="R401" s="81" t="n"/>
      <c r="S401" s="81" t="n"/>
      <c r="T401" s="136">
        <f>IF(AND(E401&gt;0,U401=0),1,"")</f>
        <v/>
      </c>
      <c r="U401" s="136">
        <f>SUM(X401:AR401)</f>
        <v/>
      </c>
      <c r="V401" s="136">
        <f>IF(E401=$Q$16,0,SUM(X401:AI401))</f>
        <v/>
      </c>
      <c r="W401" s="136">
        <f>SUM(AK401:AR401)</f>
        <v/>
      </c>
      <c r="X401" s="136">
        <f>IF(E401=$X$6,1,"")</f>
        <v/>
      </c>
      <c r="Y401" s="136">
        <f>IF(E401=$Y$6,1,"")</f>
        <v/>
      </c>
      <c r="Z401" s="136">
        <f>IF(E401=$Z$6,1,"")</f>
        <v/>
      </c>
      <c r="AA401" s="136">
        <f>IF(E401=$AA$6,1,"")</f>
        <v/>
      </c>
      <c r="AB401" s="136">
        <f>IF(E401=$AB$6,1,"")</f>
        <v/>
      </c>
      <c r="AC401" s="136">
        <f>IF(E401=$AC$6,1,"")</f>
        <v/>
      </c>
      <c r="AD401" s="136">
        <f>IF(E401=$AD$6,1,"")</f>
        <v/>
      </c>
      <c r="AE401" s="136">
        <f>IF(E401=$AE$6,1,"")</f>
        <v/>
      </c>
      <c r="AF401" s="136">
        <f>IF(E401=$AF$6,1,"")</f>
        <v/>
      </c>
      <c r="AG401" s="136">
        <f>IF(E401=$AG$6,1,"")</f>
        <v/>
      </c>
      <c r="AH401" s="136">
        <f>IF(E401=$AH$6,1,"")</f>
        <v/>
      </c>
      <c r="AI401" s="136">
        <f>IF(E401=$AI$6,1,"")</f>
        <v/>
      </c>
      <c r="AJ401" s="136">
        <f>IF(E401=$AJ$6,1,"")</f>
        <v/>
      </c>
      <c r="AK401" s="81">
        <f>IF(E401=$AK$6,1,"")</f>
        <v/>
      </c>
      <c r="AL401" s="81">
        <f>IF(E401=$AL$6,1,"")</f>
        <v/>
      </c>
      <c r="AM401" s="81">
        <f>IF(E401=$AM$6,1,"")</f>
        <v/>
      </c>
      <c r="AN401" s="81">
        <f>IF(E401=$AN$6,1,"")</f>
        <v/>
      </c>
      <c r="AO401" s="81">
        <f>IF(E401=$AO$6,1,"")</f>
        <v/>
      </c>
      <c r="AP401" s="81">
        <f>IF(E401=$AP$6,1,"")</f>
        <v/>
      </c>
      <c r="AQ401" s="81">
        <f>IF(E401=$AQ$6,1,"")</f>
        <v/>
      </c>
      <c r="AR401" s="81">
        <f>IF(E401=$AR$6,1,"")</f>
        <v/>
      </c>
      <c r="AS401" s="81" t="n"/>
    </row>
    <row r="402" ht="15.75" customHeight="1" s="80">
      <c r="A402" s="157" t="n"/>
      <c r="B402" s="124" t="n"/>
      <c r="C402" s="125" t="n"/>
      <c r="D402" s="126" t="n"/>
      <c r="E402" s="127" t="n"/>
      <c r="F402" s="128" t="n"/>
      <c r="G402" s="129">
        <f>IF(F402="","",ROUND(F402/60,2))</f>
        <v/>
      </c>
      <c r="H402" s="130" t="n"/>
      <c r="I402" s="131" t="n"/>
      <c r="J402" s="131">
        <f>IF(COUNTIF(B402:E402,"*")=0,"",IF(T402=1,"Invalid Service",IF(AND(V402=1,F402=""),"Add Session Mins",IF(AND(E402&gt;0,H402="",T402=""),"Enter Contract Rate",IF(AND(E402="IEP mtg, prep, rept",F402&gt;0),(G402*H402),IF(AND(E402&gt;0,F402&gt;0,H402&gt;0,I402=""),"Enter Travel",IF(AND(F402&gt;0,I402="Y"),(G402*H402)+$M$10,IF(AND(F402&gt;0,I402="N"),(G402*H402),H402))))))))</f>
        <v/>
      </c>
      <c r="K402" s="132">
        <f>J402</f>
        <v/>
      </c>
      <c r="L402" s="148" t="n"/>
      <c r="M402" s="148" t="n"/>
      <c r="N402" s="148" t="n"/>
      <c r="O402" s="87" t="n"/>
      <c r="P402" s="81" t="n"/>
      <c r="Q402" s="81" t="n"/>
      <c r="R402" s="81" t="n"/>
      <c r="S402" s="81" t="n"/>
      <c r="T402" s="136">
        <f>IF(AND(E402&gt;0,U402=0),1,"")</f>
        <v/>
      </c>
      <c r="U402" s="136">
        <f>SUM(X402:AR402)</f>
        <v/>
      </c>
      <c r="V402" s="136">
        <f>IF(E402=$Q$16,0,SUM(X402:AI402))</f>
        <v/>
      </c>
      <c r="W402" s="136">
        <f>SUM(AK402:AR402)</f>
        <v/>
      </c>
      <c r="X402" s="136">
        <f>IF(E402=$X$6,1,"")</f>
        <v/>
      </c>
      <c r="Y402" s="136">
        <f>IF(E402=$Y$6,1,"")</f>
        <v/>
      </c>
      <c r="Z402" s="136">
        <f>IF(E402=$Z$6,1,"")</f>
        <v/>
      </c>
      <c r="AA402" s="136">
        <f>IF(E402=$AA$6,1,"")</f>
        <v/>
      </c>
      <c r="AB402" s="136">
        <f>IF(E402=$AB$6,1,"")</f>
        <v/>
      </c>
      <c r="AC402" s="136">
        <f>IF(E402=$AC$6,1,"")</f>
        <v/>
      </c>
      <c r="AD402" s="136">
        <f>IF(E402=$AD$6,1,"")</f>
        <v/>
      </c>
      <c r="AE402" s="136">
        <f>IF(E402=$AE$6,1,"")</f>
        <v/>
      </c>
      <c r="AF402" s="136">
        <f>IF(E402=$AF$6,1,"")</f>
        <v/>
      </c>
      <c r="AG402" s="136">
        <f>IF(E402=$AG$6,1,"")</f>
        <v/>
      </c>
      <c r="AH402" s="136">
        <f>IF(E402=$AH$6,1,"")</f>
        <v/>
      </c>
      <c r="AI402" s="136">
        <f>IF(E402=$AI$6,1,"")</f>
        <v/>
      </c>
      <c r="AJ402" s="136">
        <f>IF(E402=$AJ$6,1,"")</f>
        <v/>
      </c>
      <c r="AK402" s="81">
        <f>IF(E402=$AK$6,1,"")</f>
        <v/>
      </c>
      <c r="AL402" s="81">
        <f>IF(E402=$AL$6,1,"")</f>
        <v/>
      </c>
      <c r="AM402" s="81">
        <f>IF(E402=$AM$6,1,"")</f>
        <v/>
      </c>
      <c r="AN402" s="81">
        <f>IF(E402=$AN$6,1,"")</f>
        <v/>
      </c>
      <c r="AO402" s="81">
        <f>IF(E402=$AO$6,1,"")</f>
        <v/>
      </c>
      <c r="AP402" s="81">
        <f>IF(E402=$AP$6,1,"")</f>
        <v/>
      </c>
      <c r="AQ402" s="81">
        <f>IF(E402=$AQ$6,1,"")</f>
        <v/>
      </c>
      <c r="AR402" s="81">
        <f>IF(E402=$AR$6,1,"")</f>
        <v/>
      </c>
      <c r="AS402" s="81" t="n"/>
    </row>
    <row r="403" ht="15.75" customHeight="1" s="80">
      <c r="A403" s="157" t="n"/>
      <c r="B403" s="124" t="n"/>
      <c r="C403" s="125" t="n"/>
      <c r="D403" s="126" t="n"/>
      <c r="E403" s="127" t="n"/>
      <c r="F403" s="128" t="n"/>
      <c r="G403" s="129">
        <f>IF(F403="","",ROUND(F403/60,2))</f>
        <v/>
      </c>
      <c r="H403" s="130" t="n"/>
      <c r="I403" s="131" t="n"/>
      <c r="J403" s="131">
        <f>IF(COUNTIF(B403:E403,"*")=0,"",IF(T403=1,"Invalid Service",IF(AND(V403=1,F403=""),"Add Session Mins",IF(AND(E403&gt;0,H403="",T403=""),"Enter Contract Rate",IF(AND(E403="IEP mtg, prep, rept",F403&gt;0),(G403*H403),IF(AND(E403&gt;0,F403&gt;0,H403&gt;0,I403=""),"Enter Travel",IF(AND(F403&gt;0,I403="Y"),(G403*H403)+$M$10,IF(AND(F403&gt;0,I403="N"),(G403*H403),H403))))))))</f>
        <v/>
      </c>
      <c r="K403" s="132">
        <f>J403</f>
        <v/>
      </c>
      <c r="L403" s="148" t="n"/>
      <c r="M403" s="148" t="n"/>
      <c r="N403" s="148" t="n"/>
      <c r="O403" s="87" t="n"/>
      <c r="P403" s="81" t="n"/>
      <c r="Q403" s="81" t="n"/>
      <c r="R403" s="81" t="n"/>
      <c r="S403" s="81" t="n"/>
      <c r="T403" s="136">
        <f>IF(AND(E403&gt;0,U403=0),1,"")</f>
        <v/>
      </c>
      <c r="U403" s="136">
        <f>SUM(X403:AR403)</f>
        <v/>
      </c>
      <c r="V403" s="136">
        <f>IF(E403=$Q$16,0,SUM(X403:AI403))</f>
        <v/>
      </c>
      <c r="W403" s="136">
        <f>SUM(AK403:AR403)</f>
        <v/>
      </c>
      <c r="X403" s="136">
        <f>IF(E403=$X$6,1,"")</f>
        <v/>
      </c>
      <c r="Y403" s="136">
        <f>IF(E403=$Y$6,1,"")</f>
        <v/>
      </c>
      <c r="Z403" s="136">
        <f>IF(E403=$Z$6,1,"")</f>
        <v/>
      </c>
      <c r="AA403" s="136">
        <f>IF(E403=$AA$6,1,"")</f>
        <v/>
      </c>
      <c r="AB403" s="136">
        <f>IF(E403=$AB$6,1,"")</f>
        <v/>
      </c>
      <c r="AC403" s="136">
        <f>IF(E403=$AC$6,1,"")</f>
        <v/>
      </c>
      <c r="AD403" s="136">
        <f>IF(E403=$AD$6,1,"")</f>
        <v/>
      </c>
      <c r="AE403" s="136">
        <f>IF(E403=$AE$6,1,"")</f>
        <v/>
      </c>
      <c r="AF403" s="136">
        <f>IF(E403=$AF$6,1,"")</f>
        <v/>
      </c>
      <c r="AG403" s="136">
        <f>IF(E403=$AG$6,1,"")</f>
        <v/>
      </c>
      <c r="AH403" s="136">
        <f>IF(E403=$AH$6,1,"")</f>
        <v/>
      </c>
      <c r="AI403" s="136">
        <f>IF(E403=$AI$6,1,"")</f>
        <v/>
      </c>
      <c r="AJ403" s="136">
        <f>IF(E403=$AJ$6,1,"")</f>
        <v/>
      </c>
      <c r="AK403" s="81">
        <f>IF(E403=$AK$6,1,"")</f>
        <v/>
      </c>
      <c r="AL403" s="81">
        <f>IF(E403=$AL$6,1,"")</f>
        <v/>
      </c>
      <c r="AM403" s="81">
        <f>IF(E403=$AM$6,1,"")</f>
        <v/>
      </c>
      <c r="AN403" s="81">
        <f>IF(E403=$AN$6,1,"")</f>
        <v/>
      </c>
      <c r="AO403" s="81">
        <f>IF(E403=$AO$6,1,"")</f>
        <v/>
      </c>
      <c r="AP403" s="81">
        <f>IF(E403=$AP$6,1,"")</f>
        <v/>
      </c>
      <c r="AQ403" s="81">
        <f>IF(E403=$AQ$6,1,"")</f>
        <v/>
      </c>
      <c r="AR403" s="81">
        <f>IF(E403=$AR$6,1,"")</f>
        <v/>
      </c>
      <c r="AS403" s="81" t="n"/>
    </row>
    <row r="404" ht="15.75" customHeight="1" s="80">
      <c r="A404" s="157" t="n"/>
      <c r="B404" s="124" t="n"/>
      <c r="C404" s="125" t="n"/>
      <c r="D404" s="126" t="n"/>
      <c r="E404" s="127" t="n"/>
      <c r="F404" s="128" t="n"/>
      <c r="G404" s="129">
        <f>IF(F404="","",ROUND(F404/60,2))</f>
        <v/>
      </c>
      <c r="H404" s="130" t="n"/>
      <c r="I404" s="131" t="n"/>
      <c r="J404" s="131">
        <f>IF(COUNTIF(B404:E404,"*")=0,"",IF(T404=1,"Invalid Service",IF(AND(V404=1,F404=""),"Add Session Mins",IF(AND(E404&gt;0,H404="",T404=""),"Enter Contract Rate",IF(AND(E404="IEP mtg, prep, rept",F404&gt;0),(G404*H404),IF(AND(E404&gt;0,F404&gt;0,H404&gt;0,I404=""),"Enter Travel",IF(AND(F404&gt;0,I404="Y"),(G404*H404)+$M$10,IF(AND(F404&gt;0,I404="N"),(G404*H404),H404))))))))</f>
        <v/>
      </c>
      <c r="K404" s="132">
        <f>J404</f>
        <v/>
      </c>
      <c r="L404" s="148" t="n"/>
      <c r="M404" s="148" t="n"/>
      <c r="N404" s="148" t="n"/>
      <c r="O404" s="87" t="n"/>
      <c r="P404" s="81" t="n"/>
      <c r="Q404" s="81" t="n"/>
      <c r="R404" s="81" t="n"/>
      <c r="S404" s="81" t="n"/>
      <c r="T404" s="136">
        <f>IF(AND(E404&gt;0,U404=0),1,"")</f>
        <v/>
      </c>
      <c r="U404" s="136">
        <f>SUM(X404:AR404)</f>
        <v/>
      </c>
      <c r="V404" s="136">
        <f>IF(E404=$Q$16,0,SUM(X404:AI404))</f>
        <v/>
      </c>
      <c r="W404" s="136">
        <f>SUM(AK404:AR404)</f>
        <v/>
      </c>
      <c r="X404" s="136">
        <f>IF(E404=$X$6,1,"")</f>
        <v/>
      </c>
      <c r="Y404" s="136">
        <f>IF(E404=$Y$6,1,"")</f>
        <v/>
      </c>
      <c r="Z404" s="136">
        <f>IF(E404=$Z$6,1,"")</f>
        <v/>
      </c>
      <c r="AA404" s="136">
        <f>IF(E404=$AA$6,1,"")</f>
        <v/>
      </c>
      <c r="AB404" s="136">
        <f>IF(E404=$AB$6,1,"")</f>
        <v/>
      </c>
      <c r="AC404" s="136">
        <f>IF(E404=$AC$6,1,"")</f>
        <v/>
      </c>
      <c r="AD404" s="136">
        <f>IF(E404=$AD$6,1,"")</f>
        <v/>
      </c>
      <c r="AE404" s="136">
        <f>IF(E404=$AE$6,1,"")</f>
        <v/>
      </c>
      <c r="AF404" s="136">
        <f>IF(E404=$AF$6,1,"")</f>
        <v/>
      </c>
      <c r="AG404" s="136">
        <f>IF(E404=$AG$6,1,"")</f>
        <v/>
      </c>
      <c r="AH404" s="136">
        <f>IF(E404=$AH$6,1,"")</f>
        <v/>
      </c>
      <c r="AI404" s="136">
        <f>IF(E404=$AI$6,1,"")</f>
        <v/>
      </c>
      <c r="AJ404" s="136">
        <f>IF(E404=$AJ$6,1,"")</f>
        <v/>
      </c>
      <c r="AK404" s="81">
        <f>IF(E404=$AK$6,1,"")</f>
        <v/>
      </c>
      <c r="AL404" s="81">
        <f>IF(E404=$AL$6,1,"")</f>
        <v/>
      </c>
      <c r="AM404" s="81">
        <f>IF(E404=$AM$6,1,"")</f>
        <v/>
      </c>
      <c r="AN404" s="81">
        <f>IF(E404=$AN$6,1,"")</f>
        <v/>
      </c>
      <c r="AO404" s="81">
        <f>IF(E404=$AO$6,1,"")</f>
        <v/>
      </c>
      <c r="AP404" s="81">
        <f>IF(E404=$AP$6,1,"")</f>
        <v/>
      </c>
      <c r="AQ404" s="81">
        <f>IF(E404=$AQ$6,1,"")</f>
        <v/>
      </c>
      <c r="AR404" s="81">
        <f>IF(E404=$AR$6,1,"")</f>
        <v/>
      </c>
      <c r="AS404" s="81" t="n"/>
    </row>
    <row r="405" ht="15.75" customHeight="1" s="80">
      <c r="A405" s="157" t="n"/>
      <c r="B405" s="124" t="n"/>
      <c r="C405" s="125" t="n"/>
      <c r="D405" s="126" t="n"/>
      <c r="E405" s="127" t="n"/>
      <c r="F405" s="128" t="n"/>
      <c r="G405" s="129">
        <f>IF(F405="","",ROUND(F405/60,2))</f>
        <v/>
      </c>
      <c r="H405" s="130" t="n"/>
      <c r="I405" s="131" t="n"/>
      <c r="J405" s="131">
        <f>IF(COUNTIF(B405:E405,"*")=0,"",IF(T405=1,"Invalid Service",IF(AND(V405=1,F405=""),"Add Session Mins",IF(AND(E405&gt;0,H405="",T405=""),"Enter Contract Rate",IF(AND(E405="IEP mtg, prep, rept",F405&gt;0),(G405*H405),IF(AND(E405&gt;0,F405&gt;0,H405&gt;0,I405=""),"Enter Travel",IF(AND(F405&gt;0,I405="Y"),(G405*H405)+$M$10,IF(AND(F405&gt;0,I405="N"),(G405*H405),H405))))))))</f>
        <v/>
      </c>
      <c r="K405" s="132">
        <f>J405</f>
        <v/>
      </c>
      <c r="L405" s="148" t="n"/>
      <c r="M405" s="148" t="n"/>
      <c r="N405" s="148" t="n"/>
      <c r="O405" s="87" t="n"/>
      <c r="P405" s="81" t="n"/>
      <c r="Q405" s="81" t="n"/>
      <c r="R405" s="81" t="n"/>
      <c r="S405" s="81" t="n"/>
      <c r="T405" s="136">
        <f>IF(AND(E405&gt;0,U405=0),1,"")</f>
        <v/>
      </c>
      <c r="U405" s="136">
        <f>SUM(X405:AR405)</f>
        <v/>
      </c>
      <c r="V405" s="136">
        <f>IF(E405=$Q$16,0,SUM(X405:AI405))</f>
        <v/>
      </c>
      <c r="W405" s="136">
        <f>SUM(AK405:AR405)</f>
        <v/>
      </c>
      <c r="X405" s="136">
        <f>IF(E405=$X$6,1,"")</f>
        <v/>
      </c>
      <c r="Y405" s="136">
        <f>IF(E405=$Y$6,1,"")</f>
        <v/>
      </c>
      <c r="Z405" s="136">
        <f>IF(E405=$Z$6,1,"")</f>
        <v/>
      </c>
      <c r="AA405" s="136">
        <f>IF(E405=$AA$6,1,"")</f>
        <v/>
      </c>
      <c r="AB405" s="136">
        <f>IF(E405=$AB$6,1,"")</f>
        <v/>
      </c>
      <c r="AC405" s="136">
        <f>IF(E405=$AC$6,1,"")</f>
        <v/>
      </c>
      <c r="AD405" s="136">
        <f>IF(E405=$AD$6,1,"")</f>
        <v/>
      </c>
      <c r="AE405" s="136">
        <f>IF(E405=$AE$6,1,"")</f>
        <v/>
      </c>
      <c r="AF405" s="136">
        <f>IF(E405=$AF$6,1,"")</f>
        <v/>
      </c>
      <c r="AG405" s="136">
        <f>IF(E405=$AG$6,1,"")</f>
        <v/>
      </c>
      <c r="AH405" s="136">
        <f>IF(E405=$AH$6,1,"")</f>
        <v/>
      </c>
      <c r="AI405" s="136">
        <f>IF(E405=$AI$6,1,"")</f>
        <v/>
      </c>
      <c r="AJ405" s="136">
        <f>IF(E405=$AJ$6,1,"")</f>
        <v/>
      </c>
      <c r="AK405" s="81">
        <f>IF(E405=$AK$6,1,"")</f>
        <v/>
      </c>
      <c r="AL405" s="81">
        <f>IF(E405=$AL$6,1,"")</f>
        <v/>
      </c>
      <c r="AM405" s="81">
        <f>IF(E405=$AM$6,1,"")</f>
        <v/>
      </c>
      <c r="AN405" s="81">
        <f>IF(E405=$AN$6,1,"")</f>
        <v/>
      </c>
      <c r="AO405" s="81">
        <f>IF(E405=$AO$6,1,"")</f>
        <v/>
      </c>
      <c r="AP405" s="81">
        <f>IF(E405=$AP$6,1,"")</f>
        <v/>
      </c>
      <c r="AQ405" s="81">
        <f>IF(E405=$AQ$6,1,"")</f>
        <v/>
      </c>
      <c r="AR405" s="81">
        <f>IF(E405=$AR$6,1,"")</f>
        <v/>
      </c>
      <c r="AS405" s="81" t="n"/>
    </row>
    <row r="406" ht="15.75" customHeight="1" s="80">
      <c r="A406" s="157" t="n"/>
      <c r="B406" s="124" t="n"/>
      <c r="C406" s="125" t="n"/>
      <c r="D406" s="126" t="n"/>
      <c r="E406" s="127" t="n"/>
      <c r="F406" s="128" t="n"/>
      <c r="G406" s="129">
        <f>IF(F406="","",ROUND(F406/60,2))</f>
        <v/>
      </c>
      <c r="H406" s="130" t="n"/>
      <c r="I406" s="131" t="n"/>
      <c r="J406" s="131">
        <f>IF(COUNTIF(B406:E406,"*")=0,"",IF(T406=1,"Invalid Service",IF(AND(V406=1,F406=""),"Add Session Mins",IF(AND(E406&gt;0,H406="",T406=""),"Enter Contract Rate",IF(AND(E406="IEP mtg, prep, rept",F406&gt;0),(G406*H406),IF(AND(E406&gt;0,F406&gt;0,H406&gt;0,I406=""),"Enter Travel",IF(AND(F406&gt;0,I406="Y"),(G406*H406)+$M$10,IF(AND(F406&gt;0,I406="N"),(G406*H406),H406))))))))</f>
        <v/>
      </c>
      <c r="K406" s="132">
        <f>J406</f>
        <v/>
      </c>
      <c r="L406" s="148" t="n"/>
      <c r="M406" s="148" t="n"/>
      <c r="N406" s="148" t="n"/>
      <c r="O406" s="87" t="n"/>
      <c r="P406" s="81" t="n"/>
      <c r="Q406" s="81" t="n"/>
      <c r="R406" s="81" t="n"/>
      <c r="S406" s="81" t="n"/>
      <c r="T406" s="136">
        <f>IF(AND(E406&gt;0,U406=0),1,"")</f>
        <v/>
      </c>
      <c r="U406" s="136">
        <f>SUM(X406:AR406)</f>
        <v/>
      </c>
      <c r="V406" s="136">
        <f>IF(E406=$Q$16,0,SUM(X406:AI406))</f>
        <v/>
      </c>
      <c r="W406" s="136">
        <f>SUM(AK406:AR406)</f>
        <v/>
      </c>
      <c r="X406" s="136">
        <f>IF(E406=$X$6,1,"")</f>
        <v/>
      </c>
      <c r="Y406" s="136">
        <f>IF(E406=$Y$6,1,"")</f>
        <v/>
      </c>
      <c r="Z406" s="136">
        <f>IF(E406=$Z$6,1,"")</f>
        <v/>
      </c>
      <c r="AA406" s="136">
        <f>IF(E406=$AA$6,1,"")</f>
        <v/>
      </c>
      <c r="AB406" s="136">
        <f>IF(E406=$AB$6,1,"")</f>
        <v/>
      </c>
      <c r="AC406" s="136">
        <f>IF(E406=$AC$6,1,"")</f>
        <v/>
      </c>
      <c r="AD406" s="136">
        <f>IF(E406=$AD$6,1,"")</f>
        <v/>
      </c>
      <c r="AE406" s="136">
        <f>IF(E406=$AE$6,1,"")</f>
        <v/>
      </c>
      <c r="AF406" s="136">
        <f>IF(E406=$AF$6,1,"")</f>
        <v/>
      </c>
      <c r="AG406" s="136">
        <f>IF(E406=$AG$6,1,"")</f>
        <v/>
      </c>
      <c r="AH406" s="136">
        <f>IF(E406=$AH$6,1,"")</f>
        <v/>
      </c>
      <c r="AI406" s="136">
        <f>IF(E406=$AI$6,1,"")</f>
        <v/>
      </c>
      <c r="AJ406" s="136">
        <f>IF(E406=$AJ$6,1,"")</f>
        <v/>
      </c>
      <c r="AK406" s="81">
        <f>IF(E406=$AK$6,1,"")</f>
        <v/>
      </c>
      <c r="AL406" s="81">
        <f>IF(E406=$AL$6,1,"")</f>
        <v/>
      </c>
      <c r="AM406" s="81">
        <f>IF(E406=$AM$6,1,"")</f>
        <v/>
      </c>
      <c r="AN406" s="81">
        <f>IF(E406=$AN$6,1,"")</f>
        <v/>
      </c>
      <c r="AO406" s="81">
        <f>IF(E406=$AO$6,1,"")</f>
        <v/>
      </c>
      <c r="AP406" s="81">
        <f>IF(E406=$AP$6,1,"")</f>
        <v/>
      </c>
      <c r="AQ406" s="81">
        <f>IF(E406=$AQ$6,1,"")</f>
        <v/>
      </c>
      <c r="AR406" s="81">
        <f>IF(E406=$AR$6,1,"")</f>
        <v/>
      </c>
      <c r="AS406" s="81" t="n"/>
    </row>
    <row r="407" ht="15.75" customHeight="1" s="80">
      <c r="A407" s="157" t="n"/>
      <c r="B407" s="124" t="n"/>
      <c r="C407" s="125" t="n"/>
      <c r="D407" s="126" t="n"/>
      <c r="E407" s="127" t="n"/>
      <c r="F407" s="128" t="n"/>
      <c r="G407" s="129">
        <f>IF(F407="","",ROUND(F407/60,2))</f>
        <v/>
      </c>
      <c r="H407" s="130" t="n"/>
      <c r="I407" s="131" t="n"/>
      <c r="J407" s="131">
        <f>IF(COUNTIF(B407:E407,"*")=0,"",IF(T407=1,"Invalid Service",IF(AND(V407=1,F407=""),"Add Session Mins",IF(AND(E407&gt;0,H407="",T407=""),"Enter Contract Rate",IF(AND(E407="IEP mtg, prep, rept",F407&gt;0),(G407*H407),IF(AND(E407&gt;0,F407&gt;0,H407&gt;0,I407=""),"Enter Travel",IF(AND(F407&gt;0,I407="Y"),(G407*H407)+$M$10,IF(AND(F407&gt;0,I407="N"),(G407*H407),H407))))))))</f>
        <v/>
      </c>
      <c r="K407" s="132">
        <f>J407</f>
        <v/>
      </c>
      <c r="L407" s="148" t="n"/>
      <c r="M407" s="148" t="n"/>
      <c r="N407" s="148" t="n"/>
      <c r="O407" s="87" t="n"/>
      <c r="P407" s="81" t="n"/>
      <c r="Q407" s="81" t="n"/>
      <c r="R407" s="81" t="n"/>
      <c r="S407" s="81" t="n"/>
      <c r="T407" s="136">
        <f>IF(AND(E407&gt;0,U407=0),1,"")</f>
        <v/>
      </c>
      <c r="U407" s="136">
        <f>SUM(X407:AR407)</f>
        <v/>
      </c>
      <c r="V407" s="136">
        <f>IF(E407=$Q$16,0,SUM(X407:AI407))</f>
        <v/>
      </c>
      <c r="W407" s="136">
        <f>SUM(AK407:AR407)</f>
        <v/>
      </c>
      <c r="X407" s="136">
        <f>IF(E407=$X$6,1,"")</f>
        <v/>
      </c>
      <c r="Y407" s="136">
        <f>IF(E407=$Y$6,1,"")</f>
        <v/>
      </c>
      <c r="Z407" s="136">
        <f>IF(E407=$Z$6,1,"")</f>
        <v/>
      </c>
      <c r="AA407" s="136">
        <f>IF(E407=$AA$6,1,"")</f>
        <v/>
      </c>
      <c r="AB407" s="136">
        <f>IF(E407=$AB$6,1,"")</f>
        <v/>
      </c>
      <c r="AC407" s="136">
        <f>IF(E407=$AC$6,1,"")</f>
        <v/>
      </c>
      <c r="AD407" s="136">
        <f>IF(E407=$AD$6,1,"")</f>
        <v/>
      </c>
      <c r="AE407" s="136">
        <f>IF(E407=$AE$6,1,"")</f>
        <v/>
      </c>
      <c r="AF407" s="136">
        <f>IF(E407=$AF$6,1,"")</f>
        <v/>
      </c>
      <c r="AG407" s="136">
        <f>IF(E407=$AG$6,1,"")</f>
        <v/>
      </c>
      <c r="AH407" s="136">
        <f>IF(E407=$AH$6,1,"")</f>
        <v/>
      </c>
      <c r="AI407" s="136">
        <f>IF(E407=$AI$6,1,"")</f>
        <v/>
      </c>
      <c r="AJ407" s="136">
        <f>IF(E407=$AJ$6,1,"")</f>
        <v/>
      </c>
      <c r="AK407" s="81">
        <f>IF(E407=$AK$6,1,"")</f>
        <v/>
      </c>
      <c r="AL407" s="81">
        <f>IF(E407=$AL$6,1,"")</f>
        <v/>
      </c>
      <c r="AM407" s="81">
        <f>IF(E407=$AM$6,1,"")</f>
        <v/>
      </c>
      <c r="AN407" s="81">
        <f>IF(E407=$AN$6,1,"")</f>
        <v/>
      </c>
      <c r="AO407" s="81">
        <f>IF(E407=$AO$6,1,"")</f>
        <v/>
      </c>
      <c r="AP407" s="81">
        <f>IF(E407=$AP$6,1,"")</f>
        <v/>
      </c>
      <c r="AQ407" s="81">
        <f>IF(E407=$AQ$6,1,"")</f>
        <v/>
      </c>
      <c r="AR407" s="81">
        <f>IF(E407=$AR$6,1,"")</f>
        <v/>
      </c>
      <c r="AS407" s="81" t="n"/>
    </row>
    <row r="408" ht="15.75" customHeight="1" s="80">
      <c r="A408" s="157" t="n"/>
      <c r="B408" s="124" t="n"/>
      <c r="C408" s="125" t="n"/>
      <c r="D408" s="126" t="n"/>
      <c r="E408" s="127" t="n"/>
      <c r="F408" s="128" t="n"/>
      <c r="G408" s="129">
        <f>IF(F408="","",ROUND(F408/60,2))</f>
        <v/>
      </c>
      <c r="H408" s="130" t="n"/>
      <c r="I408" s="131" t="n"/>
      <c r="J408" s="131">
        <f>IF(COUNTIF(B408:E408,"*")=0,"",IF(T408=1,"Invalid Service",IF(AND(V408=1,F408=""),"Add Session Mins",IF(AND(E408&gt;0,H408="",T408=""),"Enter Contract Rate",IF(AND(E408="IEP mtg, prep, rept",F408&gt;0),(G408*H408),IF(AND(E408&gt;0,F408&gt;0,H408&gt;0,I408=""),"Enter Travel",IF(AND(F408&gt;0,I408="Y"),(G408*H408)+$M$10,IF(AND(F408&gt;0,I408="N"),(G408*H408),H408))))))))</f>
        <v/>
      </c>
      <c r="K408" s="132">
        <f>J408</f>
        <v/>
      </c>
      <c r="L408" s="148" t="n"/>
      <c r="M408" s="148" t="n"/>
      <c r="N408" s="148" t="n"/>
      <c r="O408" s="87" t="n"/>
      <c r="P408" s="81" t="n"/>
      <c r="Q408" s="81" t="n"/>
      <c r="R408" s="81" t="n"/>
      <c r="S408" s="81" t="n"/>
      <c r="T408" s="136">
        <f>IF(AND(E408&gt;0,U408=0),1,"")</f>
        <v/>
      </c>
      <c r="U408" s="136">
        <f>SUM(X408:AR408)</f>
        <v/>
      </c>
      <c r="V408" s="136">
        <f>IF(E408=$Q$16,0,SUM(X408:AI408))</f>
        <v/>
      </c>
      <c r="W408" s="136">
        <f>SUM(AK408:AR408)</f>
        <v/>
      </c>
      <c r="X408" s="136">
        <f>IF(E408=$X$6,1,"")</f>
        <v/>
      </c>
      <c r="Y408" s="136">
        <f>IF(E408=$Y$6,1,"")</f>
        <v/>
      </c>
      <c r="Z408" s="136">
        <f>IF(E408=$Z$6,1,"")</f>
        <v/>
      </c>
      <c r="AA408" s="136">
        <f>IF(E408=$AA$6,1,"")</f>
        <v/>
      </c>
      <c r="AB408" s="136">
        <f>IF(E408=$AB$6,1,"")</f>
        <v/>
      </c>
      <c r="AC408" s="136">
        <f>IF(E408=$AC$6,1,"")</f>
        <v/>
      </c>
      <c r="AD408" s="136">
        <f>IF(E408=$AD$6,1,"")</f>
        <v/>
      </c>
      <c r="AE408" s="136">
        <f>IF(E408=$AE$6,1,"")</f>
        <v/>
      </c>
      <c r="AF408" s="136">
        <f>IF(E408=$AF$6,1,"")</f>
        <v/>
      </c>
      <c r="AG408" s="136">
        <f>IF(E408=$AG$6,1,"")</f>
        <v/>
      </c>
      <c r="AH408" s="136">
        <f>IF(E408=$AH$6,1,"")</f>
        <v/>
      </c>
      <c r="AI408" s="136">
        <f>IF(E408=$AI$6,1,"")</f>
        <v/>
      </c>
      <c r="AJ408" s="136">
        <f>IF(E408=$AJ$6,1,"")</f>
        <v/>
      </c>
      <c r="AK408" s="81">
        <f>IF(E408=$AK$6,1,"")</f>
        <v/>
      </c>
      <c r="AL408" s="81">
        <f>IF(E408=$AL$6,1,"")</f>
        <v/>
      </c>
      <c r="AM408" s="81">
        <f>IF(E408=$AM$6,1,"")</f>
        <v/>
      </c>
      <c r="AN408" s="81">
        <f>IF(E408=$AN$6,1,"")</f>
        <v/>
      </c>
      <c r="AO408" s="81">
        <f>IF(E408=$AO$6,1,"")</f>
        <v/>
      </c>
      <c r="AP408" s="81">
        <f>IF(E408=$AP$6,1,"")</f>
        <v/>
      </c>
      <c r="AQ408" s="81">
        <f>IF(E408=$AQ$6,1,"")</f>
        <v/>
      </c>
      <c r="AR408" s="81">
        <f>IF(E408=$AR$6,1,"")</f>
        <v/>
      </c>
      <c r="AS408" s="81" t="n"/>
    </row>
    <row r="409" ht="15.75" customHeight="1" s="80">
      <c r="A409" s="157" t="n"/>
      <c r="B409" s="124" t="n"/>
      <c r="C409" s="125" t="n"/>
      <c r="D409" s="126" t="n"/>
      <c r="E409" s="127" t="n"/>
      <c r="F409" s="128" t="n"/>
      <c r="G409" s="129">
        <f>IF(F409="","",ROUND(F409/60,2))</f>
        <v/>
      </c>
      <c r="H409" s="130" t="n"/>
      <c r="I409" s="131" t="n"/>
      <c r="J409" s="131">
        <f>IF(COUNTIF(B409:E409,"*")=0,"",IF(T409=1,"Invalid Service",IF(AND(V409=1,F409=""),"Add Session Mins",IF(AND(E409&gt;0,H409="",T409=""),"Enter Contract Rate",IF(AND(E409="IEP mtg, prep, rept",F409&gt;0),(G409*H409),IF(AND(E409&gt;0,F409&gt;0,H409&gt;0,I409=""),"Enter Travel",IF(AND(F409&gt;0,I409="Y"),(G409*H409)+$M$10,IF(AND(F409&gt;0,I409="N"),(G409*H409),H409))))))))</f>
        <v/>
      </c>
      <c r="K409" s="132">
        <f>J409</f>
        <v/>
      </c>
      <c r="L409" s="148" t="n"/>
      <c r="M409" s="148" t="n"/>
      <c r="N409" s="148" t="n"/>
      <c r="O409" s="87" t="n"/>
      <c r="P409" s="81" t="n"/>
      <c r="Q409" s="81" t="n"/>
      <c r="R409" s="81" t="n"/>
      <c r="S409" s="81" t="n"/>
      <c r="T409" s="136">
        <f>IF(AND(E409&gt;0,U409=0),1,"")</f>
        <v/>
      </c>
      <c r="U409" s="136">
        <f>SUM(X409:AR409)</f>
        <v/>
      </c>
      <c r="V409" s="136">
        <f>IF(E409=$Q$16,0,SUM(X409:AI409))</f>
        <v/>
      </c>
      <c r="W409" s="136">
        <f>SUM(AK409:AR409)</f>
        <v/>
      </c>
      <c r="X409" s="136">
        <f>IF(E409=$X$6,1,"")</f>
        <v/>
      </c>
      <c r="Y409" s="136">
        <f>IF(E409=$Y$6,1,"")</f>
        <v/>
      </c>
      <c r="Z409" s="136">
        <f>IF(E409=$Z$6,1,"")</f>
        <v/>
      </c>
      <c r="AA409" s="136">
        <f>IF(E409=$AA$6,1,"")</f>
        <v/>
      </c>
      <c r="AB409" s="136">
        <f>IF(E409=$AB$6,1,"")</f>
        <v/>
      </c>
      <c r="AC409" s="136">
        <f>IF(E409=$AC$6,1,"")</f>
        <v/>
      </c>
      <c r="AD409" s="136">
        <f>IF(E409=$AD$6,1,"")</f>
        <v/>
      </c>
      <c r="AE409" s="136">
        <f>IF(E409=$AE$6,1,"")</f>
        <v/>
      </c>
      <c r="AF409" s="136">
        <f>IF(E409=$AF$6,1,"")</f>
        <v/>
      </c>
      <c r="AG409" s="136">
        <f>IF(E409=$AG$6,1,"")</f>
        <v/>
      </c>
      <c r="AH409" s="136">
        <f>IF(E409=$AH$6,1,"")</f>
        <v/>
      </c>
      <c r="AI409" s="136">
        <f>IF(E409=$AI$6,1,"")</f>
        <v/>
      </c>
      <c r="AJ409" s="136">
        <f>IF(E409=$AJ$6,1,"")</f>
        <v/>
      </c>
      <c r="AK409" s="81">
        <f>IF(E409=$AK$6,1,"")</f>
        <v/>
      </c>
      <c r="AL409" s="81">
        <f>IF(E409=$AL$6,1,"")</f>
        <v/>
      </c>
      <c r="AM409" s="81">
        <f>IF(E409=$AM$6,1,"")</f>
        <v/>
      </c>
      <c r="AN409" s="81">
        <f>IF(E409=$AN$6,1,"")</f>
        <v/>
      </c>
      <c r="AO409" s="81">
        <f>IF(E409=$AO$6,1,"")</f>
        <v/>
      </c>
      <c r="AP409" s="81">
        <f>IF(E409=$AP$6,1,"")</f>
        <v/>
      </c>
      <c r="AQ409" s="81">
        <f>IF(E409=$AQ$6,1,"")</f>
        <v/>
      </c>
      <c r="AR409" s="81">
        <f>IF(E409=$AR$6,1,"")</f>
        <v/>
      </c>
      <c r="AS409" s="81" t="n"/>
    </row>
    <row r="410" ht="15.75" customHeight="1" s="80">
      <c r="A410" s="157" t="n"/>
      <c r="B410" s="124" t="n"/>
      <c r="C410" s="125" t="n"/>
      <c r="D410" s="126" t="n"/>
      <c r="E410" s="127" t="n"/>
      <c r="F410" s="128" t="n"/>
      <c r="G410" s="129">
        <f>IF(F410="","",ROUND(F410/60,2))</f>
        <v/>
      </c>
      <c r="H410" s="130" t="n"/>
      <c r="I410" s="131" t="n"/>
      <c r="J410" s="131">
        <f>IF(COUNTIF(B410:E410,"*")=0,"",IF(T410=1,"Invalid Service",IF(AND(V410=1,F410=""),"Add Session Mins",IF(AND(E410&gt;0,H410="",T410=""),"Enter Contract Rate",IF(AND(E410="IEP mtg, prep, rept",F410&gt;0),(G410*H410),IF(AND(E410&gt;0,F410&gt;0,H410&gt;0,I410=""),"Enter Travel",IF(AND(F410&gt;0,I410="Y"),(G410*H410)+$M$10,IF(AND(F410&gt;0,I410="N"),(G410*H410),H410))))))))</f>
        <v/>
      </c>
      <c r="K410" s="132">
        <f>J410</f>
        <v/>
      </c>
      <c r="L410" s="148" t="n"/>
      <c r="M410" s="148" t="n"/>
      <c r="N410" s="148" t="n"/>
      <c r="O410" s="87" t="n"/>
      <c r="P410" s="81" t="n"/>
      <c r="Q410" s="81" t="n"/>
      <c r="R410" s="81" t="n"/>
      <c r="S410" s="81" t="n"/>
      <c r="T410" s="136">
        <f>IF(AND(E410&gt;0,U410=0),1,"")</f>
        <v/>
      </c>
      <c r="U410" s="136">
        <f>SUM(X410:AR410)</f>
        <v/>
      </c>
      <c r="V410" s="136">
        <f>IF(E410=$Q$16,0,SUM(X410:AI410))</f>
        <v/>
      </c>
      <c r="W410" s="136">
        <f>SUM(AK410:AR410)</f>
        <v/>
      </c>
      <c r="X410" s="136">
        <f>IF(E410=$X$6,1,"")</f>
        <v/>
      </c>
      <c r="Y410" s="136">
        <f>IF(E410=$Y$6,1,"")</f>
        <v/>
      </c>
      <c r="Z410" s="136">
        <f>IF(E410=$Z$6,1,"")</f>
        <v/>
      </c>
      <c r="AA410" s="136">
        <f>IF(E410=$AA$6,1,"")</f>
        <v/>
      </c>
      <c r="AB410" s="136">
        <f>IF(E410=$AB$6,1,"")</f>
        <v/>
      </c>
      <c r="AC410" s="136">
        <f>IF(E410=$AC$6,1,"")</f>
        <v/>
      </c>
      <c r="AD410" s="136">
        <f>IF(E410=$AD$6,1,"")</f>
        <v/>
      </c>
      <c r="AE410" s="136">
        <f>IF(E410=$AE$6,1,"")</f>
        <v/>
      </c>
      <c r="AF410" s="136">
        <f>IF(E410=$AF$6,1,"")</f>
        <v/>
      </c>
      <c r="AG410" s="136">
        <f>IF(E410=$AG$6,1,"")</f>
        <v/>
      </c>
      <c r="AH410" s="136">
        <f>IF(E410=$AH$6,1,"")</f>
        <v/>
      </c>
      <c r="AI410" s="136">
        <f>IF(E410=$AI$6,1,"")</f>
        <v/>
      </c>
      <c r="AJ410" s="136">
        <f>IF(E410=$AJ$6,1,"")</f>
        <v/>
      </c>
      <c r="AK410" s="81">
        <f>IF(E410=$AK$6,1,"")</f>
        <v/>
      </c>
      <c r="AL410" s="81">
        <f>IF(E410=$AL$6,1,"")</f>
        <v/>
      </c>
      <c r="AM410" s="81">
        <f>IF(E410=$AM$6,1,"")</f>
        <v/>
      </c>
      <c r="AN410" s="81">
        <f>IF(E410=$AN$6,1,"")</f>
        <v/>
      </c>
      <c r="AO410" s="81">
        <f>IF(E410=$AO$6,1,"")</f>
        <v/>
      </c>
      <c r="AP410" s="81">
        <f>IF(E410=$AP$6,1,"")</f>
        <v/>
      </c>
      <c r="AQ410" s="81">
        <f>IF(E410=$AQ$6,1,"")</f>
        <v/>
      </c>
      <c r="AR410" s="81">
        <f>IF(E410=$AR$6,1,"")</f>
        <v/>
      </c>
      <c r="AS410" s="81" t="n"/>
    </row>
    <row r="411" ht="15.75" customHeight="1" s="80">
      <c r="A411" s="157" t="n"/>
      <c r="B411" s="124" t="n"/>
      <c r="C411" s="125" t="n"/>
      <c r="D411" s="126" t="n"/>
      <c r="E411" s="127" t="n"/>
      <c r="F411" s="128" t="n"/>
      <c r="G411" s="129">
        <f>IF(F411="","",ROUND(F411/60,2))</f>
        <v/>
      </c>
      <c r="H411" s="130" t="n"/>
      <c r="I411" s="131" t="n"/>
      <c r="J411" s="131">
        <f>IF(COUNTIF(B411:E411,"*")=0,"",IF(T411=1,"Invalid Service",IF(AND(V411=1,F411=""),"Add Session Mins",IF(AND(E411&gt;0,H411="",T411=""),"Enter Contract Rate",IF(AND(E411="IEP mtg, prep, rept",F411&gt;0),(G411*H411),IF(AND(E411&gt;0,F411&gt;0,H411&gt;0,I411=""),"Enter Travel",IF(AND(F411&gt;0,I411="Y"),(G411*H411)+$M$10,IF(AND(F411&gt;0,I411="N"),(G411*H411),H411))))))))</f>
        <v/>
      </c>
      <c r="K411" s="132">
        <f>J411</f>
        <v/>
      </c>
      <c r="L411" s="148" t="n"/>
      <c r="M411" s="148" t="n"/>
      <c r="N411" s="148" t="n"/>
      <c r="O411" s="87" t="n"/>
      <c r="P411" s="81" t="n"/>
      <c r="Q411" s="81" t="n"/>
      <c r="R411" s="81" t="n"/>
      <c r="S411" s="81" t="n"/>
      <c r="T411" s="136">
        <f>IF(AND(E411&gt;0,U411=0),1,"")</f>
        <v/>
      </c>
      <c r="U411" s="136">
        <f>SUM(X411:AR411)</f>
        <v/>
      </c>
      <c r="V411" s="136">
        <f>IF(E411=$Q$16,0,SUM(X411:AI411))</f>
        <v/>
      </c>
      <c r="W411" s="136">
        <f>SUM(AK411:AR411)</f>
        <v/>
      </c>
      <c r="X411" s="136">
        <f>IF(E411=$X$6,1,"")</f>
        <v/>
      </c>
      <c r="Y411" s="136">
        <f>IF(E411=$Y$6,1,"")</f>
        <v/>
      </c>
      <c r="Z411" s="136">
        <f>IF(E411=$Z$6,1,"")</f>
        <v/>
      </c>
      <c r="AA411" s="136">
        <f>IF(E411=$AA$6,1,"")</f>
        <v/>
      </c>
      <c r="AB411" s="136">
        <f>IF(E411=$AB$6,1,"")</f>
        <v/>
      </c>
      <c r="AC411" s="136">
        <f>IF(E411=$AC$6,1,"")</f>
        <v/>
      </c>
      <c r="AD411" s="136">
        <f>IF(E411=$AD$6,1,"")</f>
        <v/>
      </c>
      <c r="AE411" s="136">
        <f>IF(E411=$AE$6,1,"")</f>
        <v/>
      </c>
      <c r="AF411" s="136">
        <f>IF(E411=$AF$6,1,"")</f>
        <v/>
      </c>
      <c r="AG411" s="136">
        <f>IF(E411=$AG$6,1,"")</f>
        <v/>
      </c>
      <c r="AH411" s="136">
        <f>IF(E411=$AH$6,1,"")</f>
        <v/>
      </c>
      <c r="AI411" s="136">
        <f>IF(E411=$AI$6,1,"")</f>
        <v/>
      </c>
      <c r="AJ411" s="136">
        <f>IF(E411=$AJ$6,1,"")</f>
        <v/>
      </c>
      <c r="AK411" s="81">
        <f>IF(E411=$AK$6,1,"")</f>
        <v/>
      </c>
      <c r="AL411" s="81">
        <f>IF(E411=$AL$6,1,"")</f>
        <v/>
      </c>
      <c r="AM411" s="81">
        <f>IF(E411=$AM$6,1,"")</f>
        <v/>
      </c>
      <c r="AN411" s="81">
        <f>IF(E411=$AN$6,1,"")</f>
        <v/>
      </c>
      <c r="AO411" s="81">
        <f>IF(E411=$AO$6,1,"")</f>
        <v/>
      </c>
      <c r="AP411" s="81">
        <f>IF(E411=$AP$6,1,"")</f>
        <v/>
      </c>
      <c r="AQ411" s="81">
        <f>IF(E411=$AQ$6,1,"")</f>
        <v/>
      </c>
      <c r="AR411" s="81">
        <f>IF(E411=$AR$6,1,"")</f>
        <v/>
      </c>
      <c r="AS411" s="81" t="n"/>
    </row>
    <row r="412" ht="15.75" customHeight="1" s="80">
      <c r="A412" s="157" t="n"/>
      <c r="B412" s="124" t="n"/>
      <c r="C412" s="125" t="n"/>
      <c r="D412" s="126" t="n"/>
      <c r="E412" s="127" t="n"/>
      <c r="F412" s="128" t="n"/>
      <c r="G412" s="129">
        <f>IF(F412="","",ROUND(F412/60,2))</f>
        <v/>
      </c>
      <c r="H412" s="130" t="n"/>
      <c r="I412" s="131" t="n"/>
      <c r="J412" s="131">
        <f>IF(COUNTIF(B412:E412,"*")=0,"",IF(T412=1,"Invalid Service",IF(AND(V412=1,F412=""),"Add Session Mins",IF(AND(E412&gt;0,H412="",T412=""),"Enter Contract Rate",IF(AND(E412="IEP mtg, prep, rept",F412&gt;0),(G412*H412),IF(AND(E412&gt;0,F412&gt;0,H412&gt;0,I412=""),"Enter Travel",IF(AND(F412&gt;0,I412="Y"),(G412*H412)+$M$10,IF(AND(F412&gt;0,I412="N"),(G412*H412),H412))))))))</f>
        <v/>
      </c>
      <c r="K412" s="132">
        <f>J412</f>
        <v/>
      </c>
      <c r="L412" s="148" t="n"/>
      <c r="M412" s="148" t="n"/>
      <c r="N412" s="148" t="n"/>
      <c r="O412" s="87" t="n"/>
      <c r="P412" s="81" t="n"/>
      <c r="Q412" s="81" t="n"/>
      <c r="R412" s="81" t="n"/>
      <c r="S412" s="81" t="n"/>
      <c r="T412" s="136">
        <f>IF(AND(E412&gt;0,U412=0),1,"")</f>
        <v/>
      </c>
      <c r="U412" s="136">
        <f>SUM(X412:AR412)</f>
        <v/>
      </c>
      <c r="V412" s="136">
        <f>IF(E412=$Q$16,0,SUM(X412:AI412))</f>
        <v/>
      </c>
      <c r="W412" s="136">
        <f>SUM(AK412:AR412)</f>
        <v/>
      </c>
      <c r="X412" s="136">
        <f>IF(E412=$X$6,1,"")</f>
        <v/>
      </c>
      <c r="Y412" s="136">
        <f>IF(E412=$Y$6,1,"")</f>
        <v/>
      </c>
      <c r="Z412" s="136">
        <f>IF(E412=$Z$6,1,"")</f>
        <v/>
      </c>
      <c r="AA412" s="136">
        <f>IF(E412=$AA$6,1,"")</f>
        <v/>
      </c>
      <c r="AB412" s="136">
        <f>IF(E412=$AB$6,1,"")</f>
        <v/>
      </c>
      <c r="AC412" s="136">
        <f>IF(E412=$AC$6,1,"")</f>
        <v/>
      </c>
      <c r="AD412" s="136">
        <f>IF(E412=$AD$6,1,"")</f>
        <v/>
      </c>
      <c r="AE412" s="136">
        <f>IF(E412=$AE$6,1,"")</f>
        <v/>
      </c>
      <c r="AF412" s="136">
        <f>IF(E412=$AF$6,1,"")</f>
        <v/>
      </c>
      <c r="AG412" s="136">
        <f>IF(E412=$AG$6,1,"")</f>
        <v/>
      </c>
      <c r="AH412" s="136">
        <f>IF(E412=$AH$6,1,"")</f>
        <v/>
      </c>
      <c r="AI412" s="136">
        <f>IF(E412=$AI$6,1,"")</f>
        <v/>
      </c>
      <c r="AJ412" s="136">
        <f>IF(E412=$AJ$6,1,"")</f>
        <v/>
      </c>
      <c r="AK412" s="81">
        <f>IF(E412=$AK$6,1,"")</f>
        <v/>
      </c>
      <c r="AL412" s="81">
        <f>IF(E412=$AL$6,1,"")</f>
        <v/>
      </c>
      <c r="AM412" s="81">
        <f>IF(E412=$AM$6,1,"")</f>
        <v/>
      </c>
      <c r="AN412" s="81">
        <f>IF(E412=$AN$6,1,"")</f>
        <v/>
      </c>
      <c r="AO412" s="81">
        <f>IF(E412=$AO$6,1,"")</f>
        <v/>
      </c>
      <c r="AP412" s="81">
        <f>IF(E412=$AP$6,1,"")</f>
        <v/>
      </c>
      <c r="AQ412" s="81">
        <f>IF(E412=$AQ$6,1,"")</f>
        <v/>
      </c>
      <c r="AR412" s="81">
        <f>IF(E412=$AR$6,1,"")</f>
        <v/>
      </c>
      <c r="AS412" s="81" t="n"/>
    </row>
    <row r="413" ht="15.75" customHeight="1" s="80">
      <c r="A413" s="157" t="n"/>
      <c r="B413" s="124" t="n"/>
      <c r="C413" s="125" t="n"/>
      <c r="D413" s="126" t="n"/>
      <c r="E413" s="127" t="n"/>
      <c r="F413" s="128" t="n"/>
      <c r="G413" s="129">
        <f>IF(F413="","",ROUND(F413/60,2))</f>
        <v/>
      </c>
      <c r="H413" s="130" t="n"/>
      <c r="I413" s="131" t="n"/>
      <c r="J413" s="131">
        <f>IF(COUNTIF(B413:E413,"*")=0,"",IF(T413=1,"Invalid Service",IF(AND(V413=1,F413=""),"Add Session Mins",IF(AND(E413&gt;0,H413="",T413=""),"Enter Contract Rate",IF(AND(E413="IEP mtg, prep, rept",F413&gt;0),(G413*H413),IF(AND(E413&gt;0,F413&gt;0,H413&gt;0,I413=""),"Enter Travel",IF(AND(F413&gt;0,I413="Y"),(G413*H413)+$M$10,IF(AND(F413&gt;0,I413="N"),(G413*H413),H413))))))))</f>
        <v/>
      </c>
      <c r="K413" s="132">
        <f>J413</f>
        <v/>
      </c>
      <c r="L413" s="148" t="n"/>
      <c r="M413" s="148" t="n"/>
      <c r="N413" s="148" t="n"/>
      <c r="O413" s="87" t="n"/>
      <c r="P413" s="81" t="n"/>
      <c r="Q413" s="81" t="n"/>
      <c r="R413" s="81" t="n"/>
      <c r="S413" s="81" t="n"/>
      <c r="T413" s="136">
        <f>IF(AND(E413&gt;0,U413=0),1,"")</f>
        <v/>
      </c>
      <c r="U413" s="136">
        <f>SUM(X413:AR413)</f>
        <v/>
      </c>
      <c r="V413" s="136">
        <f>IF(E413=$Q$16,0,SUM(X413:AI413))</f>
        <v/>
      </c>
      <c r="W413" s="136">
        <f>SUM(AK413:AR413)</f>
        <v/>
      </c>
      <c r="X413" s="136">
        <f>IF(E413=$X$6,1,"")</f>
        <v/>
      </c>
      <c r="Y413" s="136">
        <f>IF(E413=$Y$6,1,"")</f>
        <v/>
      </c>
      <c r="Z413" s="136">
        <f>IF(E413=$Z$6,1,"")</f>
        <v/>
      </c>
      <c r="AA413" s="136">
        <f>IF(E413=$AA$6,1,"")</f>
        <v/>
      </c>
      <c r="AB413" s="136">
        <f>IF(E413=$AB$6,1,"")</f>
        <v/>
      </c>
      <c r="AC413" s="136">
        <f>IF(E413=$AC$6,1,"")</f>
        <v/>
      </c>
      <c r="AD413" s="136">
        <f>IF(E413=$AD$6,1,"")</f>
        <v/>
      </c>
      <c r="AE413" s="136">
        <f>IF(E413=$AE$6,1,"")</f>
        <v/>
      </c>
      <c r="AF413" s="136">
        <f>IF(E413=$AF$6,1,"")</f>
        <v/>
      </c>
      <c r="AG413" s="136">
        <f>IF(E413=$AG$6,1,"")</f>
        <v/>
      </c>
      <c r="AH413" s="136">
        <f>IF(E413=$AH$6,1,"")</f>
        <v/>
      </c>
      <c r="AI413" s="136">
        <f>IF(E413=$AI$6,1,"")</f>
        <v/>
      </c>
      <c r="AJ413" s="136">
        <f>IF(E413=$AJ$6,1,"")</f>
        <v/>
      </c>
      <c r="AK413" s="81">
        <f>IF(E413=$AK$6,1,"")</f>
        <v/>
      </c>
      <c r="AL413" s="81">
        <f>IF(E413=$AL$6,1,"")</f>
        <v/>
      </c>
      <c r="AM413" s="81">
        <f>IF(E413=$AM$6,1,"")</f>
        <v/>
      </c>
      <c r="AN413" s="81">
        <f>IF(E413=$AN$6,1,"")</f>
        <v/>
      </c>
      <c r="AO413" s="81">
        <f>IF(E413=$AO$6,1,"")</f>
        <v/>
      </c>
      <c r="AP413" s="81">
        <f>IF(E413=$AP$6,1,"")</f>
        <v/>
      </c>
      <c r="AQ413" s="81">
        <f>IF(E413=$AQ$6,1,"")</f>
        <v/>
      </c>
      <c r="AR413" s="81">
        <f>IF(E413=$AR$6,1,"")</f>
        <v/>
      </c>
      <c r="AS413" s="81" t="n"/>
    </row>
    <row r="414" ht="15.75" customHeight="1" s="80">
      <c r="A414" s="157" t="n"/>
      <c r="B414" s="124" t="n"/>
      <c r="C414" s="125" t="n"/>
      <c r="D414" s="126" t="n"/>
      <c r="E414" s="127" t="n"/>
      <c r="F414" s="128" t="n"/>
      <c r="G414" s="129">
        <f>IF(F414="","",ROUND(F414/60,2))</f>
        <v/>
      </c>
      <c r="H414" s="130" t="n"/>
      <c r="I414" s="131" t="n"/>
      <c r="J414" s="131">
        <f>IF(COUNTIF(B414:E414,"*")=0,"",IF(T414=1,"Invalid Service",IF(AND(V414=1,F414=""),"Add Session Mins",IF(AND(E414&gt;0,H414="",T414=""),"Enter Contract Rate",IF(AND(E414="IEP mtg, prep, rept",F414&gt;0),(G414*H414),IF(AND(E414&gt;0,F414&gt;0,H414&gt;0,I414=""),"Enter Travel",IF(AND(F414&gt;0,I414="Y"),(G414*H414)+$M$10,IF(AND(F414&gt;0,I414="N"),(G414*H414),H414))))))))</f>
        <v/>
      </c>
      <c r="K414" s="132">
        <f>J414</f>
        <v/>
      </c>
      <c r="L414" s="148" t="n"/>
      <c r="M414" s="148" t="n"/>
      <c r="N414" s="148" t="n"/>
      <c r="O414" s="87" t="n"/>
      <c r="P414" s="81" t="n"/>
      <c r="Q414" s="81" t="n"/>
      <c r="R414" s="81" t="n"/>
      <c r="S414" s="81" t="n"/>
      <c r="T414" s="136">
        <f>IF(AND(E414&gt;0,U414=0),1,"")</f>
        <v/>
      </c>
      <c r="U414" s="136">
        <f>SUM(X414:AR414)</f>
        <v/>
      </c>
      <c r="V414" s="136">
        <f>IF(E414=$Q$16,0,SUM(X414:AI414))</f>
        <v/>
      </c>
      <c r="W414" s="136">
        <f>SUM(AK414:AR414)</f>
        <v/>
      </c>
      <c r="X414" s="136">
        <f>IF(E414=$X$6,1,"")</f>
        <v/>
      </c>
      <c r="Y414" s="136">
        <f>IF(E414=$Y$6,1,"")</f>
        <v/>
      </c>
      <c r="Z414" s="136">
        <f>IF(E414=$Z$6,1,"")</f>
        <v/>
      </c>
      <c r="AA414" s="136">
        <f>IF(E414=$AA$6,1,"")</f>
        <v/>
      </c>
      <c r="AB414" s="136">
        <f>IF(E414=$AB$6,1,"")</f>
        <v/>
      </c>
      <c r="AC414" s="136">
        <f>IF(E414=$AC$6,1,"")</f>
        <v/>
      </c>
      <c r="AD414" s="136">
        <f>IF(E414=$AD$6,1,"")</f>
        <v/>
      </c>
      <c r="AE414" s="136">
        <f>IF(E414=$AE$6,1,"")</f>
        <v/>
      </c>
      <c r="AF414" s="136">
        <f>IF(E414=$AF$6,1,"")</f>
        <v/>
      </c>
      <c r="AG414" s="136">
        <f>IF(E414=$AG$6,1,"")</f>
        <v/>
      </c>
      <c r="AH414" s="136">
        <f>IF(E414=$AH$6,1,"")</f>
        <v/>
      </c>
      <c r="AI414" s="136">
        <f>IF(E414=$AI$6,1,"")</f>
        <v/>
      </c>
      <c r="AJ414" s="136">
        <f>IF(E414=$AJ$6,1,"")</f>
        <v/>
      </c>
      <c r="AK414" s="81">
        <f>IF(E414=$AK$6,1,"")</f>
        <v/>
      </c>
      <c r="AL414" s="81">
        <f>IF(E414=$AL$6,1,"")</f>
        <v/>
      </c>
      <c r="AM414" s="81">
        <f>IF(E414=$AM$6,1,"")</f>
        <v/>
      </c>
      <c r="AN414" s="81">
        <f>IF(E414=$AN$6,1,"")</f>
        <v/>
      </c>
      <c r="AO414" s="81">
        <f>IF(E414=$AO$6,1,"")</f>
        <v/>
      </c>
      <c r="AP414" s="81">
        <f>IF(E414=$AP$6,1,"")</f>
        <v/>
      </c>
      <c r="AQ414" s="81">
        <f>IF(E414=$AQ$6,1,"")</f>
        <v/>
      </c>
      <c r="AR414" s="81">
        <f>IF(E414=$AR$6,1,"")</f>
        <v/>
      </c>
      <c r="AS414" s="81" t="n"/>
    </row>
    <row r="415" ht="15.75" customHeight="1" s="80">
      <c r="A415" s="157" t="n"/>
      <c r="B415" s="124" t="n"/>
      <c r="C415" s="125" t="n"/>
      <c r="D415" s="126" t="n"/>
      <c r="E415" s="127" t="n"/>
      <c r="F415" s="128" t="n"/>
      <c r="G415" s="129">
        <f>IF(F415="","",ROUND(F415/60,2))</f>
        <v/>
      </c>
      <c r="H415" s="130" t="n"/>
      <c r="I415" s="131" t="n"/>
      <c r="J415" s="131">
        <f>IF(COUNTIF(B415:E415,"*")=0,"",IF(T415=1,"Invalid Service",IF(AND(V415=1,F415=""),"Add Session Mins",IF(AND(E415&gt;0,H415="",T415=""),"Enter Contract Rate",IF(AND(E415="IEP mtg, prep, rept",F415&gt;0),(G415*H415),IF(AND(E415&gt;0,F415&gt;0,H415&gt;0,I415=""),"Enter Travel",IF(AND(F415&gt;0,I415="Y"),(G415*H415)+$M$10,IF(AND(F415&gt;0,I415="N"),(G415*H415),H415))))))))</f>
        <v/>
      </c>
      <c r="K415" s="132">
        <f>J415</f>
        <v/>
      </c>
      <c r="L415" s="148" t="n"/>
      <c r="M415" s="148" t="n"/>
      <c r="N415" s="148" t="n"/>
      <c r="O415" s="87" t="n"/>
      <c r="P415" s="81" t="n"/>
      <c r="Q415" s="81" t="n"/>
      <c r="R415" s="81" t="n"/>
      <c r="S415" s="81" t="n"/>
      <c r="T415" s="136">
        <f>IF(AND(E415&gt;0,U415=0),1,"")</f>
        <v/>
      </c>
      <c r="U415" s="136">
        <f>SUM(X415:AR415)</f>
        <v/>
      </c>
      <c r="V415" s="136">
        <f>IF(E415=$Q$16,0,SUM(X415:AI415))</f>
        <v/>
      </c>
      <c r="W415" s="136">
        <f>SUM(AK415:AR415)</f>
        <v/>
      </c>
      <c r="X415" s="136">
        <f>IF(E415=$X$6,1,"")</f>
        <v/>
      </c>
      <c r="Y415" s="136">
        <f>IF(E415=$Y$6,1,"")</f>
        <v/>
      </c>
      <c r="Z415" s="136">
        <f>IF(E415=$Z$6,1,"")</f>
        <v/>
      </c>
      <c r="AA415" s="136">
        <f>IF(E415=$AA$6,1,"")</f>
        <v/>
      </c>
      <c r="AB415" s="136">
        <f>IF(E415=$AB$6,1,"")</f>
        <v/>
      </c>
      <c r="AC415" s="136">
        <f>IF(E415=$AC$6,1,"")</f>
        <v/>
      </c>
      <c r="AD415" s="136">
        <f>IF(E415=$AD$6,1,"")</f>
        <v/>
      </c>
      <c r="AE415" s="136">
        <f>IF(E415=$AE$6,1,"")</f>
        <v/>
      </c>
      <c r="AF415" s="136">
        <f>IF(E415=$AF$6,1,"")</f>
        <v/>
      </c>
      <c r="AG415" s="136">
        <f>IF(E415=$AG$6,1,"")</f>
        <v/>
      </c>
      <c r="AH415" s="136">
        <f>IF(E415=$AH$6,1,"")</f>
        <v/>
      </c>
      <c r="AI415" s="136">
        <f>IF(E415=$AI$6,1,"")</f>
        <v/>
      </c>
      <c r="AJ415" s="136">
        <f>IF(E415=$AJ$6,1,"")</f>
        <v/>
      </c>
      <c r="AK415" s="81">
        <f>IF(E415=$AK$6,1,"")</f>
        <v/>
      </c>
      <c r="AL415" s="81">
        <f>IF(E415=$AL$6,1,"")</f>
        <v/>
      </c>
      <c r="AM415" s="81">
        <f>IF(E415=$AM$6,1,"")</f>
        <v/>
      </c>
      <c r="AN415" s="81">
        <f>IF(E415=$AN$6,1,"")</f>
        <v/>
      </c>
      <c r="AO415" s="81">
        <f>IF(E415=$AO$6,1,"")</f>
        <v/>
      </c>
      <c r="AP415" s="81">
        <f>IF(E415=$AP$6,1,"")</f>
        <v/>
      </c>
      <c r="AQ415" s="81">
        <f>IF(E415=$AQ$6,1,"")</f>
        <v/>
      </c>
      <c r="AR415" s="81">
        <f>IF(E415=$AR$6,1,"")</f>
        <v/>
      </c>
      <c r="AS415" s="81" t="n"/>
    </row>
    <row r="416" ht="15.75" customHeight="1" s="80">
      <c r="A416" s="157" t="n"/>
      <c r="B416" s="124" t="n"/>
      <c r="C416" s="125" t="n"/>
      <c r="D416" s="126" t="n"/>
      <c r="E416" s="127" t="n"/>
      <c r="F416" s="128" t="n"/>
      <c r="G416" s="129">
        <f>IF(F416="","",ROUND(F416/60,2))</f>
        <v/>
      </c>
      <c r="H416" s="130" t="n"/>
      <c r="I416" s="131" t="n"/>
      <c r="J416" s="131">
        <f>IF(COUNTIF(B416:E416,"*")=0,"",IF(T416=1,"Invalid Service",IF(AND(V416=1,F416=""),"Add Session Mins",IF(AND(E416&gt;0,H416="",T416=""),"Enter Contract Rate",IF(AND(E416="IEP mtg, prep, rept",F416&gt;0),(G416*H416),IF(AND(E416&gt;0,F416&gt;0,H416&gt;0,I416=""),"Enter Travel",IF(AND(F416&gt;0,I416="Y"),(G416*H416)+$M$10,IF(AND(F416&gt;0,I416="N"),(G416*H416),H416))))))))</f>
        <v/>
      </c>
      <c r="K416" s="132">
        <f>J416</f>
        <v/>
      </c>
      <c r="L416" s="148" t="n"/>
      <c r="M416" s="148" t="n"/>
      <c r="N416" s="148" t="n"/>
      <c r="O416" s="87" t="n"/>
      <c r="P416" s="81" t="n"/>
      <c r="Q416" s="81" t="n"/>
      <c r="R416" s="81" t="n"/>
      <c r="S416" s="81" t="n"/>
      <c r="T416" s="136">
        <f>IF(AND(E416&gt;0,U416=0),1,"")</f>
        <v/>
      </c>
      <c r="U416" s="136">
        <f>SUM(X416:AR416)</f>
        <v/>
      </c>
      <c r="V416" s="136">
        <f>IF(E416=$Q$16,0,SUM(X416:AI416))</f>
        <v/>
      </c>
      <c r="W416" s="136">
        <f>SUM(AK416:AR416)</f>
        <v/>
      </c>
      <c r="X416" s="136">
        <f>IF(E416=$X$6,1,"")</f>
        <v/>
      </c>
      <c r="Y416" s="136">
        <f>IF(E416=$Y$6,1,"")</f>
        <v/>
      </c>
      <c r="Z416" s="136">
        <f>IF(E416=$Z$6,1,"")</f>
        <v/>
      </c>
      <c r="AA416" s="136">
        <f>IF(E416=$AA$6,1,"")</f>
        <v/>
      </c>
      <c r="AB416" s="136">
        <f>IF(E416=$AB$6,1,"")</f>
        <v/>
      </c>
      <c r="AC416" s="136">
        <f>IF(E416=$AC$6,1,"")</f>
        <v/>
      </c>
      <c r="AD416" s="136">
        <f>IF(E416=$AD$6,1,"")</f>
        <v/>
      </c>
      <c r="AE416" s="136">
        <f>IF(E416=$AE$6,1,"")</f>
        <v/>
      </c>
      <c r="AF416" s="136">
        <f>IF(E416=$AF$6,1,"")</f>
        <v/>
      </c>
      <c r="AG416" s="136">
        <f>IF(E416=$AG$6,1,"")</f>
        <v/>
      </c>
      <c r="AH416" s="136">
        <f>IF(E416=$AH$6,1,"")</f>
        <v/>
      </c>
      <c r="AI416" s="136">
        <f>IF(E416=$AI$6,1,"")</f>
        <v/>
      </c>
      <c r="AJ416" s="136">
        <f>IF(E416=$AJ$6,1,"")</f>
        <v/>
      </c>
      <c r="AK416" s="81">
        <f>IF(E416=$AK$6,1,"")</f>
        <v/>
      </c>
      <c r="AL416" s="81">
        <f>IF(E416=$AL$6,1,"")</f>
        <v/>
      </c>
      <c r="AM416" s="81">
        <f>IF(E416=$AM$6,1,"")</f>
        <v/>
      </c>
      <c r="AN416" s="81">
        <f>IF(E416=$AN$6,1,"")</f>
        <v/>
      </c>
      <c r="AO416" s="81">
        <f>IF(E416=$AO$6,1,"")</f>
        <v/>
      </c>
      <c r="AP416" s="81">
        <f>IF(E416=$AP$6,1,"")</f>
        <v/>
      </c>
      <c r="AQ416" s="81">
        <f>IF(E416=$AQ$6,1,"")</f>
        <v/>
      </c>
      <c r="AR416" s="81">
        <f>IF(E416=$AR$6,1,"")</f>
        <v/>
      </c>
      <c r="AS416" s="81" t="n"/>
    </row>
    <row r="417" ht="15.75" customHeight="1" s="80">
      <c r="A417" s="157" t="n"/>
      <c r="B417" s="124" t="n"/>
      <c r="C417" s="125" t="n"/>
      <c r="D417" s="126" t="n"/>
      <c r="E417" s="127" t="n"/>
      <c r="F417" s="128" t="n"/>
      <c r="G417" s="129">
        <f>IF(F417="","",ROUND(F417/60,2))</f>
        <v/>
      </c>
      <c r="H417" s="130" t="n"/>
      <c r="I417" s="131" t="n"/>
      <c r="J417" s="131">
        <f>IF(COUNTIF(B417:E417,"*")=0,"",IF(T417=1,"Invalid Service",IF(AND(V417=1,F417=""),"Add Session Mins",IF(AND(E417&gt;0,H417="",T417=""),"Enter Contract Rate",IF(AND(E417="IEP mtg, prep, rept",F417&gt;0),(G417*H417),IF(AND(E417&gt;0,F417&gt;0,H417&gt;0,I417=""),"Enter Travel",IF(AND(F417&gt;0,I417="Y"),(G417*H417)+$M$10,IF(AND(F417&gt;0,I417="N"),(G417*H417),H417))))))))</f>
        <v/>
      </c>
      <c r="K417" s="132">
        <f>J417</f>
        <v/>
      </c>
      <c r="L417" s="148" t="n"/>
      <c r="M417" s="148" t="n"/>
      <c r="N417" s="148" t="n"/>
      <c r="O417" s="87" t="n"/>
      <c r="P417" s="81" t="n"/>
      <c r="Q417" s="81" t="n"/>
      <c r="R417" s="81" t="n"/>
      <c r="S417" s="81" t="n"/>
      <c r="T417" s="136">
        <f>IF(AND(E417&gt;0,U417=0),1,"")</f>
        <v/>
      </c>
      <c r="U417" s="136">
        <f>SUM(X417:AR417)</f>
        <v/>
      </c>
      <c r="V417" s="136">
        <f>IF(E417=$Q$16,0,SUM(X417:AI417))</f>
        <v/>
      </c>
      <c r="W417" s="136">
        <f>SUM(AK417:AR417)</f>
        <v/>
      </c>
      <c r="X417" s="136">
        <f>IF(E417=$X$6,1,"")</f>
        <v/>
      </c>
      <c r="Y417" s="136">
        <f>IF(E417=$Y$6,1,"")</f>
        <v/>
      </c>
      <c r="Z417" s="136">
        <f>IF(E417=$Z$6,1,"")</f>
        <v/>
      </c>
      <c r="AA417" s="136">
        <f>IF(E417=$AA$6,1,"")</f>
        <v/>
      </c>
      <c r="AB417" s="136">
        <f>IF(E417=$AB$6,1,"")</f>
        <v/>
      </c>
      <c r="AC417" s="136">
        <f>IF(E417=$AC$6,1,"")</f>
        <v/>
      </c>
      <c r="AD417" s="136">
        <f>IF(E417=$AD$6,1,"")</f>
        <v/>
      </c>
      <c r="AE417" s="136">
        <f>IF(E417=$AE$6,1,"")</f>
        <v/>
      </c>
      <c r="AF417" s="136">
        <f>IF(E417=$AF$6,1,"")</f>
        <v/>
      </c>
      <c r="AG417" s="136">
        <f>IF(E417=$AG$6,1,"")</f>
        <v/>
      </c>
      <c r="AH417" s="136">
        <f>IF(E417=$AH$6,1,"")</f>
        <v/>
      </c>
      <c r="AI417" s="136">
        <f>IF(E417=$AI$6,1,"")</f>
        <v/>
      </c>
      <c r="AJ417" s="136">
        <f>IF(E417=$AJ$6,1,"")</f>
        <v/>
      </c>
      <c r="AK417" s="81">
        <f>IF(E417=$AK$6,1,"")</f>
        <v/>
      </c>
      <c r="AL417" s="81">
        <f>IF(E417=$AL$6,1,"")</f>
        <v/>
      </c>
      <c r="AM417" s="81">
        <f>IF(E417=$AM$6,1,"")</f>
        <v/>
      </c>
      <c r="AN417" s="81">
        <f>IF(E417=$AN$6,1,"")</f>
        <v/>
      </c>
      <c r="AO417" s="81">
        <f>IF(E417=$AO$6,1,"")</f>
        <v/>
      </c>
      <c r="AP417" s="81">
        <f>IF(E417=$AP$6,1,"")</f>
        <v/>
      </c>
      <c r="AQ417" s="81">
        <f>IF(E417=$AQ$6,1,"")</f>
        <v/>
      </c>
      <c r="AR417" s="81">
        <f>IF(E417=$AR$6,1,"")</f>
        <v/>
      </c>
      <c r="AS417" s="81" t="n"/>
    </row>
    <row r="418" ht="15.75" customHeight="1" s="80">
      <c r="A418" s="157" t="n"/>
      <c r="B418" s="124" t="n"/>
      <c r="C418" s="125" t="n"/>
      <c r="D418" s="126" t="n"/>
      <c r="E418" s="127" t="n"/>
      <c r="F418" s="128" t="n"/>
      <c r="G418" s="129">
        <f>IF(F418="","",ROUND(F418/60,2))</f>
        <v/>
      </c>
      <c r="H418" s="130" t="n"/>
      <c r="I418" s="131" t="n"/>
      <c r="J418" s="131">
        <f>IF(COUNTIF(B418:E418,"*")=0,"",IF(T418=1,"Invalid Service",IF(AND(V418=1,F418=""),"Add Session Mins",IF(AND(E418&gt;0,H418="",T418=""),"Enter Contract Rate",IF(AND(E418="IEP mtg, prep, rept",F418&gt;0),(G418*H418),IF(AND(E418&gt;0,F418&gt;0,H418&gt;0,I418=""),"Enter Travel",IF(AND(F418&gt;0,I418="Y"),(G418*H418)+$M$10,IF(AND(F418&gt;0,I418="N"),(G418*H418),H418))))))))</f>
        <v/>
      </c>
      <c r="K418" s="132">
        <f>J418</f>
        <v/>
      </c>
      <c r="L418" s="148" t="n"/>
      <c r="M418" s="148" t="n"/>
      <c r="N418" s="148" t="n"/>
      <c r="O418" s="87" t="n"/>
      <c r="P418" s="81" t="n"/>
      <c r="Q418" s="81" t="n"/>
      <c r="R418" s="81" t="n"/>
      <c r="S418" s="81" t="n"/>
      <c r="T418" s="136">
        <f>IF(AND(E418&gt;0,U418=0),1,"")</f>
        <v/>
      </c>
      <c r="U418" s="136">
        <f>SUM(X418:AR418)</f>
        <v/>
      </c>
      <c r="V418" s="136">
        <f>IF(E418=$Q$16,0,SUM(X418:AI418))</f>
        <v/>
      </c>
      <c r="W418" s="136">
        <f>SUM(AK418:AR418)</f>
        <v/>
      </c>
      <c r="X418" s="136">
        <f>IF(E418=$X$6,1,"")</f>
        <v/>
      </c>
      <c r="Y418" s="136">
        <f>IF(E418=$Y$6,1,"")</f>
        <v/>
      </c>
      <c r="Z418" s="136">
        <f>IF(E418=$Z$6,1,"")</f>
        <v/>
      </c>
      <c r="AA418" s="136">
        <f>IF(E418=$AA$6,1,"")</f>
        <v/>
      </c>
      <c r="AB418" s="136">
        <f>IF(E418=$AB$6,1,"")</f>
        <v/>
      </c>
      <c r="AC418" s="136">
        <f>IF(E418=$AC$6,1,"")</f>
        <v/>
      </c>
      <c r="AD418" s="136">
        <f>IF(E418=$AD$6,1,"")</f>
        <v/>
      </c>
      <c r="AE418" s="136">
        <f>IF(E418=$AE$6,1,"")</f>
        <v/>
      </c>
      <c r="AF418" s="136">
        <f>IF(E418=$AF$6,1,"")</f>
        <v/>
      </c>
      <c r="AG418" s="136">
        <f>IF(E418=$AG$6,1,"")</f>
        <v/>
      </c>
      <c r="AH418" s="136">
        <f>IF(E418=$AH$6,1,"")</f>
        <v/>
      </c>
      <c r="AI418" s="136">
        <f>IF(E418=$AI$6,1,"")</f>
        <v/>
      </c>
      <c r="AJ418" s="136">
        <f>IF(E418=$AJ$6,1,"")</f>
        <v/>
      </c>
      <c r="AK418" s="81">
        <f>IF(E418=$AK$6,1,"")</f>
        <v/>
      </c>
      <c r="AL418" s="81">
        <f>IF(E418=$AL$6,1,"")</f>
        <v/>
      </c>
      <c r="AM418" s="81">
        <f>IF(E418=$AM$6,1,"")</f>
        <v/>
      </c>
      <c r="AN418" s="81">
        <f>IF(E418=$AN$6,1,"")</f>
        <v/>
      </c>
      <c r="AO418" s="81">
        <f>IF(E418=$AO$6,1,"")</f>
        <v/>
      </c>
      <c r="AP418" s="81">
        <f>IF(E418=$AP$6,1,"")</f>
        <v/>
      </c>
      <c r="AQ418" s="81">
        <f>IF(E418=$AQ$6,1,"")</f>
        <v/>
      </c>
      <c r="AR418" s="81">
        <f>IF(E418=$AR$6,1,"")</f>
        <v/>
      </c>
      <c r="AS418" s="81" t="n"/>
    </row>
    <row r="419" ht="15.75" customHeight="1" s="80">
      <c r="A419" s="157" t="n"/>
      <c r="B419" s="124" t="n"/>
      <c r="C419" s="125" t="n"/>
      <c r="D419" s="126" t="n"/>
      <c r="E419" s="127" t="n"/>
      <c r="F419" s="128" t="n"/>
      <c r="G419" s="129">
        <f>IF(F419="","",ROUND(F419/60,2))</f>
        <v/>
      </c>
      <c r="H419" s="130" t="n"/>
      <c r="I419" s="131" t="n"/>
      <c r="J419" s="131">
        <f>IF(COUNTIF(B419:E419,"*")=0,"",IF(T419=1,"Invalid Service",IF(AND(V419=1,F419=""),"Add Session Mins",IF(AND(E419&gt;0,H419="",T419=""),"Enter Contract Rate",IF(AND(E419="IEP mtg, prep, rept",F419&gt;0),(G419*H419),IF(AND(E419&gt;0,F419&gt;0,H419&gt;0,I419=""),"Enter Travel",IF(AND(F419&gt;0,I419="Y"),(G419*H419)+$M$10,IF(AND(F419&gt;0,I419="N"),(G419*H419),H419))))))))</f>
        <v/>
      </c>
      <c r="K419" s="132">
        <f>J419</f>
        <v/>
      </c>
      <c r="L419" s="148" t="n"/>
      <c r="M419" s="148" t="n"/>
      <c r="N419" s="148" t="n"/>
      <c r="O419" s="87" t="n"/>
      <c r="P419" s="81" t="n"/>
      <c r="Q419" s="81" t="n"/>
      <c r="R419" s="81" t="n"/>
      <c r="S419" s="81" t="n"/>
      <c r="T419" s="136">
        <f>IF(AND(E419&gt;0,U419=0),1,"")</f>
        <v/>
      </c>
      <c r="U419" s="136">
        <f>SUM(X419:AR419)</f>
        <v/>
      </c>
      <c r="V419" s="136">
        <f>IF(E419=$Q$16,0,SUM(X419:AI419))</f>
        <v/>
      </c>
      <c r="W419" s="136">
        <f>SUM(AK419:AR419)</f>
        <v/>
      </c>
      <c r="X419" s="136">
        <f>IF(E419=$X$6,1,"")</f>
        <v/>
      </c>
      <c r="Y419" s="136">
        <f>IF(E419=$Y$6,1,"")</f>
        <v/>
      </c>
      <c r="Z419" s="136">
        <f>IF(E419=$Z$6,1,"")</f>
        <v/>
      </c>
      <c r="AA419" s="136">
        <f>IF(E419=$AA$6,1,"")</f>
        <v/>
      </c>
      <c r="AB419" s="136">
        <f>IF(E419=$AB$6,1,"")</f>
        <v/>
      </c>
      <c r="AC419" s="136">
        <f>IF(E419=$AC$6,1,"")</f>
        <v/>
      </c>
      <c r="AD419" s="136">
        <f>IF(E419=$AD$6,1,"")</f>
        <v/>
      </c>
      <c r="AE419" s="136">
        <f>IF(E419=$AE$6,1,"")</f>
        <v/>
      </c>
      <c r="AF419" s="136">
        <f>IF(E419=$AF$6,1,"")</f>
        <v/>
      </c>
      <c r="AG419" s="136">
        <f>IF(E419=$AG$6,1,"")</f>
        <v/>
      </c>
      <c r="AH419" s="136">
        <f>IF(E419=$AH$6,1,"")</f>
        <v/>
      </c>
      <c r="AI419" s="136">
        <f>IF(E419=$AI$6,1,"")</f>
        <v/>
      </c>
      <c r="AJ419" s="136">
        <f>IF(E419=$AJ$6,1,"")</f>
        <v/>
      </c>
      <c r="AK419" s="81">
        <f>IF(E419=$AK$6,1,"")</f>
        <v/>
      </c>
      <c r="AL419" s="81">
        <f>IF(E419=$AL$6,1,"")</f>
        <v/>
      </c>
      <c r="AM419" s="81">
        <f>IF(E419=$AM$6,1,"")</f>
        <v/>
      </c>
      <c r="AN419" s="81">
        <f>IF(E419=$AN$6,1,"")</f>
        <v/>
      </c>
      <c r="AO419" s="81">
        <f>IF(E419=$AO$6,1,"")</f>
        <v/>
      </c>
      <c r="AP419" s="81">
        <f>IF(E419=$AP$6,1,"")</f>
        <v/>
      </c>
      <c r="AQ419" s="81">
        <f>IF(E419=$AQ$6,1,"")</f>
        <v/>
      </c>
      <c r="AR419" s="81">
        <f>IF(E419=$AR$6,1,"")</f>
        <v/>
      </c>
      <c r="AS419" s="81" t="n"/>
    </row>
    <row r="420" ht="15.75" customHeight="1" s="80">
      <c r="A420" s="157" t="n"/>
      <c r="B420" s="124" t="n"/>
      <c r="C420" s="125" t="n"/>
      <c r="D420" s="126" t="n"/>
      <c r="E420" s="127" t="n"/>
      <c r="F420" s="128" t="n"/>
      <c r="G420" s="129">
        <f>IF(F420="","",ROUND(F420/60,2))</f>
        <v/>
      </c>
      <c r="H420" s="130" t="n"/>
      <c r="I420" s="131" t="n"/>
      <c r="J420" s="131">
        <f>IF(COUNTIF(B420:E420,"*")=0,"",IF(T420=1,"Invalid Service",IF(AND(V420=1,F420=""),"Add Session Mins",IF(AND(E420&gt;0,H420="",T420=""),"Enter Contract Rate",IF(AND(E420="IEP mtg, prep, rept",F420&gt;0),(G420*H420),IF(AND(E420&gt;0,F420&gt;0,H420&gt;0,I420=""),"Enter Travel",IF(AND(F420&gt;0,I420="Y"),(G420*H420)+$M$10,IF(AND(F420&gt;0,I420="N"),(G420*H420),H420))))))))</f>
        <v/>
      </c>
      <c r="K420" s="132">
        <f>J420</f>
        <v/>
      </c>
      <c r="L420" s="148" t="n"/>
      <c r="M420" s="148" t="n"/>
      <c r="N420" s="148" t="n"/>
      <c r="O420" s="87" t="n"/>
      <c r="P420" s="81" t="n"/>
      <c r="Q420" s="81" t="n"/>
      <c r="R420" s="81" t="n"/>
      <c r="S420" s="81" t="n"/>
      <c r="T420" s="136">
        <f>IF(AND(E420&gt;0,U420=0),1,"")</f>
        <v/>
      </c>
      <c r="U420" s="136">
        <f>SUM(X420:AR420)</f>
        <v/>
      </c>
      <c r="V420" s="136">
        <f>IF(E420=$Q$16,0,SUM(X420:AI420))</f>
        <v/>
      </c>
      <c r="W420" s="136">
        <f>SUM(AK420:AR420)</f>
        <v/>
      </c>
      <c r="X420" s="136">
        <f>IF(E420=$X$6,1,"")</f>
        <v/>
      </c>
      <c r="Y420" s="136">
        <f>IF(E420=$Y$6,1,"")</f>
        <v/>
      </c>
      <c r="Z420" s="136">
        <f>IF(E420=$Z$6,1,"")</f>
        <v/>
      </c>
      <c r="AA420" s="136">
        <f>IF(E420=$AA$6,1,"")</f>
        <v/>
      </c>
      <c r="AB420" s="136">
        <f>IF(E420=$AB$6,1,"")</f>
        <v/>
      </c>
      <c r="AC420" s="136">
        <f>IF(E420=$AC$6,1,"")</f>
        <v/>
      </c>
      <c r="AD420" s="136">
        <f>IF(E420=$AD$6,1,"")</f>
        <v/>
      </c>
      <c r="AE420" s="136">
        <f>IF(E420=$AE$6,1,"")</f>
        <v/>
      </c>
      <c r="AF420" s="136">
        <f>IF(E420=$AF$6,1,"")</f>
        <v/>
      </c>
      <c r="AG420" s="136">
        <f>IF(E420=$AG$6,1,"")</f>
        <v/>
      </c>
      <c r="AH420" s="136">
        <f>IF(E420=$AH$6,1,"")</f>
        <v/>
      </c>
      <c r="AI420" s="136">
        <f>IF(E420=$AI$6,1,"")</f>
        <v/>
      </c>
      <c r="AJ420" s="136">
        <f>IF(E420=$AJ$6,1,"")</f>
        <v/>
      </c>
      <c r="AK420" s="81">
        <f>IF(E420=$AK$6,1,"")</f>
        <v/>
      </c>
      <c r="AL420" s="81">
        <f>IF(E420=$AL$6,1,"")</f>
        <v/>
      </c>
      <c r="AM420" s="81">
        <f>IF(E420=$AM$6,1,"")</f>
        <v/>
      </c>
      <c r="AN420" s="81">
        <f>IF(E420=$AN$6,1,"")</f>
        <v/>
      </c>
      <c r="AO420" s="81">
        <f>IF(E420=$AO$6,1,"")</f>
        <v/>
      </c>
      <c r="AP420" s="81">
        <f>IF(E420=$AP$6,1,"")</f>
        <v/>
      </c>
      <c r="AQ420" s="81">
        <f>IF(E420=$AQ$6,1,"")</f>
        <v/>
      </c>
      <c r="AR420" s="81">
        <f>IF(E420=$AR$6,1,"")</f>
        <v/>
      </c>
      <c r="AS420" s="81" t="n"/>
    </row>
    <row r="421" ht="15.75" customHeight="1" s="80">
      <c r="A421" s="157" t="n"/>
      <c r="B421" s="124" t="n"/>
      <c r="C421" s="125" t="n"/>
      <c r="D421" s="126" t="n"/>
      <c r="E421" s="127" t="n"/>
      <c r="F421" s="128" t="n"/>
      <c r="G421" s="129">
        <f>IF(F421="","",ROUND(F421/60,2))</f>
        <v/>
      </c>
      <c r="H421" s="130" t="n"/>
      <c r="I421" s="131" t="n"/>
      <c r="J421" s="131">
        <f>IF(COUNTIF(B421:E421,"*")=0,"",IF(T421=1,"Invalid Service",IF(AND(V421=1,F421=""),"Add Session Mins",IF(AND(E421&gt;0,H421="",T421=""),"Enter Contract Rate",IF(AND(E421="IEP mtg, prep, rept",F421&gt;0),(G421*H421),IF(AND(E421&gt;0,F421&gt;0,H421&gt;0,I421=""),"Enter Travel",IF(AND(F421&gt;0,I421="Y"),(G421*H421)+$M$10,IF(AND(F421&gt;0,I421="N"),(G421*H421),H421))))))))</f>
        <v/>
      </c>
      <c r="K421" s="132">
        <f>J421</f>
        <v/>
      </c>
      <c r="L421" s="148" t="n"/>
      <c r="M421" s="148" t="n"/>
      <c r="N421" s="148" t="n"/>
      <c r="O421" s="87" t="n"/>
      <c r="P421" s="81" t="n"/>
      <c r="Q421" s="81" t="n"/>
      <c r="R421" s="81" t="n"/>
      <c r="S421" s="81" t="n"/>
      <c r="T421" s="136">
        <f>IF(AND(E421&gt;0,U421=0),1,"")</f>
        <v/>
      </c>
      <c r="U421" s="136">
        <f>SUM(X421:AR421)</f>
        <v/>
      </c>
      <c r="V421" s="136">
        <f>IF(E421=$Q$16,0,SUM(X421:AI421))</f>
        <v/>
      </c>
      <c r="W421" s="136">
        <f>SUM(AK421:AR421)</f>
        <v/>
      </c>
      <c r="X421" s="136">
        <f>IF(E421=$X$6,1,"")</f>
        <v/>
      </c>
      <c r="Y421" s="136">
        <f>IF(E421=$Y$6,1,"")</f>
        <v/>
      </c>
      <c r="Z421" s="136">
        <f>IF(E421=$Z$6,1,"")</f>
        <v/>
      </c>
      <c r="AA421" s="136">
        <f>IF(E421=$AA$6,1,"")</f>
        <v/>
      </c>
      <c r="AB421" s="136">
        <f>IF(E421=$AB$6,1,"")</f>
        <v/>
      </c>
      <c r="AC421" s="136">
        <f>IF(E421=$AC$6,1,"")</f>
        <v/>
      </c>
      <c r="AD421" s="136">
        <f>IF(E421=$AD$6,1,"")</f>
        <v/>
      </c>
      <c r="AE421" s="136">
        <f>IF(E421=$AE$6,1,"")</f>
        <v/>
      </c>
      <c r="AF421" s="136">
        <f>IF(E421=$AF$6,1,"")</f>
        <v/>
      </c>
      <c r="AG421" s="136">
        <f>IF(E421=$AG$6,1,"")</f>
        <v/>
      </c>
      <c r="AH421" s="136">
        <f>IF(E421=$AH$6,1,"")</f>
        <v/>
      </c>
      <c r="AI421" s="136">
        <f>IF(E421=$AI$6,1,"")</f>
        <v/>
      </c>
      <c r="AJ421" s="136">
        <f>IF(E421=$AJ$6,1,"")</f>
        <v/>
      </c>
      <c r="AK421" s="81">
        <f>IF(E421=$AK$6,1,"")</f>
        <v/>
      </c>
      <c r="AL421" s="81">
        <f>IF(E421=$AL$6,1,"")</f>
        <v/>
      </c>
      <c r="AM421" s="81">
        <f>IF(E421=$AM$6,1,"")</f>
        <v/>
      </c>
      <c r="AN421" s="81">
        <f>IF(E421=$AN$6,1,"")</f>
        <v/>
      </c>
      <c r="AO421" s="81">
        <f>IF(E421=$AO$6,1,"")</f>
        <v/>
      </c>
      <c r="AP421" s="81">
        <f>IF(E421=$AP$6,1,"")</f>
        <v/>
      </c>
      <c r="AQ421" s="81">
        <f>IF(E421=$AQ$6,1,"")</f>
        <v/>
      </c>
      <c r="AR421" s="81">
        <f>IF(E421=$AR$6,1,"")</f>
        <v/>
      </c>
      <c r="AS421" s="81" t="n"/>
    </row>
    <row r="422" ht="15.75" customHeight="1" s="80">
      <c r="A422" s="157" t="n"/>
      <c r="B422" s="124" t="n"/>
      <c r="C422" s="125" t="n"/>
      <c r="D422" s="126" t="n"/>
      <c r="E422" s="127" t="n"/>
      <c r="F422" s="128" t="n"/>
      <c r="G422" s="129">
        <f>IF(F422="","",ROUND(F422/60,2))</f>
        <v/>
      </c>
      <c r="H422" s="130" t="n"/>
      <c r="I422" s="131" t="n"/>
      <c r="J422" s="131">
        <f>IF(COUNTIF(B422:E422,"*")=0,"",IF(T422=1,"Invalid Service",IF(AND(V422=1,F422=""),"Add Session Mins",IF(AND(E422&gt;0,H422="",T422=""),"Enter Contract Rate",IF(AND(E422="IEP mtg, prep, rept",F422&gt;0),(G422*H422),IF(AND(E422&gt;0,F422&gt;0,H422&gt;0,I422=""),"Enter Travel",IF(AND(F422&gt;0,I422="Y"),(G422*H422)+$M$10,IF(AND(F422&gt;0,I422="N"),(G422*H422),H422))))))))</f>
        <v/>
      </c>
      <c r="K422" s="132">
        <f>J422</f>
        <v/>
      </c>
      <c r="L422" s="148" t="n"/>
      <c r="M422" s="148" t="n"/>
      <c r="N422" s="148" t="n"/>
      <c r="O422" s="87" t="n"/>
      <c r="P422" s="81" t="n"/>
      <c r="Q422" s="81" t="n"/>
      <c r="R422" s="81" t="n"/>
      <c r="S422" s="81" t="n"/>
      <c r="T422" s="136">
        <f>IF(AND(E422&gt;0,U422=0),1,"")</f>
        <v/>
      </c>
      <c r="U422" s="136">
        <f>SUM(X422:AR422)</f>
        <v/>
      </c>
      <c r="V422" s="136">
        <f>IF(E422=$Q$16,0,SUM(X422:AI422))</f>
        <v/>
      </c>
      <c r="W422" s="136">
        <f>SUM(AK422:AR422)</f>
        <v/>
      </c>
      <c r="X422" s="136">
        <f>IF(E422=$X$6,1,"")</f>
        <v/>
      </c>
      <c r="Y422" s="136">
        <f>IF(E422=$Y$6,1,"")</f>
        <v/>
      </c>
      <c r="Z422" s="136">
        <f>IF(E422=$Z$6,1,"")</f>
        <v/>
      </c>
      <c r="AA422" s="136">
        <f>IF(E422=$AA$6,1,"")</f>
        <v/>
      </c>
      <c r="AB422" s="136">
        <f>IF(E422=$AB$6,1,"")</f>
        <v/>
      </c>
      <c r="AC422" s="136">
        <f>IF(E422=$AC$6,1,"")</f>
        <v/>
      </c>
      <c r="AD422" s="136">
        <f>IF(E422=$AD$6,1,"")</f>
        <v/>
      </c>
      <c r="AE422" s="136">
        <f>IF(E422=$AE$6,1,"")</f>
        <v/>
      </c>
      <c r="AF422" s="136">
        <f>IF(E422=$AF$6,1,"")</f>
        <v/>
      </c>
      <c r="AG422" s="136">
        <f>IF(E422=$AG$6,1,"")</f>
        <v/>
      </c>
      <c r="AH422" s="136">
        <f>IF(E422=$AH$6,1,"")</f>
        <v/>
      </c>
      <c r="AI422" s="136">
        <f>IF(E422=$AI$6,1,"")</f>
        <v/>
      </c>
      <c r="AJ422" s="136">
        <f>IF(E422=$AJ$6,1,"")</f>
        <v/>
      </c>
      <c r="AK422" s="81">
        <f>IF(E422=$AK$6,1,"")</f>
        <v/>
      </c>
      <c r="AL422" s="81">
        <f>IF(E422=$AL$6,1,"")</f>
        <v/>
      </c>
      <c r="AM422" s="81">
        <f>IF(E422=$AM$6,1,"")</f>
        <v/>
      </c>
      <c r="AN422" s="81">
        <f>IF(E422=$AN$6,1,"")</f>
        <v/>
      </c>
      <c r="AO422" s="81">
        <f>IF(E422=$AO$6,1,"")</f>
        <v/>
      </c>
      <c r="AP422" s="81">
        <f>IF(E422=$AP$6,1,"")</f>
        <v/>
      </c>
      <c r="AQ422" s="81">
        <f>IF(E422=$AQ$6,1,"")</f>
        <v/>
      </c>
      <c r="AR422" s="81">
        <f>IF(E422=$AR$6,1,"")</f>
        <v/>
      </c>
      <c r="AS422" s="81" t="n"/>
    </row>
    <row r="423" ht="15.75" customHeight="1" s="80">
      <c r="A423" s="157" t="n"/>
      <c r="B423" s="124" t="n"/>
      <c r="C423" s="125" t="n"/>
      <c r="D423" s="126" t="n"/>
      <c r="E423" s="127" t="n"/>
      <c r="F423" s="128" t="n"/>
      <c r="G423" s="129">
        <f>IF(F423="","",ROUND(F423/60,2))</f>
        <v/>
      </c>
      <c r="H423" s="130" t="n"/>
      <c r="I423" s="131" t="n"/>
      <c r="J423" s="131">
        <f>IF(COUNTIF(B423:E423,"*")=0,"",IF(T423=1,"Invalid Service",IF(AND(V423=1,F423=""),"Add Session Mins",IF(AND(E423&gt;0,H423="",T423=""),"Enter Contract Rate",IF(AND(E423="IEP mtg, prep, rept",F423&gt;0),(G423*H423),IF(AND(E423&gt;0,F423&gt;0,H423&gt;0,I423=""),"Enter Travel",IF(AND(F423&gt;0,I423="Y"),(G423*H423)+$M$10,IF(AND(F423&gt;0,I423="N"),(G423*H423),H423))))))))</f>
        <v/>
      </c>
      <c r="K423" s="132">
        <f>J423</f>
        <v/>
      </c>
      <c r="L423" s="148" t="n"/>
      <c r="M423" s="148" t="n"/>
      <c r="N423" s="148" t="n"/>
      <c r="O423" s="87" t="n"/>
      <c r="P423" s="81" t="n"/>
      <c r="Q423" s="81" t="n"/>
      <c r="R423" s="81" t="n"/>
      <c r="S423" s="81" t="n"/>
      <c r="T423" s="136">
        <f>IF(AND(E423&gt;0,U423=0),1,"")</f>
        <v/>
      </c>
      <c r="U423" s="136">
        <f>SUM(X423:AR423)</f>
        <v/>
      </c>
      <c r="V423" s="136">
        <f>IF(E423=$Q$16,0,SUM(X423:AI423))</f>
        <v/>
      </c>
      <c r="W423" s="136">
        <f>SUM(AK423:AR423)</f>
        <v/>
      </c>
      <c r="X423" s="136">
        <f>IF(E423=$X$6,1,"")</f>
        <v/>
      </c>
      <c r="Y423" s="136">
        <f>IF(E423=$Y$6,1,"")</f>
        <v/>
      </c>
      <c r="Z423" s="136">
        <f>IF(E423=$Z$6,1,"")</f>
        <v/>
      </c>
      <c r="AA423" s="136">
        <f>IF(E423=$AA$6,1,"")</f>
        <v/>
      </c>
      <c r="AB423" s="136">
        <f>IF(E423=$AB$6,1,"")</f>
        <v/>
      </c>
      <c r="AC423" s="136">
        <f>IF(E423=$AC$6,1,"")</f>
        <v/>
      </c>
      <c r="AD423" s="136">
        <f>IF(E423=$AD$6,1,"")</f>
        <v/>
      </c>
      <c r="AE423" s="136">
        <f>IF(E423=$AE$6,1,"")</f>
        <v/>
      </c>
      <c r="AF423" s="136">
        <f>IF(E423=$AF$6,1,"")</f>
        <v/>
      </c>
      <c r="AG423" s="136">
        <f>IF(E423=$AG$6,1,"")</f>
        <v/>
      </c>
      <c r="AH423" s="136">
        <f>IF(E423=$AH$6,1,"")</f>
        <v/>
      </c>
      <c r="AI423" s="136">
        <f>IF(E423=$AI$6,1,"")</f>
        <v/>
      </c>
      <c r="AJ423" s="136">
        <f>IF(E423=$AJ$6,1,"")</f>
        <v/>
      </c>
      <c r="AK423" s="81">
        <f>IF(E423=$AK$6,1,"")</f>
        <v/>
      </c>
      <c r="AL423" s="81">
        <f>IF(E423=$AL$6,1,"")</f>
        <v/>
      </c>
      <c r="AM423" s="81">
        <f>IF(E423=$AM$6,1,"")</f>
        <v/>
      </c>
      <c r="AN423" s="81">
        <f>IF(E423=$AN$6,1,"")</f>
        <v/>
      </c>
      <c r="AO423" s="81">
        <f>IF(E423=$AO$6,1,"")</f>
        <v/>
      </c>
      <c r="AP423" s="81">
        <f>IF(E423=$AP$6,1,"")</f>
        <v/>
      </c>
      <c r="AQ423" s="81">
        <f>IF(E423=$AQ$6,1,"")</f>
        <v/>
      </c>
      <c r="AR423" s="81">
        <f>IF(E423=$AR$6,1,"")</f>
        <v/>
      </c>
      <c r="AS423" s="81" t="n"/>
    </row>
    <row r="424" ht="15.75" customHeight="1" s="80">
      <c r="A424" s="157" t="n"/>
      <c r="B424" s="124" t="n"/>
      <c r="C424" s="125" t="n"/>
      <c r="D424" s="126" t="n"/>
      <c r="E424" s="127" t="n"/>
      <c r="F424" s="128" t="n"/>
      <c r="G424" s="129">
        <f>IF(F424="","",ROUND(F424/60,2))</f>
        <v/>
      </c>
      <c r="H424" s="130" t="n"/>
      <c r="I424" s="131" t="n"/>
      <c r="J424" s="131">
        <f>IF(COUNTIF(B424:E424,"*")=0,"",IF(T424=1,"Invalid Service",IF(AND(V424=1,F424=""),"Add Session Mins",IF(AND(E424&gt;0,H424="",T424=""),"Enter Contract Rate",IF(AND(E424="IEP mtg, prep, rept",F424&gt;0),(G424*H424),IF(AND(E424&gt;0,F424&gt;0,H424&gt;0,I424=""),"Enter Travel",IF(AND(F424&gt;0,I424="Y"),(G424*H424)+$M$10,IF(AND(F424&gt;0,I424="N"),(G424*H424),H424))))))))</f>
        <v/>
      </c>
      <c r="K424" s="132">
        <f>J424</f>
        <v/>
      </c>
      <c r="L424" s="148" t="n"/>
      <c r="M424" s="148" t="n"/>
      <c r="N424" s="148" t="n"/>
      <c r="O424" s="87" t="n"/>
      <c r="P424" s="81" t="n"/>
      <c r="Q424" s="81" t="n"/>
      <c r="R424" s="81" t="n"/>
      <c r="S424" s="81" t="n"/>
      <c r="T424" s="136">
        <f>IF(AND(E424&gt;0,U424=0),1,"")</f>
        <v/>
      </c>
      <c r="U424" s="136">
        <f>SUM(X424:AR424)</f>
        <v/>
      </c>
      <c r="V424" s="136">
        <f>IF(E424=$Q$16,0,SUM(X424:AI424))</f>
        <v/>
      </c>
      <c r="W424" s="136">
        <f>SUM(AK424:AR424)</f>
        <v/>
      </c>
      <c r="X424" s="136">
        <f>IF(E424=$X$6,1,"")</f>
        <v/>
      </c>
      <c r="Y424" s="136">
        <f>IF(E424=$Y$6,1,"")</f>
        <v/>
      </c>
      <c r="Z424" s="136">
        <f>IF(E424=$Z$6,1,"")</f>
        <v/>
      </c>
      <c r="AA424" s="136">
        <f>IF(E424=$AA$6,1,"")</f>
        <v/>
      </c>
      <c r="AB424" s="136">
        <f>IF(E424=$AB$6,1,"")</f>
        <v/>
      </c>
      <c r="AC424" s="136">
        <f>IF(E424=$AC$6,1,"")</f>
        <v/>
      </c>
      <c r="AD424" s="136">
        <f>IF(E424=$AD$6,1,"")</f>
        <v/>
      </c>
      <c r="AE424" s="136">
        <f>IF(E424=$AE$6,1,"")</f>
        <v/>
      </c>
      <c r="AF424" s="136">
        <f>IF(E424=$AF$6,1,"")</f>
        <v/>
      </c>
      <c r="AG424" s="136">
        <f>IF(E424=$AG$6,1,"")</f>
        <v/>
      </c>
      <c r="AH424" s="136">
        <f>IF(E424=$AH$6,1,"")</f>
        <v/>
      </c>
      <c r="AI424" s="136">
        <f>IF(E424=$AI$6,1,"")</f>
        <v/>
      </c>
      <c r="AJ424" s="136">
        <f>IF(E424=$AJ$6,1,"")</f>
        <v/>
      </c>
      <c r="AK424" s="81">
        <f>IF(E424=$AK$6,1,"")</f>
        <v/>
      </c>
      <c r="AL424" s="81">
        <f>IF(E424=$AL$6,1,"")</f>
        <v/>
      </c>
      <c r="AM424" s="81">
        <f>IF(E424=$AM$6,1,"")</f>
        <v/>
      </c>
      <c r="AN424" s="81">
        <f>IF(E424=$AN$6,1,"")</f>
        <v/>
      </c>
      <c r="AO424" s="81">
        <f>IF(E424=$AO$6,1,"")</f>
        <v/>
      </c>
      <c r="AP424" s="81">
        <f>IF(E424=$AP$6,1,"")</f>
        <v/>
      </c>
      <c r="AQ424" s="81">
        <f>IF(E424=$AQ$6,1,"")</f>
        <v/>
      </c>
      <c r="AR424" s="81">
        <f>IF(E424=$AR$6,1,"")</f>
        <v/>
      </c>
      <c r="AS424" s="81" t="n"/>
    </row>
    <row r="425" ht="15.75" customHeight="1" s="80">
      <c r="A425" s="157" t="n"/>
      <c r="B425" s="124" t="n"/>
      <c r="C425" s="125" t="n"/>
      <c r="D425" s="126" t="n"/>
      <c r="E425" s="127" t="n"/>
      <c r="F425" s="128" t="n"/>
      <c r="G425" s="129">
        <f>IF(F425="","",ROUND(F425/60,2))</f>
        <v/>
      </c>
      <c r="H425" s="130" t="n"/>
      <c r="I425" s="131" t="n"/>
      <c r="J425" s="131">
        <f>IF(COUNTIF(B425:E425,"*")=0,"",IF(T425=1,"Invalid Service",IF(AND(V425=1,F425=""),"Add Session Mins",IF(AND(E425&gt;0,H425="",T425=""),"Enter Contract Rate",IF(AND(E425="IEP mtg, prep, rept",F425&gt;0),(G425*H425),IF(AND(E425&gt;0,F425&gt;0,H425&gt;0,I425=""),"Enter Travel",IF(AND(F425&gt;0,I425="Y"),(G425*H425)+$M$10,IF(AND(F425&gt;0,I425="N"),(G425*H425),H425))))))))</f>
        <v/>
      </c>
      <c r="K425" s="132">
        <f>J425</f>
        <v/>
      </c>
      <c r="L425" s="148" t="n"/>
      <c r="M425" s="148" t="n"/>
      <c r="N425" s="148" t="n"/>
      <c r="O425" s="87" t="n"/>
      <c r="P425" s="81" t="n"/>
      <c r="Q425" s="81" t="n"/>
      <c r="R425" s="81" t="n"/>
      <c r="S425" s="81" t="n"/>
      <c r="T425" s="136">
        <f>IF(AND(E425&gt;0,U425=0),1,"")</f>
        <v/>
      </c>
      <c r="U425" s="136">
        <f>SUM(X425:AR425)</f>
        <v/>
      </c>
      <c r="V425" s="136">
        <f>IF(E425=$Q$16,0,SUM(X425:AI425))</f>
        <v/>
      </c>
      <c r="W425" s="136">
        <f>SUM(AK425:AR425)</f>
        <v/>
      </c>
      <c r="X425" s="136">
        <f>IF(E425=$X$6,1,"")</f>
        <v/>
      </c>
      <c r="Y425" s="136">
        <f>IF(E425=$Y$6,1,"")</f>
        <v/>
      </c>
      <c r="Z425" s="136">
        <f>IF(E425=$Z$6,1,"")</f>
        <v/>
      </c>
      <c r="AA425" s="136">
        <f>IF(E425=$AA$6,1,"")</f>
        <v/>
      </c>
      <c r="AB425" s="136">
        <f>IF(E425=$AB$6,1,"")</f>
        <v/>
      </c>
      <c r="AC425" s="136">
        <f>IF(E425=$AC$6,1,"")</f>
        <v/>
      </c>
      <c r="AD425" s="136">
        <f>IF(E425=$AD$6,1,"")</f>
        <v/>
      </c>
      <c r="AE425" s="136">
        <f>IF(E425=$AE$6,1,"")</f>
        <v/>
      </c>
      <c r="AF425" s="136">
        <f>IF(E425=$AF$6,1,"")</f>
        <v/>
      </c>
      <c r="AG425" s="136">
        <f>IF(E425=$AG$6,1,"")</f>
        <v/>
      </c>
      <c r="AH425" s="136">
        <f>IF(E425=$AH$6,1,"")</f>
        <v/>
      </c>
      <c r="AI425" s="136">
        <f>IF(E425=$AI$6,1,"")</f>
        <v/>
      </c>
      <c r="AJ425" s="136">
        <f>IF(E425=$AJ$6,1,"")</f>
        <v/>
      </c>
      <c r="AK425" s="81">
        <f>IF(E425=$AK$6,1,"")</f>
        <v/>
      </c>
      <c r="AL425" s="81">
        <f>IF(E425=$AL$6,1,"")</f>
        <v/>
      </c>
      <c r="AM425" s="81">
        <f>IF(E425=$AM$6,1,"")</f>
        <v/>
      </c>
      <c r="AN425" s="81">
        <f>IF(E425=$AN$6,1,"")</f>
        <v/>
      </c>
      <c r="AO425" s="81">
        <f>IF(E425=$AO$6,1,"")</f>
        <v/>
      </c>
      <c r="AP425" s="81">
        <f>IF(E425=$AP$6,1,"")</f>
        <v/>
      </c>
      <c r="AQ425" s="81">
        <f>IF(E425=$AQ$6,1,"")</f>
        <v/>
      </c>
      <c r="AR425" s="81">
        <f>IF(E425=$AR$6,1,"")</f>
        <v/>
      </c>
      <c r="AS425" s="81" t="n"/>
    </row>
    <row r="426" ht="15.75" customHeight="1" s="80">
      <c r="A426" s="157" t="n"/>
      <c r="B426" s="124" t="n"/>
      <c r="C426" s="125" t="n"/>
      <c r="D426" s="126" t="n"/>
      <c r="E426" s="127" t="n"/>
      <c r="F426" s="128" t="n"/>
      <c r="G426" s="129">
        <f>IF(F426="","",ROUND(F426/60,2))</f>
        <v/>
      </c>
      <c r="H426" s="130" t="n"/>
      <c r="I426" s="131" t="n"/>
      <c r="J426" s="131">
        <f>IF(COUNTIF(B426:E426,"*")=0,"",IF(T426=1,"Invalid Service",IF(AND(V426=1,F426=""),"Add Session Mins",IF(AND(E426&gt;0,H426="",T426=""),"Enter Contract Rate",IF(AND(E426="IEP mtg, prep, rept",F426&gt;0),(G426*H426),IF(AND(E426&gt;0,F426&gt;0,H426&gt;0,I426=""),"Enter Travel",IF(AND(F426&gt;0,I426="Y"),(G426*H426)+$M$10,IF(AND(F426&gt;0,I426="N"),(G426*H426),H426))))))))</f>
        <v/>
      </c>
      <c r="K426" s="132">
        <f>J426</f>
        <v/>
      </c>
      <c r="L426" s="148" t="n"/>
      <c r="M426" s="148" t="n"/>
      <c r="N426" s="148" t="n"/>
      <c r="O426" s="87" t="n"/>
      <c r="P426" s="81" t="n"/>
      <c r="Q426" s="81" t="n"/>
      <c r="R426" s="81" t="n"/>
      <c r="S426" s="81" t="n"/>
      <c r="T426" s="136">
        <f>IF(AND(E426&gt;0,U426=0),1,"")</f>
        <v/>
      </c>
      <c r="U426" s="136">
        <f>SUM(X426:AR426)</f>
        <v/>
      </c>
      <c r="V426" s="136">
        <f>IF(E426=$Q$16,0,SUM(X426:AI426))</f>
        <v/>
      </c>
      <c r="W426" s="136">
        <f>SUM(AK426:AR426)</f>
        <v/>
      </c>
      <c r="X426" s="136">
        <f>IF(E426=$X$6,1,"")</f>
        <v/>
      </c>
      <c r="Y426" s="136">
        <f>IF(E426=$Y$6,1,"")</f>
        <v/>
      </c>
      <c r="Z426" s="136">
        <f>IF(E426=$Z$6,1,"")</f>
        <v/>
      </c>
      <c r="AA426" s="136">
        <f>IF(E426=$AA$6,1,"")</f>
        <v/>
      </c>
      <c r="AB426" s="136">
        <f>IF(E426=$AB$6,1,"")</f>
        <v/>
      </c>
      <c r="AC426" s="136">
        <f>IF(E426=$AC$6,1,"")</f>
        <v/>
      </c>
      <c r="AD426" s="136">
        <f>IF(E426=$AD$6,1,"")</f>
        <v/>
      </c>
      <c r="AE426" s="136">
        <f>IF(E426=$AE$6,1,"")</f>
        <v/>
      </c>
      <c r="AF426" s="136">
        <f>IF(E426=$AF$6,1,"")</f>
        <v/>
      </c>
      <c r="AG426" s="136">
        <f>IF(E426=$AG$6,1,"")</f>
        <v/>
      </c>
      <c r="AH426" s="136">
        <f>IF(E426=$AH$6,1,"")</f>
        <v/>
      </c>
      <c r="AI426" s="136">
        <f>IF(E426=$AI$6,1,"")</f>
        <v/>
      </c>
      <c r="AJ426" s="136">
        <f>IF(E426=$AJ$6,1,"")</f>
        <v/>
      </c>
      <c r="AK426" s="81">
        <f>IF(E426=$AK$6,1,"")</f>
        <v/>
      </c>
      <c r="AL426" s="81">
        <f>IF(E426=$AL$6,1,"")</f>
        <v/>
      </c>
      <c r="AM426" s="81">
        <f>IF(E426=$AM$6,1,"")</f>
        <v/>
      </c>
      <c r="AN426" s="81">
        <f>IF(E426=$AN$6,1,"")</f>
        <v/>
      </c>
      <c r="AO426" s="81">
        <f>IF(E426=$AO$6,1,"")</f>
        <v/>
      </c>
      <c r="AP426" s="81">
        <f>IF(E426=$AP$6,1,"")</f>
        <v/>
      </c>
      <c r="AQ426" s="81">
        <f>IF(E426=$AQ$6,1,"")</f>
        <v/>
      </c>
      <c r="AR426" s="81">
        <f>IF(E426=$AR$6,1,"")</f>
        <v/>
      </c>
      <c r="AS426" s="81" t="n"/>
    </row>
    <row r="427" ht="15.75" customHeight="1" s="80">
      <c r="A427" s="157" t="n"/>
      <c r="B427" s="124" t="n"/>
      <c r="C427" s="125" t="n"/>
      <c r="D427" s="126" t="n"/>
      <c r="E427" s="127" t="n"/>
      <c r="F427" s="128" t="n"/>
      <c r="G427" s="129">
        <f>IF(F427="","",ROUND(F427/60,2))</f>
        <v/>
      </c>
      <c r="H427" s="130" t="n"/>
      <c r="I427" s="131" t="n"/>
      <c r="J427" s="131">
        <f>IF(COUNTIF(B427:E427,"*")=0,"",IF(T427=1,"Invalid Service",IF(AND(V427=1,F427=""),"Add Session Mins",IF(AND(E427&gt;0,H427="",T427=""),"Enter Contract Rate",IF(AND(E427="IEP mtg, prep, rept",F427&gt;0),(G427*H427),IF(AND(E427&gt;0,F427&gt;0,H427&gt;0,I427=""),"Enter Travel",IF(AND(F427&gt;0,I427="Y"),(G427*H427)+$M$10,IF(AND(F427&gt;0,I427="N"),(G427*H427),H427))))))))</f>
        <v/>
      </c>
      <c r="K427" s="132">
        <f>J427</f>
        <v/>
      </c>
      <c r="L427" s="148" t="n"/>
      <c r="M427" s="148" t="n"/>
      <c r="N427" s="148" t="n"/>
      <c r="O427" s="87" t="n"/>
      <c r="P427" s="81" t="n"/>
      <c r="Q427" s="81" t="n"/>
      <c r="R427" s="81" t="n"/>
      <c r="S427" s="81" t="n"/>
      <c r="T427" s="136">
        <f>IF(AND(E427&gt;0,U427=0),1,"")</f>
        <v/>
      </c>
      <c r="U427" s="136">
        <f>SUM(X427:AR427)</f>
        <v/>
      </c>
      <c r="V427" s="136">
        <f>IF(E427=$Q$16,0,SUM(X427:AI427))</f>
        <v/>
      </c>
      <c r="W427" s="136">
        <f>SUM(AK427:AR427)</f>
        <v/>
      </c>
      <c r="X427" s="136">
        <f>IF(E427=$X$6,1,"")</f>
        <v/>
      </c>
      <c r="Y427" s="136">
        <f>IF(E427=$Y$6,1,"")</f>
        <v/>
      </c>
      <c r="Z427" s="136">
        <f>IF(E427=$Z$6,1,"")</f>
        <v/>
      </c>
      <c r="AA427" s="136">
        <f>IF(E427=$AA$6,1,"")</f>
        <v/>
      </c>
      <c r="AB427" s="136">
        <f>IF(E427=$AB$6,1,"")</f>
        <v/>
      </c>
      <c r="AC427" s="136">
        <f>IF(E427=$AC$6,1,"")</f>
        <v/>
      </c>
      <c r="AD427" s="136">
        <f>IF(E427=$AD$6,1,"")</f>
        <v/>
      </c>
      <c r="AE427" s="136">
        <f>IF(E427=$AE$6,1,"")</f>
        <v/>
      </c>
      <c r="AF427" s="136">
        <f>IF(E427=$AF$6,1,"")</f>
        <v/>
      </c>
      <c r="AG427" s="136">
        <f>IF(E427=$AG$6,1,"")</f>
        <v/>
      </c>
      <c r="AH427" s="136">
        <f>IF(E427=$AH$6,1,"")</f>
        <v/>
      </c>
      <c r="AI427" s="136">
        <f>IF(E427=$AI$6,1,"")</f>
        <v/>
      </c>
      <c r="AJ427" s="136">
        <f>IF(E427=$AJ$6,1,"")</f>
        <v/>
      </c>
      <c r="AK427" s="81">
        <f>IF(E427=$AK$6,1,"")</f>
        <v/>
      </c>
      <c r="AL427" s="81">
        <f>IF(E427=$AL$6,1,"")</f>
        <v/>
      </c>
      <c r="AM427" s="81">
        <f>IF(E427=$AM$6,1,"")</f>
        <v/>
      </c>
      <c r="AN427" s="81">
        <f>IF(E427=$AN$6,1,"")</f>
        <v/>
      </c>
      <c r="AO427" s="81">
        <f>IF(E427=$AO$6,1,"")</f>
        <v/>
      </c>
      <c r="AP427" s="81">
        <f>IF(E427=$AP$6,1,"")</f>
        <v/>
      </c>
      <c r="AQ427" s="81">
        <f>IF(E427=$AQ$6,1,"")</f>
        <v/>
      </c>
      <c r="AR427" s="81">
        <f>IF(E427=$AR$6,1,"")</f>
        <v/>
      </c>
      <c r="AS427" s="81" t="n"/>
    </row>
    <row r="428" ht="15.75" customHeight="1" s="80">
      <c r="A428" s="157" t="n"/>
      <c r="B428" s="124" t="n"/>
      <c r="C428" s="125" t="n"/>
      <c r="D428" s="126" t="n"/>
      <c r="E428" s="127" t="n"/>
      <c r="F428" s="128" t="n"/>
      <c r="G428" s="129">
        <f>IF(F428="","",ROUND(F428/60,2))</f>
        <v/>
      </c>
      <c r="H428" s="130" t="n"/>
      <c r="I428" s="131" t="n"/>
      <c r="J428" s="131">
        <f>IF(COUNTIF(B428:E428,"*")=0,"",IF(T428=1,"Invalid Service",IF(AND(V428=1,F428=""),"Add Session Mins",IF(AND(E428&gt;0,H428="",T428=""),"Enter Contract Rate",IF(AND(E428="IEP mtg, prep, rept",F428&gt;0),(G428*H428),IF(AND(E428&gt;0,F428&gt;0,H428&gt;0,I428=""),"Enter Travel",IF(AND(F428&gt;0,I428="Y"),(G428*H428)+$M$10,IF(AND(F428&gt;0,I428="N"),(G428*H428),H428))))))))</f>
        <v/>
      </c>
      <c r="K428" s="132">
        <f>J428</f>
        <v/>
      </c>
      <c r="L428" s="148" t="n"/>
      <c r="M428" s="148" t="n"/>
      <c r="N428" s="148" t="n"/>
      <c r="O428" s="87" t="n"/>
      <c r="P428" s="81" t="n"/>
      <c r="Q428" s="81" t="n"/>
      <c r="R428" s="81" t="n"/>
      <c r="S428" s="81" t="n"/>
      <c r="T428" s="136">
        <f>IF(AND(E428&gt;0,U428=0),1,"")</f>
        <v/>
      </c>
      <c r="U428" s="136">
        <f>SUM(X428:AR428)</f>
        <v/>
      </c>
      <c r="V428" s="136">
        <f>IF(E428=$Q$16,0,SUM(X428:AI428))</f>
        <v/>
      </c>
      <c r="W428" s="136">
        <f>SUM(AK428:AR428)</f>
        <v/>
      </c>
      <c r="X428" s="136">
        <f>IF(E428=$X$6,1,"")</f>
        <v/>
      </c>
      <c r="Y428" s="136">
        <f>IF(E428=$Y$6,1,"")</f>
        <v/>
      </c>
      <c r="Z428" s="136">
        <f>IF(E428=$Z$6,1,"")</f>
        <v/>
      </c>
      <c r="AA428" s="136">
        <f>IF(E428=$AA$6,1,"")</f>
        <v/>
      </c>
      <c r="AB428" s="136">
        <f>IF(E428=$AB$6,1,"")</f>
        <v/>
      </c>
      <c r="AC428" s="136">
        <f>IF(E428=$AC$6,1,"")</f>
        <v/>
      </c>
      <c r="AD428" s="136">
        <f>IF(E428=$AD$6,1,"")</f>
        <v/>
      </c>
      <c r="AE428" s="136">
        <f>IF(E428=$AE$6,1,"")</f>
        <v/>
      </c>
      <c r="AF428" s="136">
        <f>IF(E428=$AF$6,1,"")</f>
        <v/>
      </c>
      <c r="AG428" s="136">
        <f>IF(E428=$AG$6,1,"")</f>
        <v/>
      </c>
      <c r="AH428" s="136">
        <f>IF(E428=$AH$6,1,"")</f>
        <v/>
      </c>
      <c r="AI428" s="136">
        <f>IF(E428=$AI$6,1,"")</f>
        <v/>
      </c>
      <c r="AJ428" s="136">
        <f>IF(E428=$AJ$6,1,"")</f>
        <v/>
      </c>
      <c r="AK428" s="81">
        <f>IF(E428=$AK$6,1,"")</f>
        <v/>
      </c>
      <c r="AL428" s="81">
        <f>IF(E428=$AL$6,1,"")</f>
        <v/>
      </c>
      <c r="AM428" s="81">
        <f>IF(E428=$AM$6,1,"")</f>
        <v/>
      </c>
      <c r="AN428" s="81">
        <f>IF(E428=$AN$6,1,"")</f>
        <v/>
      </c>
      <c r="AO428" s="81">
        <f>IF(E428=$AO$6,1,"")</f>
        <v/>
      </c>
      <c r="AP428" s="81">
        <f>IF(E428=$AP$6,1,"")</f>
        <v/>
      </c>
      <c r="AQ428" s="81">
        <f>IF(E428=$AQ$6,1,"")</f>
        <v/>
      </c>
      <c r="AR428" s="81">
        <f>IF(E428=$AR$6,1,"")</f>
        <v/>
      </c>
      <c r="AS428" s="81" t="n"/>
    </row>
    <row r="429" ht="15.75" customHeight="1" s="80">
      <c r="A429" s="157" t="n"/>
      <c r="B429" s="124" t="n"/>
      <c r="C429" s="125" t="n"/>
      <c r="D429" s="126" t="n"/>
      <c r="E429" s="127" t="n"/>
      <c r="F429" s="128" t="n"/>
      <c r="G429" s="129">
        <f>IF(F429="","",ROUND(F429/60,2))</f>
        <v/>
      </c>
      <c r="H429" s="130" t="n"/>
      <c r="I429" s="131" t="n"/>
      <c r="J429" s="131">
        <f>IF(COUNTIF(B429:E429,"*")=0,"",IF(T429=1,"Invalid Service",IF(AND(V429=1,F429=""),"Add Session Mins",IF(AND(E429&gt;0,H429="",T429=""),"Enter Contract Rate",IF(AND(E429="IEP mtg, prep, rept",F429&gt;0),(G429*H429),IF(AND(E429&gt;0,F429&gt;0,H429&gt;0,I429=""),"Enter Travel",IF(AND(F429&gt;0,I429="Y"),(G429*H429)+$M$10,IF(AND(F429&gt;0,I429="N"),(G429*H429),H429))))))))</f>
        <v/>
      </c>
      <c r="K429" s="132">
        <f>J429</f>
        <v/>
      </c>
      <c r="L429" s="148" t="n"/>
      <c r="M429" s="148" t="n"/>
      <c r="N429" s="148" t="n"/>
      <c r="O429" s="87" t="n"/>
      <c r="P429" s="81" t="n"/>
      <c r="Q429" s="81" t="n"/>
      <c r="R429" s="81" t="n"/>
      <c r="S429" s="81" t="n"/>
      <c r="T429" s="136">
        <f>IF(AND(E429&gt;0,U429=0),1,"")</f>
        <v/>
      </c>
      <c r="U429" s="136">
        <f>SUM(X429:AR429)</f>
        <v/>
      </c>
      <c r="V429" s="136">
        <f>IF(E429=$Q$16,0,SUM(X429:AI429))</f>
        <v/>
      </c>
      <c r="W429" s="136">
        <f>SUM(AK429:AR429)</f>
        <v/>
      </c>
      <c r="X429" s="136">
        <f>IF(E429=$X$6,1,"")</f>
        <v/>
      </c>
      <c r="Y429" s="136">
        <f>IF(E429=$Y$6,1,"")</f>
        <v/>
      </c>
      <c r="Z429" s="136">
        <f>IF(E429=$Z$6,1,"")</f>
        <v/>
      </c>
      <c r="AA429" s="136">
        <f>IF(E429=$AA$6,1,"")</f>
        <v/>
      </c>
      <c r="AB429" s="136">
        <f>IF(E429=$AB$6,1,"")</f>
        <v/>
      </c>
      <c r="AC429" s="136">
        <f>IF(E429=$AC$6,1,"")</f>
        <v/>
      </c>
      <c r="AD429" s="136">
        <f>IF(E429=$AD$6,1,"")</f>
        <v/>
      </c>
      <c r="AE429" s="136">
        <f>IF(E429=$AE$6,1,"")</f>
        <v/>
      </c>
      <c r="AF429" s="136">
        <f>IF(E429=$AF$6,1,"")</f>
        <v/>
      </c>
      <c r="AG429" s="136">
        <f>IF(E429=$AG$6,1,"")</f>
        <v/>
      </c>
      <c r="AH429" s="136">
        <f>IF(E429=$AH$6,1,"")</f>
        <v/>
      </c>
      <c r="AI429" s="136">
        <f>IF(E429=$AI$6,1,"")</f>
        <v/>
      </c>
      <c r="AJ429" s="136">
        <f>IF(E429=$AJ$6,1,"")</f>
        <v/>
      </c>
      <c r="AK429" s="81">
        <f>IF(E429=$AK$6,1,"")</f>
        <v/>
      </c>
      <c r="AL429" s="81">
        <f>IF(E429=$AL$6,1,"")</f>
        <v/>
      </c>
      <c r="AM429" s="81">
        <f>IF(E429=$AM$6,1,"")</f>
        <v/>
      </c>
      <c r="AN429" s="81">
        <f>IF(E429=$AN$6,1,"")</f>
        <v/>
      </c>
      <c r="AO429" s="81">
        <f>IF(E429=$AO$6,1,"")</f>
        <v/>
      </c>
      <c r="AP429" s="81">
        <f>IF(E429=$AP$6,1,"")</f>
        <v/>
      </c>
      <c r="AQ429" s="81">
        <f>IF(E429=$AQ$6,1,"")</f>
        <v/>
      </c>
      <c r="AR429" s="81">
        <f>IF(E429=$AR$6,1,"")</f>
        <v/>
      </c>
      <c r="AS429" s="81" t="n"/>
    </row>
    <row r="430" ht="15.75" customHeight="1" s="80">
      <c r="A430" s="157" t="n"/>
      <c r="B430" s="124" t="n"/>
      <c r="C430" s="125" t="n"/>
      <c r="D430" s="126" t="n"/>
      <c r="E430" s="127" t="n"/>
      <c r="F430" s="128" t="n"/>
      <c r="G430" s="129">
        <f>IF(F430="","",ROUND(F430/60,2))</f>
        <v/>
      </c>
      <c r="H430" s="130" t="n"/>
      <c r="I430" s="131" t="n"/>
      <c r="J430" s="131">
        <f>IF(COUNTIF(B430:E430,"*")=0,"",IF(T430=1,"Invalid Service",IF(AND(V430=1,F430=""),"Add Session Mins",IF(AND(E430&gt;0,H430="",T430=""),"Enter Contract Rate",IF(AND(E430="IEP mtg, prep, rept",F430&gt;0),(G430*H430),IF(AND(E430&gt;0,F430&gt;0,H430&gt;0,I430=""),"Enter Travel",IF(AND(F430&gt;0,I430="Y"),(G430*H430)+$M$10,IF(AND(F430&gt;0,I430="N"),(G430*H430),H430))))))))</f>
        <v/>
      </c>
      <c r="K430" s="132">
        <f>J430</f>
        <v/>
      </c>
      <c r="L430" s="148" t="n"/>
      <c r="M430" s="148" t="n"/>
      <c r="N430" s="148" t="n"/>
      <c r="O430" s="87" t="n"/>
      <c r="P430" s="81" t="n"/>
      <c r="Q430" s="81" t="n"/>
      <c r="R430" s="81" t="n"/>
      <c r="S430" s="81" t="n"/>
      <c r="T430" s="136">
        <f>IF(AND(E430&gt;0,U430=0),1,"")</f>
        <v/>
      </c>
      <c r="U430" s="136">
        <f>SUM(X430:AR430)</f>
        <v/>
      </c>
      <c r="V430" s="136">
        <f>IF(E430=$Q$16,0,SUM(X430:AI430))</f>
        <v/>
      </c>
      <c r="W430" s="136">
        <f>SUM(AK430:AR430)</f>
        <v/>
      </c>
      <c r="X430" s="136">
        <f>IF(E430=$X$6,1,"")</f>
        <v/>
      </c>
      <c r="Y430" s="136">
        <f>IF(E430=$Y$6,1,"")</f>
        <v/>
      </c>
      <c r="Z430" s="136">
        <f>IF(E430=$Z$6,1,"")</f>
        <v/>
      </c>
      <c r="AA430" s="136">
        <f>IF(E430=$AA$6,1,"")</f>
        <v/>
      </c>
      <c r="AB430" s="136">
        <f>IF(E430=$AB$6,1,"")</f>
        <v/>
      </c>
      <c r="AC430" s="136">
        <f>IF(E430=$AC$6,1,"")</f>
        <v/>
      </c>
      <c r="AD430" s="136">
        <f>IF(E430=$AD$6,1,"")</f>
        <v/>
      </c>
      <c r="AE430" s="136">
        <f>IF(E430=$AE$6,1,"")</f>
        <v/>
      </c>
      <c r="AF430" s="136">
        <f>IF(E430=$AF$6,1,"")</f>
        <v/>
      </c>
      <c r="AG430" s="136">
        <f>IF(E430=$AG$6,1,"")</f>
        <v/>
      </c>
      <c r="AH430" s="136">
        <f>IF(E430=$AH$6,1,"")</f>
        <v/>
      </c>
      <c r="AI430" s="136">
        <f>IF(E430=$AI$6,1,"")</f>
        <v/>
      </c>
      <c r="AJ430" s="136">
        <f>IF(E430=$AJ$6,1,"")</f>
        <v/>
      </c>
      <c r="AK430" s="81">
        <f>IF(E430=$AK$6,1,"")</f>
        <v/>
      </c>
      <c r="AL430" s="81">
        <f>IF(E430=$AL$6,1,"")</f>
        <v/>
      </c>
      <c r="AM430" s="81">
        <f>IF(E430=$AM$6,1,"")</f>
        <v/>
      </c>
      <c r="AN430" s="81">
        <f>IF(E430=$AN$6,1,"")</f>
        <v/>
      </c>
      <c r="AO430" s="81">
        <f>IF(E430=$AO$6,1,"")</f>
        <v/>
      </c>
      <c r="AP430" s="81">
        <f>IF(E430=$AP$6,1,"")</f>
        <v/>
      </c>
      <c r="AQ430" s="81">
        <f>IF(E430=$AQ$6,1,"")</f>
        <v/>
      </c>
      <c r="AR430" s="81">
        <f>IF(E430=$AR$6,1,"")</f>
        <v/>
      </c>
      <c r="AS430" s="81" t="n"/>
    </row>
    <row r="431" ht="15.75" customHeight="1" s="80">
      <c r="A431" s="157" t="n"/>
      <c r="B431" s="124" t="n"/>
      <c r="C431" s="125" t="n"/>
      <c r="D431" s="126" t="n"/>
      <c r="E431" s="127" t="n"/>
      <c r="F431" s="128" t="n"/>
      <c r="G431" s="129">
        <f>IF(F431="","",ROUND(F431/60,2))</f>
        <v/>
      </c>
      <c r="H431" s="130" t="n"/>
      <c r="I431" s="131" t="n"/>
      <c r="J431" s="131">
        <f>IF(COUNTIF(B431:E431,"*")=0,"",IF(T431=1,"Invalid Service",IF(AND(V431=1,F431=""),"Add Session Mins",IF(AND(E431&gt;0,H431="",T431=""),"Enter Contract Rate",IF(AND(E431="IEP mtg, prep, rept",F431&gt;0),(G431*H431),IF(AND(E431&gt;0,F431&gt;0,H431&gt;0,I431=""),"Enter Travel",IF(AND(F431&gt;0,I431="Y"),(G431*H431)+$M$10,IF(AND(F431&gt;0,I431="N"),(G431*H431),H431))))))))</f>
        <v/>
      </c>
      <c r="K431" s="132">
        <f>J431</f>
        <v/>
      </c>
      <c r="L431" s="148" t="n"/>
      <c r="M431" s="148" t="n"/>
      <c r="N431" s="148" t="n"/>
      <c r="O431" s="87" t="n"/>
      <c r="P431" s="81" t="n"/>
      <c r="Q431" s="81" t="n"/>
      <c r="R431" s="81" t="n"/>
      <c r="S431" s="81" t="n"/>
      <c r="T431" s="136">
        <f>IF(AND(E431&gt;0,U431=0),1,"")</f>
        <v/>
      </c>
      <c r="U431" s="136">
        <f>SUM(X431:AR431)</f>
        <v/>
      </c>
      <c r="V431" s="136">
        <f>IF(E431=$Q$16,0,SUM(X431:AI431))</f>
        <v/>
      </c>
      <c r="W431" s="136">
        <f>SUM(AK431:AR431)</f>
        <v/>
      </c>
      <c r="X431" s="136">
        <f>IF(E431=$X$6,1,"")</f>
        <v/>
      </c>
      <c r="Y431" s="136">
        <f>IF(E431=$Y$6,1,"")</f>
        <v/>
      </c>
      <c r="Z431" s="136">
        <f>IF(E431=$Z$6,1,"")</f>
        <v/>
      </c>
      <c r="AA431" s="136">
        <f>IF(E431=$AA$6,1,"")</f>
        <v/>
      </c>
      <c r="AB431" s="136">
        <f>IF(E431=$AB$6,1,"")</f>
        <v/>
      </c>
      <c r="AC431" s="136">
        <f>IF(E431=$AC$6,1,"")</f>
        <v/>
      </c>
      <c r="AD431" s="136">
        <f>IF(E431=$AD$6,1,"")</f>
        <v/>
      </c>
      <c r="AE431" s="136">
        <f>IF(E431=$AE$6,1,"")</f>
        <v/>
      </c>
      <c r="AF431" s="136">
        <f>IF(E431=$AF$6,1,"")</f>
        <v/>
      </c>
      <c r="AG431" s="136">
        <f>IF(E431=$AG$6,1,"")</f>
        <v/>
      </c>
      <c r="AH431" s="136">
        <f>IF(E431=$AH$6,1,"")</f>
        <v/>
      </c>
      <c r="AI431" s="136">
        <f>IF(E431=$AI$6,1,"")</f>
        <v/>
      </c>
      <c r="AJ431" s="136">
        <f>IF(E431=$AJ$6,1,"")</f>
        <v/>
      </c>
      <c r="AK431" s="81">
        <f>IF(E431=$AK$6,1,"")</f>
        <v/>
      </c>
      <c r="AL431" s="81">
        <f>IF(E431=$AL$6,1,"")</f>
        <v/>
      </c>
      <c r="AM431" s="81">
        <f>IF(E431=$AM$6,1,"")</f>
        <v/>
      </c>
      <c r="AN431" s="81">
        <f>IF(E431=$AN$6,1,"")</f>
        <v/>
      </c>
      <c r="AO431" s="81">
        <f>IF(E431=$AO$6,1,"")</f>
        <v/>
      </c>
      <c r="AP431" s="81">
        <f>IF(E431=$AP$6,1,"")</f>
        <v/>
      </c>
      <c r="AQ431" s="81">
        <f>IF(E431=$AQ$6,1,"")</f>
        <v/>
      </c>
      <c r="AR431" s="81">
        <f>IF(E431=$AR$6,1,"")</f>
        <v/>
      </c>
      <c r="AS431" s="81" t="n"/>
    </row>
    <row r="432" ht="15.75" customHeight="1" s="80">
      <c r="A432" s="157" t="n"/>
      <c r="B432" s="124" t="n"/>
      <c r="C432" s="125" t="n"/>
      <c r="D432" s="126" t="n"/>
      <c r="E432" s="127" t="n"/>
      <c r="F432" s="128" t="n"/>
      <c r="G432" s="129">
        <f>IF(F432="","",ROUND(F432/60,2))</f>
        <v/>
      </c>
      <c r="H432" s="130" t="n"/>
      <c r="I432" s="131" t="n"/>
      <c r="J432" s="131">
        <f>IF(COUNTIF(B432:E432,"*")=0,"",IF(T432=1,"Invalid Service",IF(AND(V432=1,F432=""),"Add Session Mins",IF(AND(E432&gt;0,H432="",T432=""),"Enter Contract Rate",IF(AND(E432="IEP mtg, prep, rept",F432&gt;0),(G432*H432),IF(AND(E432&gt;0,F432&gt;0,H432&gt;0,I432=""),"Enter Travel",IF(AND(F432&gt;0,I432="Y"),(G432*H432)+$M$10,IF(AND(F432&gt;0,I432="N"),(G432*H432),H432))))))))</f>
        <v/>
      </c>
      <c r="K432" s="132">
        <f>J432</f>
        <v/>
      </c>
      <c r="L432" s="148" t="n"/>
      <c r="M432" s="148" t="n"/>
      <c r="N432" s="148" t="n"/>
      <c r="O432" s="87" t="n"/>
      <c r="P432" s="81" t="n"/>
      <c r="Q432" s="81" t="n"/>
      <c r="R432" s="81" t="n"/>
      <c r="S432" s="81" t="n"/>
      <c r="T432" s="136">
        <f>IF(AND(E432&gt;0,U432=0),1,"")</f>
        <v/>
      </c>
      <c r="U432" s="136">
        <f>SUM(X432:AR432)</f>
        <v/>
      </c>
      <c r="V432" s="136">
        <f>IF(E432=$Q$16,0,SUM(X432:AI432))</f>
        <v/>
      </c>
      <c r="W432" s="136">
        <f>SUM(AK432:AR432)</f>
        <v/>
      </c>
      <c r="X432" s="136">
        <f>IF(E432=$X$6,1,"")</f>
        <v/>
      </c>
      <c r="Y432" s="136">
        <f>IF(E432=$Y$6,1,"")</f>
        <v/>
      </c>
      <c r="Z432" s="136">
        <f>IF(E432=$Z$6,1,"")</f>
        <v/>
      </c>
      <c r="AA432" s="136">
        <f>IF(E432=$AA$6,1,"")</f>
        <v/>
      </c>
      <c r="AB432" s="136">
        <f>IF(E432=$AB$6,1,"")</f>
        <v/>
      </c>
      <c r="AC432" s="136">
        <f>IF(E432=$AC$6,1,"")</f>
        <v/>
      </c>
      <c r="AD432" s="136">
        <f>IF(E432=$AD$6,1,"")</f>
        <v/>
      </c>
      <c r="AE432" s="136">
        <f>IF(E432=$AE$6,1,"")</f>
        <v/>
      </c>
      <c r="AF432" s="136">
        <f>IF(E432=$AF$6,1,"")</f>
        <v/>
      </c>
      <c r="AG432" s="136">
        <f>IF(E432=$AG$6,1,"")</f>
        <v/>
      </c>
      <c r="AH432" s="136">
        <f>IF(E432=$AH$6,1,"")</f>
        <v/>
      </c>
      <c r="AI432" s="136">
        <f>IF(E432=$AI$6,1,"")</f>
        <v/>
      </c>
      <c r="AJ432" s="136">
        <f>IF(E432=$AJ$6,1,"")</f>
        <v/>
      </c>
      <c r="AK432" s="81">
        <f>IF(E432=$AK$6,1,"")</f>
        <v/>
      </c>
      <c r="AL432" s="81">
        <f>IF(E432=$AL$6,1,"")</f>
        <v/>
      </c>
      <c r="AM432" s="81">
        <f>IF(E432=$AM$6,1,"")</f>
        <v/>
      </c>
      <c r="AN432" s="81">
        <f>IF(E432=$AN$6,1,"")</f>
        <v/>
      </c>
      <c r="AO432" s="81">
        <f>IF(E432=$AO$6,1,"")</f>
        <v/>
      </c>
      <c r="AP432" s="81">
        <f>IF(E432=$AP$6,1,"")</f>
        <v/>
      </c>
      <c r="AQ432" s="81">
        <f>IF(E432=$AQ$6,1,"")</f>
        <v/>
      </c>
      <c r="AR432" s="81">
        <f>IF(E432=$AR$6,1,"")</f>
        <v/>
      </c>
      <c r="AS432" s="81" t="n"/>
    </row>
    <row r="433" ht="15.75" customHeight="1" s="80">
      <c r="A433" s="157" t="n"/>
      <c r="B433" s="124" t="n"/>
      <c r="C433" s="125" t="n"/>
      <c r="D433" s="126" t="n"/>
      <c r="E433" s="127" t="n"/>
      <c r="F433" s="128" t="n"/>
      <c r="G433" s="129">
        <f>IF(F433="","",ROUND(F433/60,2))</f>
        <v/>
      </c>
      <c r="H433" s="130" t="n"/>
      <c r="I433" s="131" t="n"/>
      <c r="J433" s="131">
        <f>IF(COUNTIF(B433:E433,"*")=0,"",IF(T433=1,"Invalid Service",IF(AND(V433=1,F433=""),"Add Session Mins",IF(AND(E433&gt;0,H433="",T433=""),"Enter Contract Rate",IF(AND(E433="IEP mtg, prep, rept",F433&gt;0),(G433*H433),IF(AND(E433&gt;0,F433&gt;0,H433&gt;0,I433=""),"Enter Travel",IF(AND(F433&gt;0,I433="Y"),(G433*H433)+$M$10,IF(AND(F433&gt;0,I433="N"),(G433*H433),H433))))))))</f>
        <v/>
      </c>
      <c r="K433" s="132">
        <f>J433</f>
        <v/>
      </c>
      <c r="L433" s="148" t="n"/>
      <c r="M433" s="148" t="n"/>
      <c r="N433" s="148" t="n"/>
      <c r="O433" s="87" t="n"/>
      <c r="P433" s="81" t="n"/>
      <c r="Q433" s="81" t="n"/>
      <c r="R433" s="81" t="n"/>
      <c r="S433" s="81" t="n"/>
      <c r="T433" s="136">
        <f>IF(AND(E433&gt;0,U433=0),1,"")</f>
        <v/>
      </c>
      <c r="U433" s="136">
        <f>SUM(X433:AR433)</f>
        <v/>
      </c>
      <c r="V433" s="136">
        <f>IF(E433=$Q$16,0,SUM(X433:AI433))</f>
        <v/>
      </c>
      <c r="W433" s="136">
        <f>SUM(AK433:AR433)</f>
        <v/>
      </c>
      <c r="X433" s="136">
        <f>IF(E433=$X$6,1,"")</f>
        <v/>
      </c>
      <c r="Y433" s="136">
        <f>IF(E433=$Y$6,1,"")</f>
        <v/>
      </c>
      <c r="Z433" s="136">
        <f>IF(E433=$Z$6,1,"")</f>
        <v/>
      </c>
      <c r="AA433" s="136">
        <f>IF(E433=$AA$6,1,"")</f>
        <v/>
      </c>
      <c r="AB433" s="136">
        <f>IF(E433=$AB$6,1,"")</f>
        <v/>
      </c>
      <c r="AC433" s="136">
        <f>IF(E433=$AC$6,1,"")</f>
        <v/>
      </c>
      <c r="AD433" s="136">
        <f>IF(E433=$AD$6,1,"")</f>
        <v/>
      </c>
      <c r="AE433" s="136">
        <f>IF(E433=$AE$6,1,"")</f>
        <v/>
      </c>
      <c r="AF433" s="136">
        <f>IF(E433=$AF$6,1,"")</f>
        <v/>
      </c>
      <c r="AG433" s="136">
        <f>IF(E433=$AG$6,1,"")</f>
        <v/>
      </c>
      <c r="AH433" s="136">
        <f>IF(E433=$AH$6,1,"")</f>
        <v/>
      </c>
      <c r="AI433" s="136">
        <f>IF(E433=$AI$6,1,"")</f>
        <v/>
      </c>
      <c r="AJ433" s="136">
        <f>IF(E433=$AJ$6,1,"")</f>
        <v/>
      </c>
      <c r="AK433" s="81">
        <f>IF(E433=$AK$6,1,"")</f>
        <v/>
      </c>
      <c r="AL433" s="81">
        <f>IF(E433=$AL$6,1,"")</f>
        <v/>
      </c>
      <c r="AM433" s="81">
        <f>IF(E433=$AM$6,1,"")</f>
        <v/>
      </c>
      <c r="AN433" s="81">
        <f>IF(E433=$AN$6,1,"")</f>
        <v/>
      </c>
      <c r="AO433" s="81">
        <f>IF(E433=$AO$6,1,"")</f>
        <v/>
      </c>
      <c r="AP433" s="81">
        <f>IF(E433=$AP$6,1,"")</f>
        <v/>
      </c>
      <c r="AQ433" s="81">
        <f>IF(E433=$AQ$6,1,"")</f>
        <v/>
      </c>
      <c r="AR433" s="81">
        <f>IF(E433=$AR$6,1,"")</f>
        <v/>
      </c>
      <c r="AS433" s="81" t="n"/>
    </row>
    <row r="434" ht="15.75" customHeight="1" s="80">
      <c r="A434" s="157" t="n"/>
      <c r="B434" s="124" t="n"/>
      <c r="C434" s="125" t="n"/>
      <c r="D434" s="126" t="n"/>
      <c r="E434" s="127" t="n"/>
      <c r="F434" s="128" t="n"/>
      <c r="G434" s="129">
        <f>IF(F434="","",ROUND(F434/60,2))</f>
        <v/>
      </c>
      <c r="H434" s="130" t="n"/>
      <c r="I434" s="131" t="n"/>
      <c r="J434" s="131">
        <f>IF(COUNTIF(B434:E434,"*")=0,"",IF(T434=1,"Invalid Service",IF(AND(V434=1,F434=""),"Add Session Mins",IF(AND(E434&gt;0,H434="",T434=""),"Enter Contract Rate",IF(AND(E434="IEP mtg, prep, rept",F434&gt;0),(G434*H434),IF(AND(E434&gt;0,F434&gt;0,H434&gt;0,I434=""),"Enter Travel",IF(AND(F434&gt;0,I434="Y"),(G434*H434)+$M$10,IF(AND(F434&gt;0,I434="N"),(G434*H434),H434))))))))</f>
        <v/>
      </c>
      <c r="K434" s="132">
        <f>J434</f>
        <v/>
      </c>
      <c r="L434" s="148" t="n"/>
      <c r="M434" s="148" t="n"/>
      <c r="N434" s="148" t="n"/>
      <c r="O434" s="87" t="n"/>
      <c r="P434" s="81" t="n"/>
      <c r="Q434" s="81" t="n"/>
      <c r="R434" s="81" t="n"/>
      <c r="S434" s="81" t="n"/>
      <c r="T434" s="136">
        <f>IF(AND(E434&gt;0,U434=0),1,"")</f>
        <v/>
      </c>
      <c r="U434" s="136">
        <f>SUM(X434:AR434)</f>
        <v/>
      </c>
      <c r="V434" s="136">
        <f>IF(E434=$Q$16,0,SUM(X434:AI434))</f>
        <v/>
      </c>
      <c r="W434" s="136">
        <f>SUM(AK434:AR434)</f>
        <v/>
      </c>
      <c r="X434" s="136">
        <f>IF(E434=$X$6,1,"")</f>
        <v/>
      </c>
      <c r="Y434" s="136">
        <f>IF(E434=$Y$6,1,"")</f>
        <v/>
      </c>
      <c r="Z434" s="136">
        <f>IF(E434=$Z$6,1,"")</f>
        <v/>
      </c>
      <c r="AA434" s="136">
        <f>IF(E434=$AA$6,1,"")</f>
        <v/>
      </c>
      <c r="AB434" s="136">
        <f>IF(E434=$AB$6,1,"")</f>
        <v/>
      </c>
      <c r="AC434" s="136">
        <f>IF(E434=$AC$6,1,"")</f>
        <v/>
      </c>
      <c r="AD434" s="136">
        <f>IF(E434=$AD$6,1,"")</f>
        <v/>
      </c>
      <c r="AE434" s="136">
        <f>IF(E434=$AE$6,1,"")</f>
        <v/>
      </c>
      <c r="AF434" s="136">
        <f>IF(E434=$AF$6,1,"")</f>
        <v/>
      </c>
      <c r="AG434" s="136">
        <f>IF(E434=$AG$6,1,"")</f>
        <v/>
      </c>
      <c r="AH434" s="136">
        <f>IF(E434=$AH$6,1,"")</f>
        <v/>
      </c>
      <c r="AI434" s="136">
        <f>IF(E434=$AI$6,1,"")</f>
        <v/>
      </c>
      <c r="AJ434" s="136">
        <f>IF(E434=$AJ$6,1,"")</f>
        <v/>
      </c>
      <c r="AK434" s="81">
        <f>IF(E434=$AK$6,1,"")</f>
        <v/>
      </c>
      <c r="AL434" s="81">
        <f>IF(E434=$AL$6,1,"")</f>
        <v/>
      </c>
      <c r="AM434" s="81">
        <f>IF(E434=$AM$6,1,"")</f>
        <v/>
      </c>
      <c r="AN434" s="81">
        <f>IF(E434=$AN$6,1,"")</f>
        <v/>
      </c>
      <c r="AO434" s="81">
        <f>IF(E434=$AO$6,1,"")</f>
        <v/>
      </c>
      <c r="AP434" s="81">
        <f>IF(E434=$AP$6,1,"")</f>
        <v/>
      </c>
      <c r="AQ434" s="81">
        <f>IF(E434=$AQ$6,1,"")</f>
        <v/>
      </c>
      <c r="AR434" s="81">
        <f>IF(E434=$AR$6,1,"")</f>
        <v/>
      </c>
      <c r="AS434" s="81" t="n"/>
    </row>
    <row r="435" ht="15.75" customHeight="1" s="80">
      <c r="A435" s="157" t="n"/>
      <c r="B435" s="124" t="n"/>
      <c r="C435" s="125" t="n"/>
      <c r="D435" s="126" t="n"/>
      <c r="E435" s="127" t="n"/>
      <c r="F435" s="128" t="n"/>
      <c r="G435" s="129">
        <f>IF(F435="","",ROUND(F435/60,2))</f>
        <v/>
      </c>
      <c r="H435" s="130" t="n"/>
      <c r="I435" s="131" t="n"/>
      <c r="J435" s="131">
        <f>IF(COUNTIF(B435:E435,"*")=0,"",IF(T435=1,"Invalid Service",IF(AND(V435=1,F435=""),"Add Session Mins",IF(AND(E435&gt;0,H435="",T435=""),"Enter Contract Rate",IF(AND(E435="IEP mtg, prep, rept",F435&gt;0),(G435*H435),IF(AND(E435&gt;0,F435&gt;0,H435&gt;0,I435=""),"Enter Travel",IF(AND(F435&gt;0,I435="Y"),(G435*H435)+$M$10,IF(AND(F435&gt;0,I435="N"),(G435*H435),H435))))))))</f>
        <v/>
      </c>
      <c r="K435" s="132">
        <f>J435</f>
        <v/>
      </c>
      <c r="L435" s="148" t="n"/>
      <c r="M435" s="148" t="n"/>
      <c r="N435" s="148" t="n"/>
      <c r="O435" s="87" t="n"/>
      <c r="P435" s="81" t="n"/>
      <c r="Q435" s="81" t="n"/>
      <c r="R435" s="81" t="n"/>
      <c r="S435" s="81" t="n"/>
      <c r="T435" s="136">
        <f>IF(AND(E435&gt;0,U435=0),1,"")</f>
        <v/>
      </c>
      <c r="U435" s="136">
        <f>SUM(X435:AR435)</f>
        <v/>
      </c>
      <c r="V435" s="136">
        <f>IF(E435=$Q$16,0,SUM(X435:AI435))</f>
        <v/>
      </c>
      <c r="W435" s="136">
        <f>SUM(AK435:AR435)</f>
        <v/>
      </c>
      <c r="X435" s="136">
        <f>IF(E435=$X$6,1,"")</f>
        <v/>
      </c>
      <c r="Y435" s="136">
        <f>IF(E435=$Y$6,1,"")</f>
        <v/>
      </c>
      <c r="Z435" s="136">
        <f>IF(E435=$Z$6,1,"")</f>
        <v/>
      </c>
      <c r="AA435" s="136">
        <f>IF(E435=$AA$6,1,"")</f>
        <v/>
      </c>
      <c r="AB435" s="136">
        <f>IF(E435=$AB$6,1,"")</f>
        <v/>
      </c>
      <c r="AC435" s="136">
        <f>IF(E435=$AC$6,1,"")</f>
        <v/>
      </c>
      <c r="AD435" s="136">
        <f>IF(E435=$AD$6,1,"")</f>
        <v/>
      </c>
      <c r="AE435" s="136">
        <f>IF(E435=$AE$6,1,"")</f>
        <v/>
      </c>
      <c r="AF435" s="136">
        <f>IF(E435=$AF$6,1,"")</f>
        <v/>
      </c>
      <c r="AG435" s="136">
        <f>IF(E435=$AG$6,1,"")</f>
        <v/>
      </c>
      <c r="AH435" s="136">
        <f>IF(E435=$AH$6,1,"")</f>
        <v/>
      </c>
      <c r="AI435" s="136">
        <f>IF(E435=$AI$6,1,"")</f>
        <v/>
      </c>
      <c r="AJ435" s="136">
        <f>IF(E435=$AJ$6,1,"")</f>
        <v/>
      </c>
      <c r="AK435" s="81">
        <f>IF(E435=$AK$6,1,"")</f>
        <v/>
      </c>
      <c r="AL435" s="81">
        <f>IF(E435=$AL$6,1,"")</f>
        <v/>
      </c>
      <c r="AM435" s="81">
        <f>IF(E435=$AM$6,1,"")</f>
        <v/>
      </c>
      <c r="AN435" s="81">
        <f>IF(E435=$AN$6,1,"")</f>
        <v/>
      </c>
      <c r="AO435" s="81">
        <f>IF(E435=$AO$6,1,"")</f>
        <v/>
      </c>
      <c r="AP435" s="81">
        <f>IF(E435=$AP$6,1,"")</f>
        <v/>
      </c>
      <c r="AQ435" s="81">
        <f>IF(E435=$AQ$6,1,"")</f>
        <v/>
      </c>
      <c r="AR435" s="81">
        <f>IF(E435=$AR$6,1,"")</f>
        <v/>
      </c>
      <c r="AS435" s="81" t="n"/>
    </row>
    <row r="436" ht="15.75" customHeight="1" s="80">
      <c r="A436" s="157" t="n"/>
      <c r="B436" s="124" t="n"/>
      <c r="C436" s="125" t="n"/>
      <c r="D436" s="126" t="n"/>
      <c r="E436" s="127" t="n"/>
      <c r="F436" s="128" t="n"/>
      <c r="G436" s="129">
        <f>IF(F436="","",ROUND(F436/60,2))</f>
        <v/>
      </c>
      <c r="H436" s="130" t="n"/>
      <c r="I436" s="131" t="n"/>
      <c r="J436" s="131">
        <f>IF(COUNTIF(B436:E436,"*")=0,"",IF(T436=1,"Invalid Service",IF(AND(V436=1,F436=""),"Add Session Mins",IF(AND(E436&gt;0,H436="",T436=""),"Enter Contract Rate",IF(AND(E436="IEP mtg, prep, rept",F436&gt;0),(G436*H436),IF(AND(E436&gt;0,F436&gt;0,H436&gt;0,I436=""),"Enter Travel",IF(AND(F436&gt;0,I436="Y"),(G436*H436)+$M$10,IF(AND(F436&gt;0,I436="N"),(G436*H436),H436))))))))</f>
        <v/>
      </c>
      <c r="K436" s="132">
        <f>J436</f>
        <v/>
      </c>
      <c r="L436" s="148" t="n"/>
      <c r="M436" s="148" t="n"/>
      <c r="N436" s="148" t="n"/>
      <c r="O436" s="87" t="n"/>
      <c r="P436" s="81" t="n"/>
      <c r="Q436" s="81" t="n"/>
      <c r="R436" s="81" t="n"/>
      <c r="S436" s="81" t="n"/>
      <c r="T436" s="136">
        <f>IF(AND(E436&gt;0,U436=0),1,"")</f>
        <v/>
      </c>
      <c r="U436" s="136">
        <f>SUM(X436:AR436)</f>
        <v/>
      </c>
      <c r="V436" s="136">
        <f>IF(E436=$Q$16,0,SUM(X436:AI436))</f>
        <v/>
      </c>
      <c r="W436" s="136">
        <f>SUM(AK436:AR436)</f>
        <v/>
      </c>
      <c r="X436" s="136">
        <f>IF(E436=$X$6,1,"")</f>
        <v/>
      </c>
      <c r="Y436" s="136">
        <f>IF(E436=$Y$6,1,"")</f>
        <v/>
      </c>
      <c r="Z436" s="136">
        <f>IF(E436=$Z$6,1,"")</f>
        <v/>
      </c>
      <c r="AA436" s="136">
        <f>IF(E436=$AA$6,1,"")</f>
        <v/>
      </c>
      <c r="AB436" s="136">
        <f>IF(E436=$AB$6,1,"")</f>
        <v/>
      </c>
      <c r="AC436" s="136">
        <f>IF(E436=$AC$6,1,"")</f>
        <v/>
      </c>
      <c r="AD436" s="136">
        <f>IF(E436=$AD$6,1,"")</f>
        <v/>
      </c>
      <c r="AE436" s="136">
        <f>IF(E436=$AE$6,1,"")</f>
        <v/>
      </c>
      <c r="AF436" s="136">
        <f>IF(E436=$AF$6,1,"")</f>
        <v/>
      </c>
      <c r="AG436" s="136">
        <f>IF(E436=$AG$6,1,"")</f>
        <v/>
      </c>
      <c r="AH436" s="136">
        <f>IF(E436=$AH$6,1,"")</f>
        <v/>
      </c>
      <c r="AI436" s="136">
        <f>IF(E436=$AI$6,1,"")</f>
        <v/>
      </c>
      <c r="AJ436" s="136">
        <f>IF(E436=$AJ$6,1,"")</f>
        <v/>
      </c>
      <c r="AK436" s="81">
        <f>IF(E436=$AK$6,1,"")</f>
        <v/>
      </c>
      <c r="AL436" s="81">
        <f>IF(E436=$AL$6,1,"")</f>
        <v/>
      </c>
      <c r="AM436" s="81">
        <f>IF(E436=$AM$6,1,"")</f>
        <v/>
      </c>
      <c r="AN436" s="81">
        <f>IF(E436=$AN$6,1,"")</f>
        <v/>
      </c>
      <c r="AO436" s="81">
        <f>IF(E436=$AO$6,1,"")</f>
        <v/>
      </c>
      <c r="AP436" s="81">
        <f>IF(E436=$AP$6,1,"")</f>
        <v/>
      </c>
      <c r="AQ436" s="81">
        <f>IF(E436=$AQ$6,1,"")</f>
        <v/>
      </c>
      <c r="AR436" s="81">
        <f>IF(E436=$AR$6,1,"")</f>
        <v/>
      </c>
      <c r="AS436" s="81" t="n"/>
    </row>
    <row r="437" ht="15.75" customHeight="1" s="80">
      <c r="A437" s="157" t="n"/>
      <c r="B437" s="124" t="n"/>
      <c r="C437" s="125" t="n"/>
      <c r="D437" s="126" t="n"/>
      <c r="E437" s="127" t="n"/>
      <c r="F437" s="128" t="n"/>
      <c r="G437" s="129">
        <f>IF(F437="","",ROUND(F437/60,2))</f>
        <v/>
      </c>
      <c r="H437" s="130" t="n"/>
      <c r="I437" s="131" t="n"/>
      <c r="J437" s="131">
        <f>IF(COUNTIF(B437:E437,"*")=0,"",IF(T437=1,"Invalid Service",IF(AND(V437=1,F437=""),"Add Session Mins",IF(AND(E437&gt;0,H437="",T437=""),"Enter Contract Rate",IF(AND(E437="IEP mtg, prep, rept",F437&gt;0),(G437*H437),IF(AND(E437&gt;0,F437&gt;0,H437&gt;0,I437=""),"Enter Travel",IF(AND(F437&gt;0,I437="Y"),(G437*H437)+$M$10,IF(AND(F437&gt;0,I437="N"),(G437*H437),H437))))))))</f>
        <v/>
      </c>
      <c r="K437" s="132">
        <f>J437</f>
        <v/>
      </c>
      <c r="L437" s="148" t="n"/>
      <c r="M437" s="148" t="n"/>
      <c r="N437" s="148" t="n"/>
      <c r="O437" s="87" t="n"/>
      <c r="P437" s="81" t="n"/>
      <c r="Q437" s="81" t="n"/>
      <c r="R437" s="81" t="n"/>
      <c r="S437" s="81" t="n"/>
      <c r="T437" s="136">
        <f>IF(AND(E437&gt;0,U437=0),1,"")</f>
        <v/>
      </c>
      <c r="U437" s="136">
        <f>SUM(X437:AR437)</f>
        <v/>
      </c>
      <c r="V437" s="136">
        <f>IF(E437=$Q$16,0,SUM(X437:AI437))</f>
        <v/>
      </c>
      <c r="W437" s="136">
        <f>SUM(AK437:AR437)</f>
        <v/>
      </c>
      <c r="X437" s="136">
        <f>IF(E437=$X$6,1,"")</f>
        <v/>
      </c>
      <c r="Y437" s="136">
        <f>IF(E437=$Y$6,1,"")</f>
        <v/>
      </c>
      <c r="Z437" s="136">
        <f>IF(E437=$Z$6,1,"")</f>
        <v/>
      </c>
      <c r="AA437" s="136">
        <f>IF(E437=$AA$6,1,"")</f>
        <v/>
      </c>
      <c r="AB437" s="136">
        <f>IF(E437=$AB$6,1,"")</f>
        <v/>
      </c>
      <c r="AC437" s="136">
        <f>IF(E437=$AC$6,1,"")</f>
        <v/>
      </c>
      <c r="AD437" s="136">
        <f>IF(E437=$AD$6,1,"")</f>
        <v/>
      </c>
      <c r="AE437" s="136">
        <f>IF(E437=$AE$6,1,"")</f>
        <v/>
      </c>
      <c r="AF437" s="136">
        <f>IF(E437=$AF$6,1,"")</f>
        <v/>
      </c>
      <c r="AG437" s="136">
        <f>IF(E437=$AG$6,1,"")</f>
        <v/>
      </c>
      <c r="AH437" s="136">
        <f>IF(E437=$AH$6,1,"")</f>
        <v/>
      </c>
      <c r="AI437" s="136">
        <f>IF(E437=$AI$6,1,"")</f>
        <v/>
      </c>
      <c r="AJ437" s="136">
        <f>IF(E437=$AJ$6,1,"")</f>
        <v/>
      </c>
      <c r="AK437" s="81">
        <f>IF(E437=$AK$6,1,"")</f>
        <v/>
      </c>
      <c r="AL437" s="81">
        <f>IF(E437=$AL$6,1,"")</f>
        <v/>
      </c>
      <c r="AM437" s="81">
        <f>IF(E437=$AM$6,1,"")</f>
        <v/>
      </c>
      <c r="AN437" s="81">
        <f>IF(E437=$AN$6,1,"")</f>
        <v/>
      </c>
      <c r="AO437" s="81">
        <f>IF(E437=$AO$6,1,"")</f>
        <v/>
      </c>
      <c r="AP437" s="81">
        <f>IF(E437=$AP$6,1,"")</f>
        <v/>
      </c>
      <c r="AQ437" s="81">
        <f>IF(E437=$AQ$6,1,"")</f>
        <v/>
      </c>
      <c r="AR437" s="81">
        <f>IF(E437=$AR$6,1,"")</f>
        <v/>
      </c>
      <c r="AS437" s="81" t="n"/>
    </row>
    <row r="438" ht="15.75" customHeight="1" s="80">
      <c r="A438" s="157" t="n"/>
      <c r="B438" s="124" t="n"/>
      <c r="C438" s="125" t="n"/>
      <c r="D438" s="126" t="n"/>
      <c r="E438" s="127" t="n"/>
      <c r="F438" s="128" t="n"/>
      <c r="G438" s="129">
        <f>IF(F438="","",ROUND(F438/60,2))</f>
        <v/>
      </c>
      <c r="H438" s="130" t="n"/>
      <c r="I438" s="131" t="n"/>
      <c r="J438" s="131">
        <f>IF(COUNTIF(B438:E438,"*")=0,"",IF(T438=1,"Invalid Service",IF(AND(V438=1,F438=""),"Add Session Mins",IF(AND(E438&gt;0,H438="",T438=""),"Enter Contract Rate",IF(AND(E438="IEP mtg, prep, rept",F438&gt;0),(G438*H438),IF(AND(E438&gt;0,F438&gt;0,H438&gt;0,I438=""),"Enter Travel",IF(AND(F438&gt;0,I438="Y"),(G438*H438)+$M$10,IF(AND(F438&gt;0,I438="N"),(G438*H438),H438))))))))</f>
        <v/>
      </c>
      <c r="K438" s="132">
        <f>J438</f>
        <v/>
      </c>
      <c r="L438" s="148" t="n"/>
      <c r="M438" s="148" t="n"/>
      <c r="N438" s="148" t="n"/>
      <c r="O438" s="87" t="n"/>
      <c r="P438" s="81" t="n"/>
      <c r="Q438" s="81" t="n"/>
      <c r="R438" s="81" t="n"/>
      <c r="S438" s="81" t="n"/>
      <c r="T438" s="136">
        <f>IF(AND(E438&gt;0,U438=0),1,"")</f>
        <v/>
      </c>
      <c r="U438" s="136">
        <f>SUM(X438:AR438)</f>
        <v/>
      </c>
      <c r="V438" s="136">
        <f>IF(E438=$Q$16,0,SUM(X438:AI438))</f>
        <v/>
      </c>
      <c r="W438" s="136">
        <f>SUM(AK438:AR438)</f>
        <v/>
      </c>
      <c r="X438" s="136">
        <f>IF(E438=$X$6,1,"")</f>
        <v/>
      </c>
      <c r="Y438" s="136">
        <f>IF(E438=$Y$6,1,"")</f>
        <v/>
      </c>
      <c r="Z438" s="136">
        <f>IF(E438=$Z$6,1,"")</f>
        <v/>
      </c>
      <c r="AA438" s="136">
        <f>IF(E438=$AA$6,1,"")</f>
        <v/>
      </c>
      <c r="AB438" s="136">
        <f>IF(E438=$AB$6,1,"")</f>
        <v/>
      </c>
      <c r="AC438" s="136">
        <f>IF(E438=$AC$6,1,"")</f>
        <v/>
      </c>
      <c r="AD438" s="136">
        <f>IF(E438=$AD$6,1,"")</f>
        <v/>
      </c>
      <c r="AE438" s="136">
        <f>IF(E438=$AE$6,1,"")</f>
        <v/>
      </c>
      <c r="AF438" s="136">
        <f>IF(E438=$AF$6,1,"")</f>
        <v/>
      </c>
      <c r="AG438" s="136">
        <f>IF(E438=$AG$6,1,"")</f>
        <v/>
      </c>
      <c r="AH438" s="136">
        <f>IF(E438=$AH$6,1,"")</f>
        <v/>
      </c>
      <c r="AI438" s="136">
        <f>IF(E438=$AI$6,1,"")</f>
        <v/>
      </c>
      <c r="AJ438" s="136">
        <f>IF(E438=$AJ$6,1,"")</f>
        <v/>
      </c>
      <c r="AK438" s="81">
        <f>IF(E438=$AK$6,1,"")</f>
        <v/>
      </c>
      <c r="AL438" s="81">
        <f>IF(E438=$AL$6,1,"")</f>
        <v/>
      </c>
      <c r="AM438" s="81">
        <f>IF(E438=$AM$6,1,"")</f>
        <v/>
      </c>
      <c r="AN438" s="81">
        <f>IF(E438=$AN$6,1,"")</f>
        <v/>
      </c>
      <c r="AO438" s="81">
        <f>IF(E438=$AO$6,1,"")</f>
        <v/>
      </c>
      <c r="AP438" s="81">
        <f>IF(E438=$AP$6,1,"")</f>
        <v/>
      </c>
      <c r="AQ438" s="81">
        <f>IF(E438=$AQ$6,1,"")</f>
        <v/>
      </c>
      <c r="AR438" s="81">
        <f>IF(E438=$AR$6,1,"")</f>
        <v/>
      </c>
      <c r="AS438" s="81" t="n"/>
    </row>
    <row r="439" ht="15.75" customHeight="1" s="80">
      <c r="A439" s="157" t="n"/>
      <c r="B439" s="124" t="n"/>
      <c r="C439" s="125" t="n"/>
      <c r="D439" s="126" t="n"/>
      <c r="E439" s="127" t="n"/>
      <c r="F439" s="128" t="n"/>
      <c r="G439" s="129">
        <f>IF(F439="","",ROUND(F439/60,2))</f>
        <v/>
      </c>
      <c r="H439" s="130" t="n"/>
      <c r="I439" s="131" t="n"/>
      <c r="J439" s="131">
        <f>IF(COUNTIF(B439:E439,"*")=0,"",IF(T439=1,"Invalid Service",IF(AND(V439=1,F439=""),"Add Session Mins",IF(AND(E439&gt;0,H439="",T439=""),"Enter Contract Rate",IF(AND(E439="IEP mtg, prep, rept",F439&gt;0),(G439*H439),IF(AND(E439&gt;0,F439&gt;0,H439&gt;0,I439=""),"Enter Travel",IF(AND(F439&gt;0,I439="Y"),(G439*H439)+$M$10,IF(AND(F439&gt;0,I439="N"),(G439*H439),H439))))))))</f>
        <v/>
      </c>
      <c r="K439" s="132">
        <f>J439</f>
        <v/>
      </c>
      <c r="L439" s="148" t="n"/>
      <c r="M439" s="148" t="n"/>
      <c r="N439" s="148" t="n"/>
      <c r="O439" s="87" t="n"/>
      <c r="P439" s="81" t="n"/>
      <c r="Q439" s="81" t="n"/>
      <c r="R439" s="81" t="n"/>
      <c r="S439" s="81" t="n"/>
      <c r="T439" s="136">
        <f>IF(AND(E439&gt;0,U439=0),1,"")</f>
        <v/>
      </c>
      <c r="U439" s="136">
        <f>SUM(X439:AR439)</f>
        <v/>
      </c>
      <c r="V439" s="136">
        <f>IF(E439=$Q$16,0,SUM(X439:AI439))</f>
        <v/>
      </c>
      <c r="W439" s="136">
        <f>SUM(AK439:AR439)</f>
        <v/>
      </c>
      <c r="X439" s="136">
        <f>IF(E439=$X$6,1,"")</f>
        <v/>
      </c>
      <c r="Y439" s="136">
        <f>IF(E439=$Y$6,1,"")</f>
        <v/>
      </c>
      <c r="Z439" s="136">
        <f>IF(E439=$Z$6,1,"")</f>
        <v/>
      </c>
      <c r="AA439" s="136">
        <f>IF(E439=$AA$6,1,"")</f>
        <v/>
      </c>
      <c r="AB439" s="136">
        <f>IF(E439=$AB$6,1,"")</f>
        <v/>
      </c>
      <c r="AC439" s="136">
        <f>IF(E439=$AC$6,1,"")</f>
        <v/>
      </c>
      <c r="AD439" s="136">
        <f>IF(E439=$AD$6,1,"")</f>
        <v/>
      </c>
      <c r="AE439" s="136">
        <f>IF(E439=$AE$6,1,"")</f>
        <v/>
      </c>
      <c r="AF439" s="136">
        <f>IF(E439=$AF$6,1,"")</f>
        <v/>
      </c>
      <c r="AG439" s="136">
        <f>IF(E439=$AG$6,1,"")</f>
        <v/>
      </c>
      <c r="AH439" s="136">
        <f>IF(E439=$AH$6,1,"")</f>
        <v/>
      </c>
      <c r="AI439" s="136">
        <f>IF(E439=$AI$6,1,"")</f>
        <v/>
      </c>
      <c r="AJ439" s="136">
        <f>IF(E439=$AJ$6,1,"")</f>
        <v/>
      </c>
      <c r="AK439" s="81">
        <f>IF(E439=$AK$6,1,"")</f>
        <v/>
      </c>
      <c r="AL439" s="81">
        <f>IF(E439=$AL$6,1,"")</f>
        <v/>
      </c>
      <c r="AM439" s="81">
        <f>IF(E439=$AM$6,1,"")</f>
        <v/>
      </c>
      <c r="AN439" s="81">
        <f>IF(E439=$AN$6,1,"")</f>
        <v/>
      </c>
      <c r="AO439" s="81">
        <f>IF(E439=$AO$6,1,"")</f>
        <v/>
      </c>
      <c r="AP439" s="81">
        <f>IF(E439=$AP$6,1,"")</f>
        <v/>
      </c>
      <c r="AQ439" s="81">
        <f>IF(E439=$AQ$6,1,"")</f>
        <v/>
      </c>
      <c r="AR439" s="81">
        <f>IF(E439=$AR$6,1,"")</f>
        <v/>
      </c>
      <c r="AS439" s="81" t="n"/>
    </row>
    <row r="440" ht="15.75" customHeight="1" s="80">
      <c r="A440" s="157" t="n"/>
      <c r="B440" s="124" t="n"/>
      <c r="C440" s="125" t="n"/>
      <c r="D440" s="126" t="n"/>
      <c r="E440" s="127" t="n"/>
      <c r="F440" s="128" t="n"/>
      <c r="G440" s="129">
        <f>IF(F440="","",ROUND(F440/60,2))</f>
        <v/>
      </c>
      <c r="H440" s="130" t="n"/>
      <c r="I440" s="131" t="n"/>
      <c r="J440" s="131">
        <f>IF(COUNTIF(B440:E440,"*")=0,"",IF(T440=1,"Invalid Service",IF(AND(V440=1,F440=""),"Add Session Mins",IF(AND(E440&gt;0,H440="",T440=""),"Enter Contract Rate",IF(AND(E440="IEP mtg, prep, rept",F440&gt;0),(G440*H440),IF(AND(E440&gt;0,F440&gt;0,H440&gt;0,I440=""),"Enter Travel",IF(AND(F440&gt;0,I440="Y"),(G440*H440)+$M$10,IF(AND(F440&gt;0,I440="N"),(G440*H440),H440))))))))</f>
        <v/>
      </c>
      <c r="K440" s="132">
        <f>J440</f>
        <v/>
      </c>
      <c r="L440" s="148" t="n"/>
      <c r="M440" s="148" t="n"/>
      <c r="N440" s="148" t="n"/>
      <c r="O440" s="87" t="n"/>
      <c r="P440" s="81" t="n"/>
      <c r="Q440" s="81" t="n"/>
      <c r="R440" s="81" t="n"/>
      <c r="S440" s="81" t="n"/>
      <c r="T440" s="136">
        <f>IF(AND(E440&gt;0,U440=0),1,"")</f>
        <v/>
      </c>
      <c r="U440" s="136">
        <f>SUM(X440:AR440)</f>
        <v/>
      </c>
      <c r="V440" s="136">
        <f>IF(E440=$Q$16,0,SUM(X440:AI440))</f>
        <v/>
      </c>
      <c r="W440" s="136">
        <f>SUM(AK440:AR440)</f>
        <v/>
      </c>
      <c r="X440" s="136">
        <f>IF(E440=$X$6,1,"")</f>
        <v/>
      </c>
      <c r="Y440" s="136">
        <f>IF(E440=$Y$6,1,"")</f>
        <v/>
      </c>
      <c r="Z440" s="136">
        <f>IF(E440=$Z$6,1,"")</f>
        <v/>
      </c>
      <c r="AA440" s="136">
        <f>IF(E440=$AA$6,1,"")</f>
        <v/>
      </c>
      <c r="AB440" s="136">
        <f>IF(E440=$AB$6,1,"")</f>
        <v/>
      </c>
      <c r="AC440" s="136">
        <f>IF(E440=$AC$6,1,"")</f>
        <v/>
      </c>
      <c r="AD440" s="136">
        <f>IF(E440=$AD$6,1,"")</f>
        <v/>
      </c>
      <c r="AE440" s="136">
        <f>IF(E440=$AE$6,1,"")</f>
        <v/>
      </c>
      <c r="AF440" s="136">
        <f>IF(E440=$AF$6,1,"")</f>
        <v/>
      </c>
      <c r="AG440" s="136">
        <f>IF(E440=$AG$6,1,"")</f>
        <v/>
      </c>
      <c r="AH440" s="136">
        <f>IF(E440=$AH$6,1,"")</f>
        <v/>
      </c>
      <c r="AI440" s="136">
        <f>IF(E440=$AI$6,1,"")</f>
        <v/>
      </c>
      <c r="AJ440" s="136">
        <f>IF(E440=$AJ$6,1,"")</f>
        <v/>
      </c>
      <c r="AK440" s="81">
        <f>IF(E440=$AK$6,1,"")</f>
        <v/>
      </c>
      <c r="AL440" s="81">
        <f>IF(E440=$AL$6,1,"")</f>
        <v/>
      </c>
      <c r="AM440" s="81">
        <f>IF(E440=$AM$6,1,"")</f>
        <v/>
      </c>
      <c r="AN440" s="81">
        <f>IF(E440=$AN$6,1,"")</f>
        <v/>
      </c>
      <c r="AO440" s="81">
        <f>IF(E440=$AO$6,1,"")</f>
        <v/>
      </c>
      <c r="AP440" s="81">
        <f>IF(E440=$AP$6,1,"")</f>
        <v/>
      </c>
      <c r="AQ440" s="81">
        <f>IF(E440=$AQ$6,1,"")</f>
        <v/>
      </c>
      <c r="AR440" s="81">
        <f>IF(E440=$AR$6,1,"")</f>
        <v/>
      </c>
      <c r="AS440" s="81" t="n"/>
    </row>
    <row r="441" ht="15.75" customHeight="1" s="80">
      <c r="A441" s="157" t="n"/>
      <c r="B441" s="124" t="n"/>
      <c r="C441" s="125" t="n"/>
      <c r="D441" s="126" t="n"/>
      <c r="E441" s="127" t="n"/>
      <c r="F441" s="128" t="n"/>
      <c r="G441" s="129">
        <f>IF(F441="","",ROUND(F441/60,2))</f>
        <v/>
      </c>
      <c r="H441" s="130" t="n"/>
      <c r="I441" s="131" t="n"/>
      <c r="J441" s="131">
        <f>IF(COUNTIF(B441:E441,"*")=0,"",IF(T441=1,"Invalid Service",IF(AND(V441=1,F441=""),"Add Session Mins",IF(AND(E441&gt;0,H441="",T441=""),"Enter Contract Rate",IF(AND(E441="IEP mtg, prep, rept",F441&gt;0),(G441*H441),IF(AND(E441&gt;0,F441&gt;0,H441&gt;0,I441=""),"Enter Travel",IF(AND(F441&gt;0,I441="Y"),(G441*H441)+$M$10,IF(AND(F441&gt;0,I441="N"),(G441*H441),H441))))))))</f>
        <v/>
      </c>
      <c r="K441" s="132">
        <f>J441</f>
        <v/>
      </c>
      <c r="L441" s="148" t="n"/>
      <c r="M441" s="148" t="n"/>
      <c r="N441" s="148" t="n"/>
      <c r="O441" s="87" t="n"/>
      <c r="P441" s="81" t="n"/>
      <c r="Q441" s="81" t="n"/>
      <c r="R441" s="81" t="n"/>
      <c r="S441" s="81" t="n"/>
      <c r="T441" s="136">
        <f>IF(AND(E441&gt;0,U441=0),1,"")</f>
        <v/>
      </c>
      <c r="U441" s="136">
        <f>SUM(X441:AR441)</f>
        <v/>
      </c>
      <c r="V441" s="136">
        <f>IF(E441=$Q$16,0,SUM(X441:AI441))</f>
        <v/>
      </c>
      <c r="W441" s="136">
        <f>SUM(AK441:AR441)</f>
        <v/>
      </c>
      <c r="X441" s="136">
        <f>IF(E441=$X$6,1,"")</f>
        <v/>
      </c>
      <c r="Y441" s="136">
        <f>IF(E441=$Y$6,1,"")</f>
        <v/>
      </c>
      <c r="Z441" s="136">
        <f>IF(E441=$Z$6,1,"")</f>
        <v/>
      </c>
      <c r="AA441" s="136">
        <f>IF(E441=$AA$6,1,"")</f>
        <v/>
      </c>
      <c r="AB441" s="136">
        <f>IF(E441=$AB$6,1,"")</f>
        <v/>
      </c>
      <c r="AC441" s="136">
        <f>IF(E441=$AC$6,1,"")</f>
        <v/>
      </c>
      <c r="AD441" s="136">
        <f>IF(E441=$AD$6,1,"")</f>
        <v/>
      </c>
      <c r="AE441" s="136">
        <f>IF(E441=$AE$6,1,"")</f>
        <v/>
      </c>
      <c r="AF441" s="136">
        <f>IF(E441=$AF$6,1,"")</f>
        <v/>
      </c>
      <c r="AG441" s="136">
        <f>IF(E441=$AG$6,1,"")</f>
        <v/>
      </c>
      <c r="AH441" s="136">
        <f>IF(E441=$AH$6,1,"")</f>
        <v/>
      </c>
      <c r="AI441" s="136">
        <f>IF(E441=$AI$6,1,"")</f>
        <v/>
      </c>
      <c r="AJ441" s="136">
        <f>IF(E441=$AJ$6,1,"")</f>
        <v/>
      </c>
      <c r="AK441" s="81">
        <f>IF(E441=$AK$6,1,"")</f>
        <v/>
      </c>
      <c r="AL441" s="81">
        <f>IF(E441=$AL$6,1,"")</f>
        <v/>
      </c>
      <c r="AM441" s="81">
        <f>IF(E441=$AM$6,1,"")</f>
        <v/>
      </c>
      <c r="AN441" s="81">
        <f>IF(E441=$AN$6,1,"")</f>
        <v/>
      </c>
      <c r="AO441" s="81">
        <f>IF(E441=$AO$6,1,"")</f>
        <v/>
      </c>
      <c r="AP441" s="81">
        <f>IF(E441=$AP$6,1,"")</f>
        <v/>
      </c>
      <c r="AQ441" s="81">
        <f>IF(E441=$AQ$6,1,"")</f>
        <v/>
      </c>
      <c r="AR441" s="81">
        <f>IF(E441=$AR$6,1,"")</f>
        <v/>
      </c>
      <c r="AS441" s="81" t="n"/>
    </row>
    <row r="442" ht="15.75" customHeight="1" s="80">
      <c r="A442" s="157" t="n"/>
      <c r="B442" s="124" t="n"/>
      <c r="C442" s="125" t="n"/>
      <c r="D442" s="126" t="n"/>
      <c r="E442" s="127" t="n"/>
      <c r="F442" s="128" t="n"/>
      <c r="G442" s="129">
        <f>IF(F442="","",ROUND(F442/60,2))</f>
        <v/>
      </c>
      <c r="H442" s="130" t="n"/>
      <c r="I442" s="131" t="n"/>
      <c r="J442" s="131">
        <f>IF(COUNTIF(B442:E442,"*")=0,"",IF(T442=1,"Invalid Service",IF(AND(V442=1,F442=""),"Add Session Mins",IF(AND(E442&gt;0,H442="",T442=""),"Enter Contract Rate",IF(AND(E442="IEP mtg, prep, rept",F442&gt;0),(G442*H442),IF(AND(E442&gt;0,F442&gt;0,H442&gt;0,I442=""),"Enter Travel",IF(AND(F442&gt;0,I442="Y"),(G442*H442)+$M$10,IF(AND(F442&gt;0,I442="N"),(G442*H442),H442))))))))</f>
        <v/>
      </c>
      <c r="K442" s="132">
        <f>J442</f>
        <v/>
      </c>
      <c r="L442" s="148" t="n"/>
      <c r="M442" s="148" t="n"/>
      <c r="N442" s="148" t="n"/>
      <c r="O442" s="87" t="n"/>
      <c r="P442" s="81" t="n"/>
      <c r="Q442" s="81" t="n"/>
      <c r="R442" s="81" t="n"/>
      <c r="S442" s="81" t="n"/>
      <c r="T442" s="136">
        <f>IF(AND(E442&gt;0,U442=0),1,"")</f>
        <v/>
      </c>
      <c r="U442" s="136">
        <f>SUM(X442:AR442)</f>
        <v/>
      </c>
      <c r="V442" s="136">
        <f>IF(E442=$Q$16,0,SUM(X442:AI442))</f>
        <v/>
      </c>
      <c r="W442" s="136">
        <f>SUM(AK442:AR442)</f>
        <v/>
      </c>
      <c r="X442" s="136">
        <f>IF(E442=$X$6,1,"")</f>
        <v/>
      </c>
      <c r="Y442" s="136">
        <f>IF(E442=$Y$6,1,"")</f>
        <v/>
      </c>
      <c r="Z442" s="136">
        <f>IF(E442=$Z$6,1,"")</f>
        <v/>
      </c>
      <c r="AA442" s="136">
        <f>IF(E442=$AA$6,1,"")</f>
        <v/>
      </c>
      <c r="AB442" s="136">
        <f>IF(E442=$AB$6,1,"")</f>
        <v/>
      </c>
      <c r="AC442" s="136">
        <f>IF(E442=$AC$6,1,"")</f>
        <v/>
      </c>
      <c r="AD442" s="136">
        <f>IF(E442=$AD$6,1,"")</f>
        <v/>
      </c>
      <c r="AE442" s="136">
        <f>IF(E442=$AE$6,1,"")</f>
        <v/>
      </c>
      <c r="AF442" s="136">
        <f>IF(E442=$AF$6,1,"")</f>
        <v/>
      </c>
      <c r="AG442" s="136">
        <f>IF(E442=$AG$6,1,"")</f>
        <v/>
      </c>
      <c r="AH442" s="136">
        <f>IF(E442=$AH$6,1,"")</f>
        <v/>
      </c>
      <c r="AI442" s="136">
        <f>IF(E442=$AI$6,1,"")</f>
        <v/>
      </c>
      <c r="AJ442" s="136">
        <f>IF(E442=$AJ$6,1,"")</f>
        <v/>
      </c>
      <c r="AK442" s="81">
        <f>IF(E442=$AK$6,1,"")</f>
        <v/>
      </c>
      <c r="AL442" s="81">
        <f>IF(E442=$AL$6,1,"")</f>
        <v/>
      </c>
      <c r="AM442" s="81">
        <f>IF(E442=$AM$6,1,"")</f>
        <v/>
      </c>
      <c r="AN442" s="81">
        <f>IF(E442=$AN$6,1,"")</f>
        <v/>
      </c>
      <c r="AO442" s="81">
        <f>IF(E442=$AO$6,1,"")</f>
        <v/>
      </c>
      <c r="AP442" s="81">
        <f>IF(E442=$AP$6,1,"")</f>
        <v/>
      </c>
      <c r="AQ442" s="81">
        <f>IF(E442=$AQ$6,1,"")</f>
        <v/>
      </c>
      <c r="AR442" s="81">
        <f>IF(E442=$AR$6,1,"")</f>
        <v/>
      </c>
      <c r="AS442" s="81" t="n"/>
    </row>
    <row r="443" ht="15.75" customHeight="1" s="80">
      <c r="A443" s="157" t="n"/>
      <c r="B443" s="124" t="n"/>
      <c r="C443" s="125" t="n"/>
      <c r="D443" s="126" t="n"/>
      <c r="E443" s="127" t="n"/>
      <c r="F443" s="128" t="n"/>
      <c r="G443" s="129">
        <f>IF(F443="","",ROUND(F443/60,2))</f>
        <v/>
      </c>
      <c r="H443" s="130" t="n"/>
      <c r="I443" s="131" t="n"/>
      <c r="J443" s="131">
        <f>IF(COUNTIF(B443:E443,"*")=0,"",IF(T443=1,"Invalid Service",IF(AND(V443=1,F443=""),"Add Session Mins",IF(AND(E443&gt;0,H443="",T443=""),"Enter Contract Rate",IF(AND(E443="IEP mtg, prep, rept",F443&gt;0),(G443*H443),IF(AND(E443&gt;0,F443&gt;0,H443&gt;0,I443=""),"Enter Travel",IF(AND(F443&gt;0,I443="Y"),(G443*H443)+$M$10,IF(AND(F443&gt;0,I443="N"),(G443*H443),H443))))))))</f>
        <v/>
      </c>
      <c r="K443" s="132">
        <f>J443</f>
        <v/>
      </c>
      <c r="L443" s="148" t="n"/>
      <c r="M443" s="148" t="n"/>
      <c r="N443" s="148" t="n"/>
      <c r="O443" s="87" t="n"/>
      <c r="P443" s="81" t="n"/>
      <c r="Q443" s="81" t="n"/>
      <c r="R443" s="81" t="n"/>
      <c r="S443" s="81" t="n"/>
      <c r="T443" s="136">
        <f>IF(AND(E443&gt;0,U443=0),1,"")</f>
        <v/>
      </c>
      <c r="U443" s="136">
        <f>SUM(X443:AR443)</f>
        <v/>
      </c>
      <c r="V443" s="136">
        <f>IF(E443=$Q$16,0,SUM(X443:AI443))</f>
        <v/>
      </c>
      <c r="W443" s="136">
        <f>SUM(AK443:AR443)</f>
        <v/>
      </c>
      <c r="X443" s="136">
        <f>IF(E443=$X$6,1,"")</f>
        <v/>
      </c>
      <c r="Y443" s="136">
        <f>IF(E443=$Y$6,1,"")</f>
        <v/>
      </c>
      <c r="Z443" s="136">
        <f>IF(E443=$Z$6,1,"")</f>
        <v/>
      </c>
      <c r="AA443" s="136">
        <f>IF(E443=$AA$6,1,"")</f>
        <v/>
      </c>
      <c r="AB443" s="136">
        <f>IF(E443=$AB$6,1,"")</f>
        <v/>
      </c>
      <c r="AC443" s="136">
        <f>IF(E443=$AC$6,1,"")</f>
        <v/>
      </c>
      <c r="AD443" s="136">
        <f>IF(E443=$AD$6,1,"")</f>
        <v/>
      </c>
      <c r="AE443" s="136">
        <f>IF(E443=$AE$6,1,"")</f>
        <v/>
      </c>
      <c r="AF443" s="136">
        <f>IF(E443=$AF$6,1,"")</f>
        <v/>
      </c>
      <c r="AG443" s="136">
        <f>IF(E443=$AG$6,1,"")</f>
        <v/>
      </c>
      <c r="AH443" s="136">
        <f>IF(E443=$AH$6,1,"")</f>
        <v/>
      </c>
      <c r="AI443" s="136">
        <f>IF(E443=$AI$6,1,"")</f>
        <v/>
      </c>
      <c r="AJ443" s="136">
        <f>IF(E443=$AJ$6,1,"")</f>
        <v/>
      </c>
      <c r="AK443" s="81">
        <f>IF(E443=$AK$6,1,"")</f>
        <v/>
      </c>
      <c r="AL443" s="81">
        <f>IF(E443=$AL$6,1,"")</f>
        <v/>
      </c>
      <c r="AM443" s="81">
        <f>IF(E443=$AM$6,1,"")</f>
        <v/>
      </c>
      <c r="AN443" s="81">
        <f>IF(E443=$AN$6,1,"")</f>
        <v/>
      </c>
      <c r="AO443" s="81">
        <f>IF(E443=$AO$6,1,"")</f>
        <v/>
      </c>
      <c r="AP443" s="81">
        <f>IF(E443=$AP$6,1,"")</f>
        <v/>
      </c>
      <c r="AQ443" s="81">
        <f>IF(E443=$AQ$6,1,"")</f>
        <v/>
      </c>
      <c r="AR443" s="81">
        <f>IF(E443=$AR$6,1,"")</f>
        <v/>
      </c>
      <c r="AS443" s="81" t="n"/>
    </row>
    <row r="444" ht="15.75" customHeight="1" s="80">
      <c r="A444" s="157" t="n"/>
      <c r="B444" s="124" t="n"/>
      <c r="C444" s="125" t="n"/>
      <c r="D444" s="126" t="n"/>
      <c r="E444" s="127" t="n"/>
      <c r="F444" s="128" t="n"/>
      <c r="G444" s="129">
        <f>IF(F444="","",ROUND(F444/60,2))</f>
        <v/>
      </c>
      <c r="H444" s="130" t="n"/>
      <c r="I444" s="131" t="n"/>
      <c r="J444" s="131">
        <f>IF(COUNTIF(B444:E444,"*")=0,"",IF(T444=1,"Invalid Service",IF(AND(V444=1,F444=""),"Add Session Mins",IF(AND(E444&gt;0,H444="",T444=""),"Enter Contract Rate",IF(AND(E444="IEP mtg, prep, rept",F444&gt;0),(G444*H444),IF(AND(E444&gt;0,F444&gt;0,H444&gt;0,I444=""),"Enter Travel",IF(AND(F444&gt;0,I444="Y"),(G444*H444)+$M$10,IF(AND(F444&gt;0,I444="N"),(G444*H444),H444))))))))</f>
        <v/>
      </c>
      <c r="K444" s="132">
        <f>J444</f>
        <v/>
      </c>
      <c r="L444" s="148" t="n"/>
      <c r="M444" s="148" t="n"/>
      <c r="N444" s="148" t="n"/>
      <c r="O444" s="87" t="n"/>
      <c r="P444" s="81" t="n"/>
      <c r="Q444" s="81" t="n"/>
      <c r="R444" s="81" t="n"/>
      <c r="S444" s="81" t="n"/>
      <c r="T444" s="136">
        <f>IF(AND(E444&gt;0,U444=0),1,"")</f>
        <v/>
      </c>
      <c r="U444" s="136">
        <f>SUM(X444:AR444)</f>
        <v/>
      </c>
      <c r="V444" s="136">
        <f>IF(E444=$Q$16,0,SUM(X444:AI444))</f>
        <v/>
      </c>
      <c r="W444" s="136">
        <f>SUM(AK444:AR444)</f>
        <v/>
      </c>
      <c r="X444" s="136">
        <f>IF(E444=$X$6,1,"")</f>
        <v/>
      </c>
      <c r="Y444" s="136">
        <f>IF(E444=$Y$6,1,"")</f>
        <v/>
      </c>
      <c r="Z444" s="136">
        <f>IF(E444=$Z$6,1,"")</f>
        <v/>
      </c>
      <c r="AA444" s="136">
        <f>IF(E444=$AA$6,1,"")</f>
        <v/>
      </c>
      <c r="AB444" s="136">
        <f>IF(E444=$AB$6,1,"")</f>
        <v/>
      </c>
      <c r="AC444" s="136">
        <f>IF(E444=$AC$6,1,"")</f>
        <v/>
      </c>
      <c r="AD444" s="136">
        <f>IF(E444=$AD$6,1,"")</f>
        <v/>
      </c>
      <c r="AE444" s="136">
        <f>IF(E444=$AE$6,1,"")</f>
        <v/>
      </c>
      <c r="AF444" s="136">
        <f>IF(E444=$AF$6,1,"")</f>
        <v/>
      </c>
      <c r="AG444" s="136">
        <f>IF(E444=$AG$6,1,"")</f>
        <v/>
      </c>
      <c r="AH444" s="136">
        <f>IF(E444=$AH$6,1,"")</f>
        <v/>
      </c>
      <c r="AI444" s="136">
        <f>IF(E444=$AI$6,1,"")</f>
        <v/>
      </c>
      <c r="AJ444" s="136">
        <f>IF(E444=$AJ$6,1,"")</f>
        <v/>
      </c>
      <c r="AK444" s="81">
        <f>IF(E444=$AK$6,1,"")</f>
        <v/>
      </c>
      <c r="AL444" s="81">
        <f>IF(E444=$AL$6,1,"")</f>
        <v/>
      </c>
      <c r="AM444" s="81">
        <f>IF(E444=$AM$6,1,"")</f>
        <v/>
      </c>
      <c r="AN444" s="81">
        <f>IF(E444=$AN$6,1,"")</f>
        <v/>
      </c>
      <c r="AO444" s="81">
        <f>IF(E444=$AO$6,1,"")</f>
        <v/>
      </c>
      <c r="AP444" s="81">
        <f>IF(E444=$AP$6,1,"")</f>
        <v/>
      </c>
      <c r="AQ444" s="81">
        <f>IF(E444=$AQ$6,1,"")</f>
        <v/>
      </c>
      <c r="AR444" s="81">
        <f>IF(E444=$AR$6,1,"")</f>
        <v/>
      </c>
      <c r="AS444" s="81" t="n"/>
    </row>
    <row r="445" ht="15.75" customHeight="1" s="80">
      <c r="A445" s="157" t="n"/>
      <c r="B445" s="124" t="n"/>
      <c r="C445" s="125" t="n"/>
      <c r="D445" s="126" t="n"/>
      <c r="E445" s="127" t="n"/>
      <c r="F445" s="128" t="n"/>
      <c r="G445" s="129">
        <f>IF(F445="","",ROUND(F445/60,2))</f>
        <v/>
      </c>
      <c r="H445" s="130" t="n"/>
      <c r="I445" s="131" t="n"/>
      <c r="J445" s="131">
        <f>IF(COUNTIF(B445:E445,"*")=0,"",IF(T445=1,"Invalid Service",IF(AND(V445=1,F445=""),"Add Session Mins",IF(AND(E445&gt;0,H445="",T445=""),"Enter Contract Rate",IF(AND(E445="IEP mtg, prep, rept",F445&gt;0),(G445*H445),IF(AND(E445&gt;0,F445&gt;0,H445&gt;0,I445=""),"Enter Travel",IF(AND(F445&gt;0,I445="Y"),(G445*H445)+$M$10,IF(AND(F445&gt;0,I445="N"),(G445*H445),H445))))))))</f>
        <v/>
      </c>
      <c r="K445" s="132">
        <f>J445</f>
        <v/>
      </c>
      <c r="L445" s="148" t="n"/>
      <c r="M445" s="148" t="n"/>
      <c r="N445" s="148" t="n"/>
      <c r="O445" s="87" t="n"/>
      <c r="P445" s="81" t="n"/>
      <c r="Q445" s="81" t="n"/>
      <c r="R445" s="81" t="n"/>
      <c r="S445" s="81" t="n"/>
      <c r="T445" s="136">
        <f>IF(AND(E445&gt;0,U445=0),1,"")</f>
        <v/>
      </c>
      <c r="U445" s="136">
        <f>SUM(X445:AR445)</f>
        <v/>
      </c>
      <c r="V445" s="136">
        <f>IF(E445=$Q$16,0,SUM(X445:AI445))</f>
        <v/>
      </c>
      <c r="W445" s="136">
        <f>SUM(AK445:AR445)</f>
        <v/>
      </c>
      <c r="X445" s="136">
        <f>IF(E445=$X$6,1,"")</f>
        <v/>
      </c>
      <c r="Y445" s="136">
        <f>IF(E445=$Y$6,1,"")</f>
        <v/>
      </c>
      <c r="Z445" s="136">
        <f>IF(E445=$Z$6,1,"")</f>
        <v/>
      </c>
      <c r="AA445" s="136">
        <f>IF(E445=$AA$6,1,"")</f>
        <v/>
      </c>
      <c r="AB445" s="136">
        <f>IF(E445=$AB$6,1,"")</f>
        <v/>
      </c>
      <c r="AC445" s="136">
        <f>IF(E445=$AC$6,1,"")</f>
        <v/>
      </c>
      <c r="AD445" s="136">
        <f>IF(E445=$AD$6,1,"")</f>
        <v/>
      </c>
      <c r="AE445" s="136">
        <f>IF(E445=$AE$6,1,"")</f>
        <v/>
      </c>
      <c r="AF445" s="136">
        <f>IF(E445=$AF$6,1,"")</f>
        <v/>
      </c>
      <c r="AG445" s="136">
        <f>IF(E445=$AG$6,1,"")</f>
        <v/>
      </c>
      <c r="AH445" s="136">
        <f>IF(E445=$AH$6,1,"")</f>
        <v/>
      </c>
      <c r="AI445" s="136">
        <f>IF(E445=$AI$6,1,"")</f>
        <v/>
      </c>
      <c r="AJ445" s="136">
        <f>IF(E445=$AJ$6,1,"")</f>
        <v/>
      </c>
      <c r="AK445" s="81">
        <f>IF(E445=$AK$6,1,"")</f>
        <v/>
      </c>
      <c r="AL445" s="81">
        <f>IF(E445=$AL$6,1,"")</f>
        <v/>
      </c>
      <c r="AM445" s="81">
        <f>IF(E445=$AM$6,1,"")</f>
        <v/>
      </c>
      <c r="AN445" s="81">
        <f>IF(E445=$AN$6,1,"")</f>
        <v/>
      </c>
      <c r="AO445" s="81">
        <f>IF(E445=$AO$6,1,"")</f>
        <v/>
      </c>
      <c r="AP445" s="81">
        <f>IF(E445=$AP$6,1,"")</f>
        <v/>
      </c>
      <c r="AQ445" s="81">
        <f>IF(E445=$AQ$6,1,"")</f>
        <v/>
      </c>
      <c r="AR445" s="81">
        <f>IF(E445=$AR$6,1,"")</f>
        <v/>
      </c>
      <c r="AS445" s="81" t="n"/>
    </row>
    <row r="446" ht="15.75" customHeight="1" s="80">
      <c r="A446" s="157" t="n"/>
      <c r="B446" s="124" t="n"/>
      <c r="C446" s="125" t="n"/>
      <c r="D446" s="126" t="n"/>
      <c r="E446" s="127" t="n"/>
      <c r="F446" s="128" t="n"/>
      <c r="G446" s="129">
        <f>IF(F446="","",ROUND(F446/60,2))</f>
        <v/>
      </c>
      <c r="H446" s="130" t="n"/>
      <c r="I446" s="131" t="n"/>
      <c r="J446" s="131">
        <f>IF(COUNTIF(B446:E446,"*")=0,"",IF(T446=1,"Invalid Service",IF(AND(V446=1,F446=""),"Add Session Mins",IF(AND(E446&gt;0,H446="",T446=""),"Enter Contract Rate",IF(AND(E446="IEP mtg, prep, rept",F446&gt;0),(G446*H446),IF(AND(E446&gt;0,F446&gt;0,H446&gt;0,I446=""),"Enter Travel",IF(AND(F446&gt;0,I446="Y"),(G446*H446)+$M$10,IF(AND(F446&gt;0,I446="N"),(G446*H446),H446))))))))</f>
        <v/>
      </c>
      <c r="K446" s="132">
        <f>J446</f>
        <v/>
      </c>
      <c r="L446" s="148" t="n"/>
      <c r="M446" s="148" t="n"/>
      <c r="N446" s="148" t="n"/>
      <c r="O446" s="87" t="n"/>
      <c r="P446" s="81" t="n"/>
      <c r="Q446" s="81" t="n"/>
      <c r="R446" s="81" t="n"/>
      <c r="S446" s="81" t="n"/>
      <c r="T446" s="136">
        <f>IF(AND(E446&gt;0,U446=0),1,"")</f>
        <v/>
      </c>
      <c r="U446" s="136">
        <f>SUM(X446:AR446)</f>
        <v/>
      </c>
      <c r="V446" s="136">
        <f>IF(E446=$Q$16,0,SUM(X446:AI446))</f>
        <v/>
      </c>
      <c r="W446" s="136">
        <f>SUM(AK446:AR446)</f>
        <v/>
      </c>
      <c r="X446" s="136">
        <f>IF(E446=$X$6,1,"")</f>
        <v/>
      </c>
      <c r="Y446" s="136">
        <f>IF(E446=$Y$6,1,"")</f>
        <v/>
      </c>
      <c r="Z446" s="136">
        <f>IF(E446=$Z$6,1,"")</f>
        <v/>
      </c>
      <c r="AA446" s="136">
        <f>IF(E446=$AA$6,1,"")</f>
        <v/>
      </c>
      <c r="AB446" s="136">
        <f>IF(E446=$AB$6,1,"")</f>
        <v/>
      </c>
      <c r="AC446" s="136">
        <f>IF(E446=$AC$6,1,"")</f>
        <v/>
      </c>
      <c r="AD446" s="136">
        <f>IF(E446=$AD$6,1,"")</f>
        <v/>
      </c>
      <c r="AE446" s="136">
        <f>IF(E446=$AE$6,1,"")</f>
        <v/>
      </c>
      <c r="AF446" s="136">
        <f>IF(E446=$AF$6,1,"")</f>
        <v/>
      </c>
      <c r="AG446" s="136">
        <f>IF(E446=$AG$6,1,"")</f>
        <v/>
      </c>
      <c r="AH446" s="136">
        <f>IF(E446=$AH$6,1,"")</f>
        <v/>
      </c>
      <c r="AI446" s="136">
        <f>IF(E446=$AI$6,1,"")</f>
        <v/>
      </c>
      <c r="AJ446" s="136">
        <f>IF(E446=$AJ$6,1,"")</f>
        <v/>
      </c>
      <c r="AK446" s="81">
        <f>IF(E446=$AK$6,1,"")</f>
        <v/>
      </c>
      <c r="AL446" s="81">
        <f>IF(E446=$AL$6,1,"")</f>
        <v/>
      </c>
      <c r="AM446" s="81">
        <f>IF(E446=$AM$6,1,"")</f>
        <v/>
      </c>
      <c r="AN446" s="81">
        <f>IF(E446=$AN$6,1,"")</f>
        <v/>
      </c>
      <c r="AO446" s="81">
        <f>IF(E446=$AO$6,1,"")</f>
        <v/>
      </c>
      <c r="AP446" s="81">
        <f>IF(E446=$AP$6,1,"")</f>
        <v/>
      </c>
      <c r="AQ446" s="81">
        <f>IF(E446=$AQ$6,1,"")</f>
        <v/>
      </c>
      <c r="AR446" s="81">
        <f>IF(E446=$AR$6,1,"")</f>
        <v/>
      </c>
      <c r="AS446" s="81" t="n"/>
    </row>
    <row r="447" ht="15.75" customHeight="1" s="80">
      <c r="A447" s="157" t="n"/>
      <c r="B447" s="124" t="n"/>
      <c r="C447" s="125" t="n"/>
      <c r="D447" s="126" t="n"/>
      <c r="E447" s="127" t="n"/>
      <c r="F447" s="128" t="n"/>
      <c r="G447" s="129">
        <f>IF(F447="","",ROUND(F447/60,2))</f>
        <v/>
      </c>
      <c r="H447" s="130" t="n"/>
      <c r="I447" s="131" t="n"/>
      <c r="J447" s="131">
        <f>IF(COUNTIF(B447:E447,"*")=0,"",IF(T447=1,"Invalid Service",IF(AND(V447=1,F447=""),"Add Session Mins",IF(AND(E447&gt;0,H447="",T447=""),"Enter Contract Rate",IF(AND(E447="IEP mtg, prep, rept",F447&gt;0),(G447*H447),IF(AND(E447&gt;0,F447&gt;0,H447&gt;0,I447=""),"Enter Travel",IF(AND(F447&gt;0,I447="Y"),(G447*H447)+$M$10,IF(AND(F447&gt;0,I447="N"),(G447*H447),H447))))))))</f>
        <v/>
      </c>
      <c r="K447" s="132">
        <f>J447</f>
        <v/>
      </c>
      <c r="L447" s="148" t="n"/>
      <c r="M447" s="148" t="n"/>
      <c r="N447" s="148" t="n"/>
      <c r="O447" s="87" t="n"/>
      <c r="P447" s="81" t="n"/>
      <c r="Q447" s="81" t="n"/>
      <c r="R447" s="81" t="n"/>
      <c r="S447" s="81" t="n"/>
      <c r="T447" s="136">
        <f>IF(AND(E447&gt;0,U447=0),1,"")</f>
        <v/>
      </c>
      <c r="U447" s="136">
        <f>SUM(X447:AR447)</f>
        <v/>
      </c>
      <c r="V447" s="136">
        <f>IF(E447=$Q$16,0,SUM(X447:AI447))</f>
        <v/>
      </c>
      <c r="W447" s="136">
        <f>SUM(AK447:AR447)</f>
        <v/>
      </c>
      <c r="X447" s="136">
        <f>IF(E447=$X$6,1,"")</f>
        <v/>
      </c>
      <c r="Y447" s="136">
        <f>IF(E447=$Y$6,1,"")</f>
        <v/>
      </c>
      <c r="Z447" s="136">
        <f>IF(E447=$Z$6,1,"")</f>
        <v/>
      </c>
      <c r="AA447" s="136">
        <f>IF(E447=$AA$6,1,"")</f>
        <v/>
      </c>
      <c r="AB447" s="136">
        <f>IF(E447=$AB$6,1,"")</f>
        <v/>
      </c>
      <c r="AC447" s="136">
        <f>IF(E447=$AC$6,1,"")</f>
        <v/>
      </c>
      <c r="AD447" s="136">
        <f>IF(E447=$AD$6,1,"")</f>
        <v/>
      </c>
      <c r="AE447" s="136">
        <f>IF(E447=$AE$6,1,"")</f>
        <v/>
      </c>
      <c r="AF447" s="136">
        <f>IF(E447=$AF$6,1,"")</f>
        <v/>
      </c>
      <c r="AG447" s="136">
        <f>IF(E447=$AG$6,1,"")</f>
        <v/>
      </c>
      <c r="AH447" s="136">
        <f>IF(E447=$AH$6,1,"")</f>
        <v/>
      </c>
      <c r="AI447" s="136">
        <f>IF(E447=$AI$6,1,"")</f>
        <v/>
      </c>
      <c r="AJ447" s="136">
        <f>IF(E447=$AJ$6,1,"")</f>
        <v/>
      </c>
      <c r="AK447" s="81">
        <f>IF(E447=$AK$6,1,"")</f>
        <v/>
      </c>
      <c r="AL447" s="81">
        <f>IF(E447=$AL$6,1,"")</f>
        <v/>
      </c>
      <c r="AM447" s="81">
        <f>IF(E447=$AM$6,1,"")</f>
        <v/>
      </c>
      <c r="AN447" s="81">
        <f>IF(E447=$AN$6,1,"")</f>
        <v/>
      </c>
      <c r="AO447" s="81">
        <f>IF(E447=$AO$6,1,"")</f>
        <v/>
      </c>
      <c r="AP447" s="81">
        <f>IF(E447=$AP$6,1,"")</f>
        <v/>
      </c>
      <c r="AQ447" s="81">
        <f>IF(E447=$AQ$6,1,"")</f>
        <v/>
      </c>
      <c r="AR447" s="81">
        <f>IF(E447=$AR$6,1,"")</f>
        <v/>
      </c>
      <c r="AS447" s="81" t="n"/>
    </row>
    <row r="448" ht="15.75" customHeight="1" s="80">
      <c r="A448" s="157" t="n"/>
      <c r="B448" s="124" t="n"/>
      <c r="C448" s="125" t="n"/>
      <c r="D448" s="126" t="n"/>
      <c r="E448" s="127" t="n"/>
      <c r="F448" s="128" t="n"/>
      <c r="G448" s="129">
        <f>IF(F448="","",ROUND(F448/60,2))</f>
        <v/>
      </c>
      <c r="H448" s="130" t="n"/>
      <c r="I448" s="131" t="n"/>
      <c r="J448" s="131">
        <f>IF(COUNTIF(B448:E448,"*")=0,"",IF(T448=1,"Invalid Service",IF(AND(V448=1,F448=""),"Add Session Mins",IF(AND(E448&gt;0,H448="",T448=""),"Enter Contract Rate",IF(AND(E448="IEP mtg, prep, rept",F448&gt;0),(G448*H448),IF(AND(E448&gt;0,F448&gt;0,H448&gt;0,I448=""),"Enter Travel",IF(AND(F448&gt;0,I448="Y"),(G448*H448)+$M$10,IF(AND(F448&gt;0,I448="N"),(G448*H448),H448))))))))</f>
        <v/>
      </c>
      <c r="K448" s="132">
        <f>J448</f>
        <v/>
      </c>
      <c r="L448" s="148" t="n"/>
      <c r="M448" s="148" t="n"/>
      <c r="N448" s="148" t="n"/>
      <c r="O448" s="87" t="n"/>
      <c r="P448" s="81" t="n"/>
      <c r="Q448" s="81" t="n"/>
      <c r="R448" s="81" t="n"/>
      <c r="S448" s="81" t="n"/>
      <c r="T448" s="136">
        <f>IF(AND(E448&gt;0,U448=0),1,"")</f>
        <v/>
      </c>
      <c r="U448" s="136">
        <f>SUM(X448:AR448)</f>
        <v/>
      </c>
      <c r="V448" s="136">
        <f>IF(E448=$Q$16,0,SUM(X448:AI448))</f>
        <v/>
      </c>
      <c r="W448" s="136">
        <f>SUM(AK448:AR448)</f>
        <v/>
      </c>
      <c r="X448" s="136">
        <f>IF(E448=$X$6,1,"")</f>
        <v/>
      </c>
      <c r="Y448" s="136">
        <f>IF(E448=$Y$6,1,"")</f>
        <v/>
      </c>
      <c r="Z448" s="136">
        <f>IF(E448=$Z$6,1,"")</f>
        <v/>
      </c>
      <c r="AA448" s="136">
        <f>IF(E448=$AA$6,1,"")</f>
        <v/>
      </c>
      <c r="AB448" s="136">
        <f>IF(E448=$AB$6,1,"")</f>
        <v/>
      </c>
      <c r="AC448" s="136">
        <f>IF(E448=$AC$6,1,"")</f>
        <v/>
      </c>
      <c r="AD448" s="136">
        <f>IF(E448=$AD$6,1,"")</f>
        <v/>
      </c>
      <c r="AE448" s="136">
        <f>IF(E448=$AE$6,1,"")</f>
        <v/>
      </c>
      <c r="AF448" s="136">
        <f>IF(E448=$AF$6,1,"")</f>
        <v/>
      </c>
      <c r="AG448" s="136">
        <f>IF(E448=$AG$6,1,"")</f>
        <v/>
      </c>
      <c r="AH448" s="136">
        <f>IF(E448=$AH$6,1,"")</f>
        <v/>
      </c>
      <c r="AI448" s="136">
        <f>IF(E448=$AI$6,1,"")</f>
        <v/>
      </c>
      <c r="AJ448" s="136">
        <f>IF(E448=$AJ$6,1,"")</f>
        <v/>
      </c>
      <c r="AK448" s="81">
        <f>IF(E448=$AK$6,1,"")</f>
        <v/>
      </c>
      <c r="AL448" s="81">
        <f>IF(E448=$AL$6,1,"")</f>
        <v/>
      </c>
      <c r="AM448" s="81">
        <f>IF(E448=$AM$6,1,"")</f>
        <v/>
      </c>
      <c r="AN448" s="81">
        <f>IF(E448=$AN$6,1,"")</f>
        <v/>
      </c>
      <c r="AO448" s="81">
        <f>IF(E448=$AO$6,1,"")</f>
        <v/>
      </c>
      <c r="AP448" s="81">
        <f>IF(E448=$AP$6,1,"")</f>
        <v/>
      </c>
      <c r="AQ448" s="81">
        <f>IF(E448=$AQ$6,1,"")</f>
        <v/>
      </c>
      <c r="AR448" s="81">
        <f>IF(E448=$AR$6,1,"")</f>
        <v/>
      </c>
      <c r="AS448" s="81" t="n"/>
    </row>
    <row r="449" ht="15.75" customHeight="1" s="80">
      <c r="A449" s="157" t="n"/>
      <c r="B449" s="124" t="n"/>
      <c r="C449" s="125" t="n"/>
      <c r="D449" s="126" t="n"/>
      <c r="E449" s="127" t="n"/>
      <c r="F449" s="128" t="n"/>
      <c r="G449" s="129">
        <f>IF(F449="","",ROUND(F449/60,2))</f>
        <v/>
      </c>
      <c r="H449" s="130" t="n"/>
      <c r="I449" s="131" t="n"/>
      <c r="J449" s="131">
        <f>IF(COUNTIF(B449:E449,"*")=0,"",IF(T449=1,"Invalid Service",IF(AND(V449=1,F449=""),"Add Session Mins",IF(AND(E449&gt;0,H449="",T449=""),"Enter Contract Rate",IF(AND(E449="IEP mtg, prep, rept",F449&gt;0),(G449*H449),IF(AND(E449&gt;0,F449&gt;0,H449&gt;0,I449=""),"Enter Travel",IF(AND(F449&gt;0,I449="Y"),(G449*H449)+$M$10,IF(AND(F449&gt;0,I449="N"),(G449*H449),H449))))))))</f>
        <v/>
      </c>
      <c r="K449" s="132">
        <f>J449</f>
        <v/>
      </c>
      <c r="L449" s="148" t="n"/>
      <c r="M449" s="148" t="n"/>
      <c r="N449" s="148" t="n"/>
      <c r="O449" s="87" t="n"/>
      <c r="P449" s="81" t="n"/>
      <c r="Q449" s="81" t="n"/>
      <c r="R449" s="81" t="n"/>
      <c r="S449" s="81" t="n"/>
      <c r="T449" s="136">
        <f>IF(AND(E449&gt;0,U449=0),1,"")</f>
        <v/>
      </c>
      <c r="U449" s="136">
        <f>SUM(X449:AR449)</f>
        <v/>
      </c>
      <c r="V449" s="136">
        <f>IF(E449=$Q$16,0,SUM(X449:AI449))</f>
        <v/>
      </c>
      <c r="W449" s="136">
        <f>SUM(AK449:AR449)</f>
        <v/>
      </c>
      <c r="X449" s="136">
        <f>IF(E449=$X$6,1,"")</f>
        <v/>
      </c>
      <c r="Y449" s="136">
        <f>IF(E449=$Y$6,1,"")</f>
        <v/>
      </c>
      <c r="Z449" s="136">
        <f>IF(E449=$Z$6,1,"")</f>
        <v/>
      </c>
      <c r="AA449" s="136">
        <f>IF(E449=$AA$6,1,"")</f>
        <v/>
      </c>
      <c r="AB449" s="136">
        <f>IF(E449=$AB$6,1,"")</f>
        <v/>
      </c>
      <c r="AC449" s="136">
        <f>IF(E449=$AC$6,1,"")</f>
        <v/>
      </c>
      <c r="AD449" s="136">
        <f>IF(E449=$AD$6,1,"")</f>
        <v/>
      </c>
      <c r="AE449" s="136">
        <f>IF(E449=$AE$6,1,"")</f>
        <v/>
      </c>
      <c r="AF449" s="136">
        <f>IF(E449=$AF$6,1,"")</f>
        <v/>
      </c>
      <c r="AG449" s="136">
        <f>IF(E449=$AG$6,1,"")</f>
        <v/>
      </c>
      <c r="AH449" s="136">
        <f>IF(E449=$AH$6,1,"")</f>
        <v/>
      </c>
      <c r="AI449" s="136">
        <f>IF(E449=$AI$6,1,"")</f>
        <v/>
      </c>
      <c r="AJ449" s="136">
        <f>IF(E449=$AJ$6,1,"")</f>
        <v/>
      </c>
      <c r="AK449" s="81">
        <f>IF(E449=$AK$6,1,"")</f>
        <v/>
      </c>
      <c r="AL449" s="81">
        <f>IF(E449=$AL$6,1,"")</f>
        <v/>
      </c>
      <c r="AM449" s="81">
        <f>IF(E449=$AM$6,1,"")</f>
        <v/>
      </c>
      <c r="AN449" s="81">
        <f>IF(E449=$AN$6,1,"")</f>
        <v/>
      </c>
      <c r="AO449" s="81">
        <f>IF(E449=$AO$6,1,"")</f>
        <v/>
      </c>
      <c r="AP449" s="81">
        <f>IF(E449=$AP$6,1,"")</f>
        <v/>
      </c>
      <c r="AQ449" s="81">
        <f>IF(E449=$AQ$6,1,"")</f>
        <v/>
      </c>
      <c r="AR449" s="81">
        <f>IF(E449=$AR$6,1,"")</f>
        <v/>
      </c>
      <c r="AS449" s="81" t="n"/>
    </row>
    <row r="450" ht="15.75" customHeight="1" s="80">
      <c r="A450" s="157" t="n"/>
      <c r="B450" s="124" t="n"/>
      <c r="C450" s="125" t="n"/>
      <c r="D450" s="126" t="n"/>
      <c r="E450" s="127" t="n"/>
      <c r="F450" s="128" t="n"/>
      <c r="G450" s="129">
        <f>IF(F450="","",ROUND(F450/60,2))</f>
        <v/>
      </c>
      <c r="H450" s="130" t="n"/>
      <c r="I450" s="131" t="n"/>
      <c r="J450" s="131">
        <f>IF(COUNTIF(B450:E450,"*")=0,"",IF(T450=1,"Invalid Service",IF(AND(V450=1,F450=""),"Add Session Mins",IF(AND(E450&gt;0,H450="",T450=""),"Enter Contract Rate",IF(AND(E450="IEP mtg, prep, rept",F450&gt;0),(G450*H450),IF(AND(E450&gt;0,F450&gt;0,H450&gt;0,I450=""),"Enter Travel",IF(AND(F450&gt;0,I450="Y"),(G450*H450)+$M$10,IF(AND(F450&gt;0,I450="N"),(G450*H450),H450))))))))</f>
        <v/>
      </c>
      <c r="K450" s="132">
        <f>J450</f>
        <v/>
      </c>
      <c r="L450" s="148" t="n"/>
      <c r="M450" s="148" t="n"/>
      <c r="N450" s="148" t="n"/>
      <c r="O450" s="87" t="n"/>
      <c r="P450" s="81" t="n"/>
      <c r="Q450" s="81" t="n"/>
      <c r="R450" s="81" t="n"/>
      <c r="S450" s="81" t="n"/>
      <c r="T450" s="136">
        <f>IF(AND(E450&gt;0,U450=0),1,"")</f>
        <v/>
      </c>
      <c r="U450" s="136">
        <f>SUM(X450:AR450)</f>
        <v/>
      </c>
      <c r="V450" s="136">
        <f>IF(E450=$Q$16,0,SUM(X450:AI450))</f>
        <v/>
      </c>
      <c r="W450" s="136">
        <f>SUM(AK450:AR450)</f>
        <v/>
      </c>
      <c r="X450" s="136">
        <f>IF(E450=$X$6,1,"")</f>
        <v/>
      </c>
      <c r="Y450" s="136">
        <f>IF(E450=$Y$6,1,"")</f>
        <v/>
      </c>
      <c r="Z450" s="136">
        <f>IF(E450=$Z$6,1,"")</f>
        <v/>
      </c>
      <c r="AA450" s="136">
        <f>IF(E450=$AA$6,1,"")</f>
        <v/>
      </c>
      <c r="AB450" s="136">
        <f>IF(E450=$AB$6,1,"")</f>
        <v/>
      </c>
      <c r="AC450" s="136">
        <f>IF(E450=$AC$6,1,"")</f>
        <v/>
      </c>
      <c r="AD450" s="136">
        <f>IF(E450=$AD$6,1,"")</f>
        <v/>
      </c>
      <c r="AE450" s="136">
        <f>IF(E450=$AE$6,1,"")</f>
        <v/>
      </c>
      <c r="AF450" s="136">
        <f>IF(E450=$AF$6,1,"")</f>
        <v/>
      </c>
      <c r="AG450" s="136">
        <f>IF(E450=$AG$6,1,"")</f>
        <v/>
      </c>
      <c r="AH450" s="136">
        <f>IF(E450=$AH$6,1,"")</f>
        <v/>
      </c>
      <c r="AI450" s="136">
        <f>IF(E450=$AI$6,1,"")</f>
        <v/>
      </c>
      <c r="AJ450" s="136">
        <f>IF(E450=$AJ$6,1,"")</f>
        <v/>
      </c>
      <c r="AK450" s="81">
        <f>IF(E450=$AK$6,1,"")</f>
        <v/>
      </c>
      <c r="AL450" s="81">
        <f>IF(E450=$AL$6,1,"")</f>
        <v/>
      </c>
      <c r="AM450" s="81">
        <f>IF(E450=$AM$6,1,"")</f>
        <v/>
      </c>
      <c r="AN450" s="81">
        <f>IF(E450=$AN$6,1,"")</f>
        <v/>
      </c>
      <c r="AO450" s="81">
        <f>IF(E450=$AO$6,1,"")</f>
        <v/>
      </c>
      <c r="AP450" s="81">
        <f>IF(E450=$AP$6,1,"")</f>
        <v/>
      </c>
      <c r="AQ450" s="81">
        <f>IF(E450=$AQ$6,1,"")</f>
        <v/>
      </c>
      <c r="AR450" s="81">
        <f>IF(E450=$AR$6,1,"")</f>
        <v/>
      </c>
      <c r="AS450" s="81" t="n"/>
    </row>
    <row r="451" ht="15.75" customHeight="1" s="80">
      <c r="A451" s="157" t="n"/>
      <c r="B451" s="124" t="n"/>
      <c r="C451" s="125" t="n"/>
      <c r="D451" s="126" t="n"/>
      <c r="E451" s="127" t="n"/>
      <c r="F451" s="128" t="n"/>
      <c r="G451" s="129">
        <f>IF(F451="","",ROUND(F451/60,2))</f>
        <v/>
      </c>
      <c r="H451" s="130" t="n"/>
      <c r="I451" s="131" t="n"/>
      <c r="J451" s="131">
        <f>IF(COUNTIF(B451:E451,"*")=0,"",IF(T451=1,"Invalid Service",IF(AND(V451=1,F451=""),"Add Session Mins",IF(AND(E451&gt;0,H451="",T451=""),"Enter Contract Rate",IF(AND(E451="IEP mtg, prep, rept",F451&gt;0),(G451*H451),IF(AND(E451&gt;0,F451&gt;0,H451&gt;0,I451=""),"Enter Travel",IF(AND(F451&gt;0,I451="Y"),(G451*H451)+$M$10,IF(AND(F451&gt;0,I451="N"),(G451*H451),H451))))))))</f>
        <v/>
      </c>
      <c r="K451" s="132">
        <f>J451</f>
        <v/>
      </c>
      <c r="L451" s="148" t="n"/>
      <c r="M451" s="148" t="n"/>
      <c r="N451" s="148" t="n"/>
      <c r="O451" s="87" t="n"/>
      <c r="P451" s="81" t="n"/>
      <c r="Q451" s="81" t="n"/>
      <c r="R451" s="81" t="n"/>
      <c r="S451" s="81" t="n"/>
      <c r="T451" s="136">
        <f>IF(AND(E451&gt;0,U451=0),1,"")</f>
        <v/>
      </c>
      <c r="U451" s="136">
        <f>SUM(X451:AR451)</f>
        <v/>
      </c>
      <c r="V451" s="136">
        <f>IF(E451=$Q$16,0,SUM(X451:AI451))</f>
        <v/>
      </c>
      <c r="W451" s="136">
        <f>SUM(AK451:AR451)</f>
        <v/>
      </c>
      <c r="X451" s="136">
        <f>IF(E451=$X$6,1,"")</f>
        <v/>
      </c>
      <c r="Y451" s="136">
        <f>IF(E451=$Y$6,1,"")</f>
        <v/>
      </c>
      <c r="Z451" s="136">
        <f>IF(E451=$Z$6,1,"")</f>
        <v/>
      </c>
      <c r="AA451" s="136">
        <f>IF(E451=$AA$6,1,"")</f>
        <v/>
      </c>
      <c r="AB451" s="136">
        <f>IF(E451=$AB$6,1,"")</f>
        <v/>
      </c>
      <c r="AC451" s="136">
        <f>IF(E451=$AC$6,1,"")</f>
        <v/>
      </c>
      <c r="AD451" s="136">
        <f>IF(E451=$AD$6,1,"")</f>
        <v/>
      </c>
      <c r="AE451" s="136">
        <f>IF(E451=$AE$6,1,"")</f>
        <v/>
      </c>
      <c r="AF451" s="136">
        <f>IF(E451=$AF$6,1,"")</f>
        <v/>
      </c>
      <c r="AG451" s="136">
        <f>IF(E451=$AG$6,1,"")</f>
        <v/>
      </c>
      <c r="AH451" s="136">
        <f>IF(E451=$AH$6,1,"")</f>
        <v/>
      </c>
      <c r="AI451" s="136">
        <f>IF(E451=$AI$6,1,"")</f>
        <v/>
      </c>
      <c r="AJ451" s="136">
        <f>IF(E451=$AJ$6,1,"")</f>
        <v/>
      </c>
      <c r="AK451" s="81">
        <f>IF(E451=$AK$6,1,"")</f>
        <v/>
      </c>
      <c r="AL451" s="81">
        <f>IF(E451=$AL$6,1,"")</f>
        <v/>
      </c>
      <c r="AM451" s="81">
        <f>IF(E451=$AM$6,1,"")</f>
        <v/>
      </c>
      <c r="AN451" s="81">
        <f>IF(E451=$AN$6,1,"")</f>
        <v/>
      </c>
      <c r="AO451" s="81">
        <f>IF(E451=$AO$6,1,"")</f>
        <v/>
      </c>
      <c r="AP451" s="81">
        <f>IF(E451=$AP$6,1,"")</f>
        <v/>
      </c>
      <c r="AQ451" s="81">
        <f>IF(E451=$AQ$6,1,"")</f>
        <v/>
      </c>
      <c r="AR451" s="81">
        <f>IF(E451=$AR$6,1,"")</f>
        <v/>
      </c>
      <c r="AS451" s="81" t="n"/>
    </row>
    <row r="452" ht="15.75" customHeight="1" s="80">
      <c r="A452" s="157" t="n"/>
      <c r="B452" s="124" t="n"/>
      <c r="C452" s="125" t="n"/>
      <c r="D452" s="126" t="n"/>
      <c r="E452" s="127" t="n"/>
      <c r="F452" s="128" t="n"/>
      <c r="G452" s="129">
        <f>IF(F452="","",ROUND(F452/60,2))</f>
        <v/>
      </c>
      <c r="H452" s="130" t="n"/>
      <c r="I452" s="131" t="n"/>
      <c r="J452" s="131">
        <f>IF(COUNTIF(B452:E452,"*")=0,"",IF(T452=1,"Invalid Service",IF(AND(V452=1,F452=""),"Add Session Mins",IF(AND(E452&gt;0,H452="",T452=""),"Enter Contract Rate",IF(AND(E452="IEP mtg, prep, rept",F452&gt;0),(G452*H452),IF(AND(E452&gt;0,F452&gt;0,H452&gt;0,I452=""),"Enter Travel",IF(AND(F452&gt;0,I452="Y"),(G452*H452)+$M$10,IF(AND(F452&gt;0,I452="N"),(G452*H452),H452))))))))</f>
        <v/>
      </c>
      <c r="K452" s="132">
        <f>J452</f>
        <v/>
      </c>
      <c r="L452" s="148" t="n"/>
      <c r="M452" s="148" t="n"/>
      <c r="N452" s="148" t="n"/>
      <c r="O452" s="87" t="n"/>
      <c r="P452" s="81" t="n"/>
      <c r="Q452" s="81" t="n"/>
      <c r="R452" s="81" t="n"/>
      <c r="S452" s="81" t="n"/>
      <c r="T452" s="136">
        <f>IF(AND(E452&gt;0,U452=0),1,"")</f>
        <v/>
      </c>
      <c r="U452" s="136">
        <f>SUM(X452:AR452)</f>
        <v/>
      </c>
      <c r="V452" s="136">
        <f>IF(E452=$Q$16,0,SUM(X452:AI452))</f>
        <v/>
      </c>
      <c r="W452" s="136">
        <f>SUM(AK452:AR452)</f>
        <v/>
      </c>
      <c r="X452" s="136">
        <f>IF(E452=$X$6,1,"")</f>
        <v/>
      </c>
      <c r="Y452" s="136">
        <f>IF(E452=$Y$6,1,"")</f>
        <v/>
      </c>
      <c r="Z452" s="136">
        <f>IF(E452=$Z$6,1,"")</f>
        <v/>
      </c>
      <c r="AA452" s="136">
        <f>IF(E452=$AA$6,1,"")</f>
        <v/>
      </c>
      <c r="AB452" s="136">
        <f>IF(E452=$AB$6,1,"")</f>
        <v/>
      </c>
      <c r="AC452" s="136">
        <f>IF(E452=$AC$6,1,"")</f>
        <v/>
      </c>
      <c r="AD452" s="136">
        <f>IF(E452=$AD$6,1,"")</f>
        <v/>
      </c>
      <c r="AE452" s="136">
        <f>IF(E452=$AE$6,1,"")</f>
        <v/>
      </c>
      <c r="AF452" s="136">
        <f>IF(E452=$AF$6,1,"")</f>
        <v/>
      </c>
      <c r="AG452" s="136">
        <f>IF(E452=$AG$6,1,"")</f>
        <v/>
      </c>
      <c r="AH452" s="136">
        <f>IF(E452=$AH$6,1,"")</f>
        <v/>
      </c>
      <c r="AI452" s="136">
        <f>IF(E452=$AI$6,1,"")</f>
        <v/>
      </c>
      <c r="AJ452" s="136">
        <f>IF(E452=$AJ$6,1,"")</f>
        <v/>
      </c>
      <c r="AK452" s="81">
        <f>IF(E452=$AK$6,1,"")</f>
        <v/>
      </c>
      <c r="AL452" s="81">
        <f>IF(E452=$AL$6,1,"")</f>
        <v/>
      </c>
      <c r="AM452" s="81">
        <f>IF(E452=$AM$6,1,"")</f>
        <v/>
      </c>
      <c r="AN452" s="81">
        <f>IF(E452=$AN$6,1,"")</f>
        <v/>
      </c>
      <c r="AO452" s="81">
        <f>IF(E452=$AO$6,1,"")</f>
        <v/>
      </c>
      <c r="AP452" s="81">
        <f>IF(E452=$AP$6,1,"")</f>
        <v/>
      </c>
      <c r="AQ452" s="81">
        <f>IF(E452=$AQ$6,1,"")</f>
        <v/>
      </c>
      <c r="AR452" s="81">
        <f>IF(E452=$AR$6,1,"")</f>
        <v/>
      </c>
      <c r="AS452" s="81" t="n"/>
    </row>
    <row r="453" ht="15.75" customHeight="1" s="80">
      <c r="A453" s="157" t="n"/>
      <c r="B453" s="124" t="n"/>
      <c r="C453" s="125" t="n"/>
      <c r="D453" s="126" t="n"/>
      <c r="E453" s="127" t="n"/>
      <c r="F453" s="128" t="n"/>
      <c r="G453" s="129">
        <f>IF(F453="","",ROUND(F453/60,2))</f>
        <v/>
      </c>
      <c r="H453" s="130" t="n"/>
      <c r="I453" s="131" t="n"/>
      <c r="J453" s="131">
        <f>IF(COUNTIF(B453:E453,"*")=0,"",IF(T453=1,"Invalid Service",IF(AND(V453=1,F453=""),"Add Session Mins",IF(AND(E453&gt;0,H453="",T453=""),"Enter Contract Rate",IF(AND(E453="IEP mtg, prep, rept",F453&gt;0),(G453*H453),IF(AND(E453&gt;0,F453&gt;0,H453&gt;0,I453=""),"Enter Travel",IF(AND(F453&gt;0,I453="Y"),(G453*H453)+$M$10,IF(AND(F453&gt;0,I453="N"),(G453*H453),H453))))))))</f>
        <v/>
      </c>
      <c r="K453" s="132">
        <f>J453</f>
        <v/>
      </c>
      <c r="L453" s="148" t="n"/>
      <c r="M453" s="148" t="n"/>
      <c r="N453" s="148" t="n"/>
      <c r="O453" s="87" t="n"/>
      <c r="P453" s="81" t="n"/>
      <c r="Q453" s="81" t="n"/>
      <c r="R453" s="81" t="n"/>
      <c r="S453" s="81" t="n"/>
      <c r="T453" s="136">
        <f>IF(AND(E453&gt;0,U453=0),1,"")</f>
        <v/>
      </c>
      <c r="U453" s="136">
        <f>SUM(X453:AR453)</f>
        <v/>
      </c>
      <c r="V453" s="136">
        <f>IF(E453=$Q$16,0,SUM(X453:AI453))</f>
        <v/>
      </c>
      <c r="W453" s="136">
        <f>SUM(AK453:AR453)</f>
        <v/>
      </c>
      <c r="X453" s="136">
        <f>IF(E453=$X$6,1,"")</f>
        <v/>
      </c>
      <c r="Y453" s="136">
        <f>IF(E453=$Y$6,1,"")</f>
        <v/>
      </c>
      <c r="Z453" s="136">
        <f>IF(E453=$Z$6,1,"")</f>
        <v/>
      </c>
      <c r="AA453" s="136">
        <f>IF(E453=$AA$6,1,"")</f>
        <v/>
      </c>
      <c r="AB453" s="136">
        <f>IF(E453=$AB$6,1,"")</f>
        <v/>
      </c>
      <c r="AC453" s="136">
        <f>IF(E453=$AC$6,1,"")</f>
        <v/>
      </c>
      <c r="AD453" s="136">
        <f>IF(E453=$AD$6,1,"")</f>
        <v/>
      </c>
      <c r="AE453" s="136">
        <f>IF(E453=$AE$6,1,"")</f>
        <v/>
      </c>
      <c r="AF453" s="136">
        <f>IF(E453=$AF$6,1,"")</f>
        <v/>
      </c>
      <c r="AG453" s="136">
        <f>IF(E453=$AG$6,1,"")</f>
        <v/>
      </c>
      <c r="AH453" s="136">
        <f>IF(E453=$AH$6,1,"")</f>
        <v/>
      </c>
      <c r="AI453" s="136">
        <f>IF(E453=$AI$6,1,"")</f>
        <v/>
      </c>
      <c r="AJ453" s="136">
        <f>IF(E453=$AJ$6,1,"")</f>
        <v/>
      </c>
      <c r="AK453" s="81">
        <f>IF(E453=$AK$6,1,"")</f>
        <v/>
      </c>
      <c r="AL453" s="81">
        <f>IF(E453=$AL$6,1,"")</f>
        <v/>
      </c>
      <c r="AM453" s="81">
        <f>IF(E453=$AM$6,1,"")</f>
        <v/>
      </c>
      <c r="AN453" s="81">
        <f>IF(E453=$AN$6,1,"")</f>
        <v/>
      </c>
      <c r="AO453" s="81">
        <f>IF(E453=$AO$6,1,"")</f>
        <v/>
      </c>
      <c r="AP453" s="81">
        <f>IF(E453=$AP$6,1,"")</f>
        <v/>
      </c>
      <c r="AQ453" s="81">
        <f>IF(E453=$AQ$6,1,"")</f>
        <v/>
      </c>
      <c r="AR453" s="81">
        <f>IF(E453=$AR$6,1,"")</f>
        <v/>
      </c>
      <c r="AS453" s="81" t="n"/>
    </row>
    <row r="454" ht="15.75" customHeight="1" s="80">
      <c r="A454" s="157" t="n"/>
      <c r="B454" s="124" t="n"/>
      <c r="C454" s="125" t="n"/>
      <c r="D454" s="126" t="n"/>
      <c r="E454" s="127" t="n"/>
      <c r="F454" s="128" t="n"/>
      <c r="G454" s="129">
        <f>IF(F454="","",ROUND(F454/60,2))</f>
        <v/>
      </c>
      <c r="H454" s="130" t="n"/>
      <c r="I454" s="131" t="n"/>
      <c r="J454" s="131">
        <f>IF(COUNTIF(B454:E454,"*")=0,"",IF(T454=1,"Invalid Service",IF(AND(V454=1,F454=""),"Add Session Mins",IF(AND(E454&gt;0,H454="",T454=""),"Enter Contract Rate",IF(AND(E454="IEP mtg, prep, rept",F454&gt;0),(G454*H454),IF(AND(E454&gt;0,F454&gt;0,H454&gt;0,I454=""),"Enter Travel",IF(AND(F454&gt;0,I454="Y"),(G454*H454)+$M$10,IF(AND(F454&gt;0,I454="N"),(G454*H454),H454))))))))</f>
        <v/>
      </c>
      <c r="K454" s="132">
        <f>J454</f>
        <v/>
      </c>
      <c r="L454" s="148" t="n"/>
      <c r="M454" s="148" t="n"/>
      <c r="N454" s="148" t="n"/>
      <c r="O454" s="87" t="n"/>
      <c r="P454" s="81" t="n"/>
      <c r="Q454" s="81" t="n"/>
      <c r="R454" s="81" t="n"/>
      <c r="S454" s="81" t="n"/>
      <c r="T454" s="136">
        <f>IF(AND(E454&gt;0,U454=0),1,"")</f>
        <v/>
      </c>
      <c r="U454" s="136">
        <f>SUM(X454:AR454)</f>
        <v/>
      </c>
      <c r="V454" s="136">
        <f>IF(E454=$Q$16,0,SUM(X454:AI454))</f>
        <v/>
      </c>
      <c r="W454" s="136">
        <f>SUM(AK454:AR454)</f>
        <v/>
      </c>
      <c r="X454" s="136">
        <f>IF(E454=$X$6,1,"")</f>
        <v/>
      </c>
      <c r="Y454" s="136">
        <f>IF(E454=$Y$6,1,"")</f>
        <v/>
      </c>
      <c r="Z454" s="136">
        <f>IF(E454=$Z$6,1,"")</f>
        <v/>
      </c>
      <c r="AA454" s="136">
        <f>IF(E454=$AA$6,1,"")</f>
        <v/>
      </c>
      <c r="AB454" s="136">
        <f>IF(E454=$AB$6,1,"")</f>
        <v/>
      </c>
      <c r="AC454" s="136">
        <f>IF(E454=$AC$6,1,"")</f>
        <v/>
      </c>
      <c r="AD454" s="136">
        <f>IF(E454=$AD$6,1,"")</f>
        <v/>
      </c>
      <c r="AE454" s="136">
        <f>IF(E454=$AE$6,1,"")</f>
        <v/>
      </c>
      <c r="AF454" s="136">
        <f>IF(E454=$AF$6,1,"")</f>
        <v/>
      </c>
      <c r="AG454" s="136">
        <f>IF(E454=$AG$6,1,"")</f>
        <v/>
      </c>
      <c r="AH454" s="136">
        <f>IF(E454=$AH$6,1,"")</f>
        <v/>
      </c>
      <c r="AI454" s="136">
        <f>IF(E454=$AI$6,1,"")</f>
        <v/>
      </c>
      <c r="AJ454" s="136">
        <f>IF(E454=$AJ$6,1,"")</f>
        <v/>
      </c>
      <c r="AK454" s="81">
        <f>IF(E454=$AK$6,1,"")</f>
        <v/>
      </c>
      <c r="AL454" s="81">
        <f>IF(E454=$AL$6,1,"")</f>
        <v/>
      </c>
      <c r="AM454" s="81">
        <f>IF(E454=$AM$6,1,"")</f>
        <v/>
      </c>
      <c r="AN454" s="81">
        <f>IF(E454=$AN$6,1,"")</f>
        <v/>
      </c>
      <c r="AO454" s="81">
        <f>IF(E454=$AO$6,1,"")</f>
        <v/>
      </c>
      <c r="AP454" s="81">
        <f>IF(E454=$AP$6,1,"")</f>
        <v/>
      </c>
      <c r="AQ454" s="81">
        <f>IF(E454=$AQ$6,1,"")</f>
        <v/>
      </c>
      <c r="AR454" s="81">
        <f>IF(E454=$AR$6,1,"")</f>
        <v/>
      </c>
      <c r="AS454" s="81" t="n"/>
    </row>
    <row r="455" ht="15.75" customHeight="1" s="80">
      <c r="A455" s="157" t="n"/>
      <c r="B455" s="124" t="n"/>
      <c r="C455" s="125" t="n"/>
      <c r="D455" s="126" t="n"/>
      <c r="E455" s="127" t="n"/>
      <c r="F455" s="128" t="n"/>
      <c r="G455" s="129">
        <f>IF(F455="","",ROUND(F455/60,2))</f>
        <v/>
      </c>
      <c r="H455" s="130" t="n"/>
      <c r="I455" s="131" t="n"/>
      <c r="J455" s="131">
        <f>IF(COUNTIF(B455:E455,"*")=0,"",IF(T455=1,"Invalid Service",IF(AND(V455=1,F455=""),"Add Session Mins",IF(AND(E455&gt;0,H455="",T455=""),"Enter Contract Rate",IF(AND(E455="IEP mtg, prep, rept",F455&gt;0),(G455*H455),IF(AND(E455&gt;0,F455&gt;0,H455&gt;0,I455=""),"Enter Travel",IF(AND(F455&gt;0,I455="Y"),(G455*H455)+$M$10,IF(AND(F455&gt;0,I455="N"),(G455*H455),H455))))))))</f>
        <v/>
      </c>
      <c r="K455" s="132">
        <f>J455</f>
        <v/>
      </c>
      <c r="L455" s="148" t="n"/>
      <c r="M455" s="148" t="n"/>
      <c r="N455" s="148" t="n"/>
      <c r="O455" s="87" t="n"/>
      <c r="P455" s="81" t="n"/>
      <c r="Q455" s="81" t="n"/>
      <c r="R455" s="81" t="n"/>
      <c r="S455" s="81" t="n"/>
      <c r="T455" s="136">
        <f>IF(AND(E455&gt;0,U455=0),1,"")</f>
        <v/>
      </c>
      <c r="U455" s="136">
        <f>SUM(X455:AR455)</f>
        <v/>
      </c>
      <c r="V455" s="136">
        <f>IF(E455=$Q$16,0,SUM(X455:AI455))</f>
        <v/>
      </c>
      <c r="W455" s="136">
        <f>SUM(AK455:AR455)</f>
        <v/>
      </c>
      <c r="X455" s="136">
        <f>IF(E455=$X$6,1,"")</f>
        <v/>
      </c>
      <c r="Y455" s="136">
        <f>IF(E455=$Y$6,1,"")</f>
        <v/>
      </c>
      <c r="Z455" s="136">
        <f>IF(E455=$Z$6,1,"")</f>
        <v/>
      </c>
      <c r="AA455" s="136">
        <f>IF(E455=$AA$6,1,"")</f>
        <v/>
      </c>
      <c r="AB455" s="136">
        <f>IF(E455=$AB$6,1,"")</f>
        <v/>
      </c>
      <c r="AC455" s="136">
        <f>IF(E455=$AC$6,1,"")</f>
        <v/>
      </c>
      <c r="AD455" s="136">
        <f>IF(E455=$AD$6,1,"")</f>
        <v/>
      </c>
      <c r="AE455" s="136">
        <f>IF(E455=$AE$6,1,"")</f>
        <v/>
      </c>
      <c r="AF455" s="136">
        <f>IF(E455=$AF$6,1,"")</f>
        <v/>
      </c>
      <c r="AG455" s="136">
        <f>IF(E455=$AG$6,1,"")</f>
        <v/>
      </c>
      <c r="AH455" s="136">
        <f>IF(E455=$AH$6,1,"")</f>
        <v/>
      </c>
      <c r="AI455" s="136">
        <f>IF(E455=$AI$6,1,"")</f>
        <v/>
      </c>
      <c r="AJ455" s="136">
        <f>IF(E455=$AJ$6,1,"")</f>
        <v/>
      </c>
      <c r="AK455" s="81">
        <f>IF(E455=$AK$6,1,"")</f>
        <v/>
      </c>
      <c r="AL455" s="81">
        <f>IF(E455=$AL$6,1,"")</f>
        <v/>
      </c>
      <c r="AM455" s="81">
        <f>IF(E455=$AM$6,1,"")</f>
        <v/>
      </c>
      <c r="AN455" s="81">
        <f>IF(E455=$AN$6,1,"")</f>
        <v/>
      </c>
      <c r="AO455" s="81">
        <f>IF(E455=$AO$6,1,"")</f>
        <v/>
      </c>
      <c r="AP455" s="81">
        <f>IF(E455=$AP$6,1,"")</f>
        <v/>
      </c>
      <c r="AQ455" s="81">
        <f>IF(E455=$AQ$6,1,"")</f>
        <v/>
      </c>
      <c r="AR455" s="81">
        <f>IF(E455=$AR$6,1,"")</f>
        <v/>
      </c>
      <c r="AS455" s="81" t="n"/>
    </row>
    <row r="456" ht="15.75" customHeight="1" s="80">
      <c r="A456" s="157" t="n"/>
      <c r="B456" s="124" t="n"/>
      <c r="C456" s="125" t="n"/>
      <c r="D456" s="126" t="n"/>
      <c r="E456" s="127" t="n"/>
      <c r="F456" s="128" t="n"/>
      <c r="G456" s="129">
        <f>IF(F456="","",ROUND(F456/60,2))</f>
        <v/>
      </c>
      <c r="H456" s="130" t="n"/>
      <c r="I456" s="131" t="n"/>
      <c r="J456" s="131">
        <f>IF(COUNTIF(B456:E456,"*")=0,"",IF(T456=1,"Invalid Service",IF(AND(V456=1,F456=""),"Add Session Mins",IF(AND(E456&gt;0,H456="",T456=""),"Enter Contract Rate",IF(AND(E456="IEP mtg, prep, rept",F456&gt;0),(G456*H456),IF(AND(E456&gt;0,F456&gt;0,H456&gt;0,I456=""),"Enter Travel",IF(AND(F456&gt;0,I456="Y"),(G456*H456)+$M$10,IF(AND(F456&gt;0,I456="N"),(G456*H456),H456))))))))</f>
        <v/>
      </c>
      <c r="K456" s="132">
        <f>J456</f>
        <v/>
      </c>
      <c r="L456" s="148" t="n"/>
      <c r="M456" s="148" t="n"/>
      <c r="N456" s="148" t="n"/>
      <c r="O456" s="87" t="n"/>
      <c r="P456" s="81" t="n"/>
      <c r="Q456" s="81" t="n"/>
      <c r="R456" s="81" t="n"/>
      <c r="S456" s="81" t="n"/>
      <c r="T456" s="136">
        <f>IF(AND(E456&gt;0,U456=0),1,"")</f>
        <v/>
      </c>
      <c r="U456" s="136">
        <f>SUM(X456:AR456)</f>
        <v/>
      </c>
      <c r="V456" s="136">
        <f>IF(E456=$Q$16,0,SUM(X456:AI456))</f>
        <v/>
      </c>
      <c r="W456" s="136">
        <f>SUM(AK456:AR456)</f>
        <v/>
      </c>
      <c r="X456" s="136">
        <f>IF(E456=$X$6,1,"")</f>
        <v/>
      </c>
      <c r="Y456" s="136">
        <f>IF(E456=$Y$6,1,"")</f>
        <v/>
      </c>
      <c r="Z456" s="136">
        <f>IF(E456=$Z$6,1,"")</f>
        <v/>
      </c>
      <c r="AA456" s="136">
        <f>IF(E456=$AA$6,1,"")</f>
        <v/>
      </c>
      <c r="AB456" s="136">
        <f>IF(E456=$AB$6,1,"")</f>
        <v/>
      </c>
      <c r="AC456" s="136">
        <f>IF(E456=$AC$6,1,"")</f>
        <v/>
      </c>
      <c r="AD456" s="136">
        <f>IF(E456=$AD$6,1,"")</f>
        <v/>
      </c>
      <c r="AE456" s="136">
        <f>IF(E456=$AE$6,1,"")</f>
        <v/>
      </c>
      <c r="AF456" s="136">
        <f>IF(E456=$AF$6,1,"")</f>
        <v/>
      </c>
      <c r="AG456" s="136">
        <f>IF(E456=$AG$6,1,"")</f>
        <v/>
      </c>
      <c r="AH456" s="136">
        <f>IF(E456=$AH$6,1,"")</f>
        <v/>
      </c>
      <c r="AI456" s="136">
        <f>IF(E456=$AI$6,1,"")</f>
        <v/>
      </c>
      <c r="AJ456" s="136">
        <f>IF(E456=$AJ$6,1,"")</f>
        <v/>
      </c>
      <c r="AK456" s="81">
        <f>IF(E456=$AK$6,1,"")</f>
        <v/>
      </c>
      <c r="AL456" s="81">
        <f>IF(E456=$AL$6,1,"")</f>
        <v/>
      </c>
      <c r="AM456" s="81">
        <f>IF(E456=$AM$6,1,"")</f>
        <v/>
      </c>
      <c r="AN456" s="81">
        <f>IF(E456=$AN$6,1,"")</f>
        <v/>
      </c>
      <c r="AO456" s="81">
        <f>IF(E456=$AO$6,1,"")</f>
        <v/>
      </c>
      <c r="AP456" s="81">
        <f>IF(E456=$AP$6,1,"")</f>
        <v/>
      </c>
      <c r="AQ456" s="81">
        <f>IF(E456=$AQ$6,1,"")</f>
        <v/>
      </c>
      <c r="AR456" s="81">
        <f>IF(E456=$AR$6,1,"")</f>
        <v/>
      </c>
      <c r="AS456" s="81" t="n"/>
    </row>
    <row r="457" ht="15.75" customHeight="1" s="80">
      <c r="A457" s="157" t="n"/>
      <c r="B457" s="124" t="n"/>
      <c r="C457" s="125" t="n"/>
      <c r="D457" s="126" t="n"/>
      <c r="E457" s="127" t="n"/>
      <c r="F457" s="128" t="n"/>
      <c r="G457" s="129">
        <f>IF(F457="","",ROUND(F457/60,2))</f>
        <v/>
      </c>
      <c r="H457" s="130" t="n"/>
      <c r="I457" s="131" t="n"/>
      <c r="J457" s="131">
        <f>IF(COUNTIF(B457:E457,"*")=0,"",IF(T457=1,"Invalid Service",IF(AND(V457=1,F457=""),"Add Session Mins",IF(AND(E457&gt;0,H457="",T457=""),"Enter Contract Rate",IF(AND(E457="IEP mtg, prep, rept",F457&gt;0),(G457*H457),IF(AND(E457&gt;0,F457&gt;0,H457&gt;0,I457=""),"Enter Travel",IF(AND(F457&gt;0,I457="Y"),(G457*H457)+$M$10,IF(AND(F457&gt;0,I457="N"),(G457*H457),H457))))))))</f>
        <v/>
      </c>
      <c r="K457" s="132">
        <f>J457</f>
        <v/>
      </c>
      <c r="L457" s="148" t="n"/>
      <c r="M457" s="148" t="n"/>
      <c r="N457" s="148" t="n"/>
      <c r="O457" s="87" t="n"/>
      <c r="P457" s="81" t="n"/>
      <c r="Q457" s="81" t="n"/>
      <c r="R457" s="81" t="n"/>
      <c r="S457" s="81" t="n"/>
      <c r="T457" s="136">
        <f>IF(AND(E457&gt;0,U457=0),1,"")</f>
        <v/>
      </c>
      <c r="U457" s="136">
        <f>SUM(X457:AR457)</f>
        <v/>
      </c>
      <c r="V457" s="136">
        <f>IF(E457=$Q$16,0,SUM(X457:AI457))</f>
        <v/>
      </c>
      <c r="W457" s="136">
        <f>SUM(AK457:AR457)</f>
        <v/>
      </c>
      <c r="X457" s="136">
        <f>IF(E457=$X$6,1,"")</f>
        <v/>
      </c>
      <c r="Y457" s="136">
        <f>IF(E457=$Y$6,1,"")</f>
        <v/>
      </c>
      <c r="Z457" s="136">
        <f>IF(E457=$Z$6,1,"")</f>
        <v/>
      </c>
      <c r="AA457" s="136">
        <f>IF(E457=$AA$6,1,"")</f>
        <v/>
      </c>
      <c r="AB457" s="136">
        <f>IF(E457=$AB$6,1,"")</f>
        <v/>
      </c>
      <c r="AC457" s="136">
        <f>IF(E457=$AC$6,1,"")</f>
        <v/>
      </c>
      <c r="AD457" s="136">
        <f>IF(E457=$AD$6,1,"")</f>
        <v/>
      </c>
      <c r="AE457" s="136">
        <f>IF(E457=$AE$6,1,"")</f>
        <v/>
      </c>
      <c r="AF457" s="136">
        <f>IF(E457=$AF$6,1,"")</f>
        <v/>
      </c>
      <c r="AG457" s="136">
        <f>IF(E457=$AG$6,1,"")</f>
        <v/>
      </c>
      <c r="AH457" s="136">
        <f>IF(E457=$AH$6,1,"")</f>
        <v/>
      </c>
      <c r="AI457" s="136">
        <f>IF(E457=$AI$6,1,"")</f>
        <v/>
      </c>
      <c r="AJ457" s="136">
        <f>IF(E457=$AJ$6,1,"")</f>
        <v/>
      </c>
      <c r="AK457" s="81">
        <f>IF(E457=$AK$6,1,"")</f>
        <v/>
      </c>
      <c r="AL457" s="81">
        <f>IF(E457=$AL$6,1,"")</f>
        <v/>
      </c>
      <c r="AM457" s="81">
        <f>IF(E457=$AM$6,1,"")</f>
        <v/>
      </c>
      <c r="AN457" s="81">
        <f>IF(E457=$AN$6,1,"")</f>
        <v/>
      </c>
      <c r="AO457" s="81">
        <f>IF(E457=$AO$6,1,"")</f>
        <v/>
      </c>
      <c r="AP457" s="81">
        <f>IF(E457=$AP$6,1,"")</f>
        <v/>
      </c>
      <c r="AQ457" s="81">
        <f>IF(E457=$AQ$6,1,"")</f>
        <v/>
      </c>
      <c r="AR457" s="81">
        <f>IF(E457=$AR$6,1,"")</f>
        <v/>
      </c>
      <c r="AS457" s="81" t="n"/>
    </row>
    <row r="458" ht="15.75" customHeight="1" s="80">
      <c r="A458" s="157" t="n"/>
      <c r="B458" s="124" t="n"/>
      <c r="C458" s="125" t="n"/>
      <c r="D458" s="126" t="n"/>
      <c r="E458" s="127" t="n"/>
      <c r="F458" s="128" t="n"/>
      <c r="G458" s="129">
        <f>IF(F458="","",ROUND(F458/60,2))</f>
        <v/>
      </c>
      <c r="H458" s="130" t="n"/>
      <c r="I458" s="131" t="n"/>
      <c r="J458" s="131">
        <f>IF(COUNTIF(B458:E458,"*")=0,"",IF(T458=1,"Invalid Service",IF(AND(V458=1,F458=""),"Add Session Mins",IF(AND(E458&gt;0,H458="",T458=""),"Enter Contract Rate",IF(AND(E458="IEP mtg, prep, rept",F458&gt;0),(G458*H458),IF(AND(E458&gt;0,F458&gt;0,H458&gt;0,I458=""),"Enter Travel",IF(AND(F458&gt;0,I458="Y"),(G458*H458)+$M$10,IF(AND(F458&gt;0,I458="N"),(G458*H458),H458))))))))</f>
        <v/>
      </c>
      <c r="K458" s="132">
        <f>J458</f>
        <v/>
      </c>
      <c r="L458" s="148" t="n"/>
      <c r="M458" s="148" t="n"/>
      <c r="N458" s="148" t="n"/>
      <c r="O458" s="87" t="n"/>
      <c r="P458" s="81" t="n"/>
      <c r="Q458" s="81" t="n"/>
      <c r="R458" s="81" t="n"/>
      <c r="S458" s="81" t="n"/>
      <c r="T458" s="136">
        <f>IF(AND(E458&gt;0,U458=0),1,"")</f>
        <v/>
      </c>
      <c r="U458" s="136">
        <f>SUM(X458:AR458)</f>
        <v/>
      </c>
      <c r="V458" s="136">
        <f>IF(E458=$Q$16,0,SUM(X458:AI458))</f>
        <v/>
      </c>
      <c r="W458" s="136">
        <f>SUM(AK458:AR458)</f>
        <v/>
      </c>
      <c r="X458" s="136">
        <f>IF(E458=$X$6,1,"")</f>
        <v/>
      </c>
      <c r="Y458" s="136">
        <f>IF(E458=$Y$6,1,"")</f>
        <v/>
      </c>
      <c r="Z458" s="136">
        <f>IF(E458=$Z$6,1,"")</f>
        <v/>
      </c>
      <c r="AA458" s="136">
        <f>IF(E458=$AA$6,1,"")</f>
        <v/>
      </c>
      <c r="AB458" s="136">
        <f>IF(E458=$AB$6,1,"")</f>
        <v/>
      </c>
      <c r="AC458" s="136">
        <f>IF(E458=$AC$6,1,"")</f>
        <v/>
      </c>
      <c r="AD458" s="136">
        <f>IF(E458=$AD$6,1,"")</f>
        <v/>
      </c>
      <c r="AE458" s="136">
        <f>IF(E458=$AE$6,1,"")</f>
        <v/>
      </c>
      <c r="AF458" s="136">
        <f>IF(E458=$AF$6,1,"")</f>
        <v/>
      </c>
      <c r="AG458" s="136">
        <f>IF(E458=$AG$6,1,"")</f>
        <v/>
      </c>
      <c r="AH458" s="136">
        <f>IF(E458=$AH$6,1,"")</f>
        <v/>
      </c>
      <c r="AI458" s="136">
        <f>IF(E458=$AI$6,1,"")</f>
        <v/>
      </c>
      <c r="AJ458" s="136">
        <f>IF(E458=$AJ$6,1,"")</f>
        <v/>
      </c>
      <c r="AK458" s="81">
        <f>IF(E458=$AK$6,1,"")</f>
        <v/>
      </c>
      <c r="AL458" s="81">
        <f>IF(E458=$AL$6,1,"")</f>
        <v/>
      </c>
      <c r="AM458" s="81">
        <f>IF(E458=$AM$6,1,"")</f>
        <v/>
      </c>
      <c r="AN458" s="81">
        <f>IF(E458=$AN$6,1,"")</f>
        <v/>
      </c>
      <c r="AO458" s="81">
        <f>IF(E458=$AO$6,1,"")</f>
        <v/>
      </c>
      <c r="AP458" s="81">
        <f>IF(E458=$AP$6,1,"")</f>
        <v/>
      </c>
      <c r="AQ458" s="81">
        <f>IF(E458=$AQ$6,1,"")</f>
        <v/>
      </c>
      <c r="AR458" s="81">
        <f>IF(E458=$AR$6,1,"")</f>
        <v/>
      </c>
      <c r="AS458" s="81" t="n"/>
    </row>
    <row r="459" ht="15.75" customHeight="1" s="80">
      <c r="A459" s="157" t="n"/>
      <c r="B459" s="124" t="n"/>
      <c r="C459" s="125" t="n"/>
      <c r="D459" s="126" t="n"/>
      <c r="E459" s="127" t="n"/>
      <c r="F459" s="128" t="n"/>
      <c r="G459" s="129">
        <f>IF(F459="","",ROUND(F459/60,2))</f>
        <v/>
      </c>
      <c r="H459" s="130" t="n"/>
      <c r="I459" s="131" t="n"/>
      <c r="J459" s="131">
        <f>IF(COUNTIF(B459:E459,"*")=0,"",IF(T459=1,"Invalid Service",IF(AND(V459=1,F459=""),"Add Session Mins",IF(AND(E459&gt;0,H459="",T459=""),"Enter Contract Rate",IF(AND(E459="IEP mtg, prep, rept",F459&gt;0),(G459*H459),IF(AND(E459&gt;0,F459&gt;0,H459&gt;0,I459=""),"Enter Travel",IF(AND(F459&gt;0,I459="Y"),(G459*H459)+$M$10,IF(AND(F459&gt;0,I459="N"),(G459*H459),H459))))))))</f>
        <v/>
      </c>
      <c r="K459" s="132">
        <f>J459</f>
        <v/>
      </c>
      <c r="L459" s="148" t="n"/>
      <c r="M459" s="148" t="n"/>
      <c r="N459" s="148" t="n"/>
      <c r="O459" s="87" t="n"/>
      <c r="P459" s="81" t="n"/>
      <c r="Q459" s="81" t="n"/>
      <c r="R459" s="81" t="n"/>
      <c r="S459" s="81" t="n"/>
      <c r="T459" s="136">
        <f>IF(AND(E459&gt;0,U459=0),1,"")</f>
        <v/>
      </c>
      <c r="U459" s="136">
        <f>SUM(X459:AR459)</f>
        <v/>
      </c>
      <c r="V459" s="136">
        <f>IF(E459=$Q$16,0,SUM(X459:AI459))</f>
        <v/>
      </c>
      <c r="W459" s="136">
        <f>SUM(AK459:AR459)</f>
        <v/>
      </c>
      <c r="X459" s="136">
        <f>IF(E459=$X$6,1,"")</f>
        <v/>
      </c>
      <c r="Y459" s="136">
        <f>IF(E459=$Y$6,1,"")</f>
        <v/>
      </c>
      <c r="Z459" s="136">
        <f>IF(E459=$Z$6,1,"")</f>
        <v/>
      </c>
      <c r="AA459" s="136">
        <f>IF(E459=$AA$6,1,"")</f>
        <v/>
      </c>
      <c r="AB459" s="136">
        <f>IF(E459=$AB$6,1,"")</f>
        <v/>
      </c>
      <c r="AC459" s="136">
        <f>IF(E459=$AC$6,1,"")</f>
        <v/>
      </c>
      <c r="AD459" s="136">
        <f>IF(E459=$AD$6,1,"")</f>
        <v/>
      </c>
      <c r="AE459" s="136">
        <f>IF(E459=$AE$6,1,"")</f>
        <v/>
      </c>
      <c r="AF459" s="136">
        <f>IF(E459=$AF$6,1,"")</f>
        <v/>
      </c>
      <c r="AG459" s="136">
        <f>IF(E459=$AG$6,1,"")</f>
        <v/>
      </c>
      <c r="AH459" s="136">
        <f>IF(E459=$AH$6,1,"")</f>
        <v/>
      </c>
      <c r="AI459" s="136">
        <f>IF(E459=$AI$6,1,"")</f>
        <v/>
      </c>
      <c r="AJ459" s="136">
        <f>IF(E459=$AJ$6,1,"")</f>
        <v/>
      </c>
      <c r="AK459" s="81">
        <f>IF(E459=$AK$6,1,"")</f>
        <v/>
      </c>
      <c r="AL459" s="81">
        <f>IF(E459=$AL$6,1,"")</f>
        <v/>
      </c>
      <c r="AM459" s="81">
        <f>IF(E459=$AM$6,1,"")</f>
        <v/>
      </c>
      <c r="AN459" s="81">
        <f>IF(E459=$AN$6,1,"")</f>
        <v/>
      </c>
      <c r="AO459" s="81">
        <f>IF(E459=$AO$6,1,"")</f>
        <v/>
      </c>
      <c r="AP459" s="81">
        <f>IF(E459=$AP$6,1,"")</f>
        <v/>
      </c>
      <c r="AQ459" s="81">
        <f>IF(E459=$AQ$6,1,"")</f>
        <v/>
      </c>
      <c r="AR459" s="81">
        <f>IF(E459=$AR$6,1,"")</f>
        <v/>
      </c>
      <c r="AS459" s="81" t="n"/>
    </row>
    <row r="460" ht="15.75" customHeight="1" s="80">
      <c r="A460" s="157" t="n"/>
      <c r="B460" s="124" t="n"/>
      <c r="C460" s="125" t="n"/>
      <c r="D460" s="126" t="n"/>
      <c r="E460" s="127" t="n"/>
      <c r="F460" s="128" t="n"/>
      <c r="G460" s="129">
        <f>IF(F460="","",ROUND(F460/60,2))</f>
        <v/>
      </c>
      <c r="H460" s="130" t="n"/>
      <c r="I460" s="131" t="n"/>
      <c r="J460" s="131">
        <f>IF(COUNTIF(B460:E460,"*")=0,"",IF(T460=1,"Invalid Service",IF(AND(V460=1,F460=""),"Add Session Mins",IF(AND(E460&gt;0,H460="",T460=""),"Enter Contract Rate",IF(AND(E460="IEP mtg, prep, rept",F460&gt;0),(G460*H460),IF(AND(E460&gt;0,F460&gt;0,H460&gt;0,I460=""),"Enter Travel",IF(AND(F460&gt;0,I460="Y"),(G460*H460)+$M$10,IF(AND(F460&gt;0,I460="N"),(G460*H460),H460))))))))</f>
        <v/>
      </c>
      <c r="K460" s="132">
        <f>J460</f>
        <v/>
      </c>
      <c r="L460" s="148" t="n"/>
      <c r="M460" s="148" t="n"/>
      <c r="N460" s="148" t="n"/>
      <c r="O460" s="87" t="n"/>
      <c r="P460" s="81" t="n"/>
      <c r="Q460" s="81" t="n"/>
      <c r="R460" s="81" t="n"/>
      <c r="S460" s="81" t="n"/>
      <c r="T460" s="136">
        <f>IF(AND(E460&gt;0,U460=0),1,"")</f>
        <v/>
      </c>
      <c r="U460" s="136">
        <f>SUM(X460:AR460)</f>
        <v/>
      </c>
      <c r="V460" s="136">
        <f>IF(E460=$Q$16,0,SUM(X460:AI460))</f>
        <v/>
      </c>
      <c r="W460" s="136">
        <f>SUM(AK460:AR460)</f>
        <v/>
      </c>
      <c r="X460" s="136">
        <f>IF(E460=$X$6,1,"")</f>
        <v/>
      </c>
      <c r="Y460" s="136">
        <f>IF(E460=$Y$6,1,"")</f>
        <v/>
      </c>
      <c r="Z460" s="136">
        <f>IF(E460=$Z$6,1,"")</f>
        <v/>
      </c>
      <c r="AA460" s="136">
        <f>IF(E460=$AA$6,1,"")</f>
        <v/>
      </c>
      <c r="AB460" s="136">
        <f>IF(E460=$AB$6,1,"")</f>
        <v/>
      </c>
      <c r="AC460" s="136">
        <f>IF(E460=$AC$6,1,"")</f>
        <v/>
      </c>
      <c r="AD460" s="136">
        <f>IF(E460=$AD$6,1,"")</f>
        <v/>
      </c>
      <c r="AE460" s="136">
        <f>IF(E460=$AE$6,1,"")</f>
        <v/>
      </c>
      <c r="AF460" s="136">
        <f>IF(E460=$AF$6,1,"")</f>
        <v/>
      </c>
      <c r="AG460" s="136">
        <f>IF(E460=$AG$6,1,"")</f>
        <v/>
      </c>
      <c r="AH460" s="136">
        <f>IF(E460=$AH$6,1,"")</f>
        <v/>
      </c>
      <c r="AI460" s="136">
        <f>IF(E460=$AI$6,1,"")</f>
        <v/>
      </c>
      <c r="AJ460" s="136">
        <f>IF(E460=$AJ$6,1,"")</f>
        <v/>
      </c>
      <c r="AK460" s="81">
        <f>IF(E460=$AK$6,1,"")</f>
        <v/>
      </c>
      <c r="AL460" s="81">
        <f>IF(E460=$AL$6,1,"")</f>
        <v/>
      </c>
      <c r="AM460" s="81">
        <f>IF(E460=$AM$6,1,"")</f>
        <v/>
      </c>
      <c r="AN460" s="81">
        <f>IF(E460=$AN$6,1,"")</f>
        <v/>
      </c>
      <c r="AO460" s="81">
        <f>IF(E460=$AO$6,1,"")</f>
        <v/>
      </c>
      <c r="AP460" s="81">
        <f>IF(E460=$AP$6,1,"")</f>
        <v/>
      </c>
      <c r="AQ460" s="81">
        <f>IF(E460=$AQ$6,1,"")</f>
        <v/>
      </c>
      <c r="AR460" s="81">
        <f>IF(E460=$AR$6,1,"")</f>
        <v/>
      </c>
      <c r="AS460" s="81" t="n"/>
    </row>
    <row r="461" ht="15.75" customHeight="1" s="80">
      <c r="A461" s="157" t="n"/>
      <c r="B461" s="124" t="n"/>
      <c r="C461" s="125" t="n"/>
      <c r="D461" s="126" t="n"/>
      <c r="E461" s="127" t="n"/>
      <c r="F461" s="128" t="n"/>
      <c r="G461" s="129">
        <f>IF(F461="","",ROUND(F461/60,2))</f>
        <v/>
      </c>
      <c r="H461" s="130" t="n"/>
      <c r="I461" s="131" t="n"/>
      <c r="J461" s="131">
        <f>IF(COUNTIF(B461:E461,"*")=0,"",IF(T461=1,"Invalid Service",IF(AND(V461=1,F461=""),"Add Session Mins",IF(AND(E461&gt;0,H461="",T461=""),"Enter Contract Rate",IF(AND(E461="IEP mtg, prep, rept",F461&gt;0),(G461*H461),IF(AND(E461&gt;0,F461&gt;0,H461&gt;0,I461=""),"Enter Travel",IF(AND(F461&gt;0,I461="Y"),(G461*H461)+$M$10,IF(AND(F461&gt;0,I461="N"),(G461*H461),H461))))))))</f>
        <v/>
      </c>
      <c r="K461" s="132">
        <f>J461</f>
        <v/>
      </c>
      <c r="L461" s="148" t="n"/>
      <c r="M461" s="148" t="n"/>
      <c r="N461" s="148" t="n"/>
      <c r="O461" s="87" t="n"/>
      <c r="P461" s="81" t="n"/>
      <c r="Q461" s="81" t="n"/>
      <c r="R461" s="81" t="n"/>
      <c r="S461" s="81" t="n"/>
      <c r="T461" s="136">
        <f>IF(AND(E461&gt;0,U461=0),1,"")</f>
        <v/>
      </c>
      <c r="U461" s="136">
        <f>SUM(X461:AR461)</f>
        <v/>
      </c>
      <c r="V461" s="136">
        <f>IF(E461=$Q$16,0,SUM(X461:AI461))</f>
        <v/>
      </c>
      <c r="W461" s="136">
        <f>SUM(AK461:AR461)</f>
        <v/>
      </c>
      <c r="X461" s="136">
        <f>IF(E461=$X$6,1,"")</f>
        <v/>
      </c>
      <c r="Y461" s="136">
        <f>IF(E461=$Y$6,1,"")</f>
        <v/>
      </c>
      <c r="Z461" s="136">
        <f>IF(E461=$Z$6,1,"")</f>
        <v/>
      </c>
      <c r="AA461" s="136">
        <f>IF(E461=$AA$6,1,"")</f>
        <v/>
      </c>
      <c r="AB461" s="136">
        <f>IF(E461=$AB$6,1,"")</f>
        <v/>
      </c>
      <c r="AC461" s="136">
        <f>IF(E461=$AC$6,1,"")</f>
        <v/>
      </c>
      <c r="AD461" s="136">
        <f>IF(E461=$AD$6,1,"")</f>
        <v/>
      </c>
      <c r="AE461" s="136">
        <f>IF(E461=$AE$6,1,"")</f>
        <v/>
      </c>
      <c r="AF461" s="136">
        <f>IF(E461=$AF$6,1,"")</f>
        <v/>
      </c>
      <c r="AG461" s="136">
        <f>IF(E461=$AG$6,1,"")</f>
        <v/>
      </c>
      <c r="AH461" s="136">
        <f>IF(E461=$AH$6,1,"")</f>
        <v/>
      </c>
      <c r="AI461" s="136">
        <f>IF(E461=$AI$6,1,"")</f>
        <v/>
      </c>
      <c r="AJ461" s="136">
        <f>IF(E461=$AJ$6,1,"")</f>
        <v/>
      </c>
      <c r="AK461" s="81">
        <f>IF(E461=$AK$6,1,"")</f>
        <v/>
      </c>
      <c r="AL461" s="81">
        <f>IF(E461=$AL$6,1,"")</f>
        <v/>
      </c>
      <c r="AM461" s="81">
        <f>IF(E461=$AM$6,1,"")</f>
        <v/>
      </c>
      <c r="AN461" s="81">
        <f>IF(E461=$AN$6,1,"")</f>
        <v/>
      </c>
      <c r="AO461" s="81">
        <f>IF(E461=$AO$6,1,"")</f>
        <v/>
      </c>
      <c r="AP461" s="81">
        <f>IF(E461=$AP$6,1,"")</f>
        <v/>
      </c>
      <c r="AQ461" s="81">
        <f>IF(E461=$AQ$6,1,"")</f>
        <v/>
      </c>
      <c r="AR461" s="81">
        <f>IF(E461=$AR$6,1,"")</f>
        <v/>
      </c>
      <c r="AS461" s="81" t="n"/>
    </row>
    <row r="462" ht="15.75" customHeight="1" s="80">
      <c r="A462" s="157" t="n"/>
      <c r="B462" s="124" t="n"/>
      <c r="C462" s="125" t="n"/>
      <c r="D462" s="126" t="n"/>
      <c r="E462" s="127" t="n"/>
      <c r="F462" s="128" t="n"/>
      <c r="G462" s="129">
        <f>IF(F462="","",ROUND(F462/60,2))</f>
        <v/>
      </c>
      <c r="H462" s="130" t="n"/>
      <c r="I462" s="131" t="n"/>
      <c r="J462" s="131">
        <f>IF(COUNTIF(B462:E462,"*")=0,"",IF(T462=1,"Invalid Service",IF(AND(V462=1,F462=""),"Add Session Mins",IF(AND(E462&gt;0,H462="",T462=""),"Enter Contract Rate",IF(AND(E462="IEP mtg, prep, rept",F462&gt;0),(G462*H462),IF(AND(E462&gt;0,F462&gt;0,H462&gt;0,I462=""),"Enter Travel",IF(AND(F462&gt;0,I462="Y"),(G462*H462)+$M$10,IF(AND(F462&gt;0,I462="N"),(G462*H462),H462))))))))</f>
        <v/>
      </c>
      <c r="K462" s="132">
        <f>J462</f>
        <v/>
      </c>
      <c r="L462" s="148" t="n"/>
      <c r="M462" s="148" t="n"/>
      <c r="N462" s="148" t="n"/>
      <c r="O462" s="87" t="n"/>
      <c r="P462" s="81" t="n"/>
      <c r="Q462" s="81" t="n"/>
      <c r="R462" s="81" t="n"/>
      <c r="S462" s="81" t="n"/>
      <c r="T462" s="136">
        <f>IF(AND(E462&gt;0,U462=0),1,"")</f>
        <v/>
      </c>
      <c r="U462" s="136">
        <f>SUM(X462:AR462)</f>
        <v/>
      </c>
      <c r="V462" s="136">
        <f>IF(E462=$Q$16,0,SUM(X462:AI462))</f>
        <v/>
      </c>
      <c r="W462" s="136">
        <f>SUM(AK462:AR462)</f>
        <v/>
      </c>
      <c r="X462" s="136">
        <f>IF(E462=$X$6,1,"")</f>
        <v/>
      </c>
      <c r="Y462" s="136">
        <f>IF(E462=$Y$6,1,"")</f>
        <v/>
      </c>
      <c r="Z462" s="136">
        <f>IF(E462=$Z$6,1,"")</f>
        <v/>
      </c>
      <c r="AA462" s="136">
        <f>IF(E462=$AA$6,1,"")</f>
        <v/>
      </c>
      <c r="AB462" s="136">
        <f>IF(E462=$AB$6,1,"")</f>
        <v/>
      </c>
      <c r="AC462" s="136">
        <f>IF(E462=$AC$6,1,"")</f>
        <v/>
      </c>
      <c r="AD462" s="136">
        <f>IF(E462=$AD$6,1,"")</f>
        <v/>
      </c>
      <c r="AE462" s="136">
        <f>IF(E462=$AE$6,1,"")</f>
        <v/>
      </c>
      <c r="AF462" s="136">
        <f>IF(E462=$AF$6,1,"")</f>
        <v/>
      </c>
      <c r="AG462" s="136">
        <f>IF(E462=$AG$6,1,"")</f>
        <v/>
      </c>
      <c r="AH462" s="136">
        <f>IF(E462=$AH$6,1,"")</f>
        <v/>
      </c>
      <c r="AI462" s="136">
        <f>IF(E462=$AI$6,1,"")</f>
        <v/>
      </c>
      <c r="AJ462" s="136">
        <f>IF(E462=$AJ$6,1,"")</f>
        <v/>
      </c>
      <c r="AK462" s="81">
        <f>IF(E462=$AK$6,1,"")</f>
        <v/>
      </c>
      <c r="AL462" s="81">
        <f>IF(E462=$AL$6,1,"")</f>
        <v/>
      </c>
      <c r="AM462" s="81">
        <f>IF(E462=$AM$6,1,"")</f>
        <v/>
      </c>
      <c r="AN462" s="81">
        <f>IF(E462=$AN$6,1,"")</f>
        <v/>
      </c>
      <c r="AO462" s="81">
        <f>IF(E462=$AO$6,1,"")</f>
        <v/>
      </c>
      <c r="AP462" s="81">
        <f>IF(E462=$AP$6,1,"")</f>
        <v/>
      </c>
      <c r="AQ462" s="81">
        <f>IF(E462=$AQ$6,1,"")</f>
        <v/>
      </c>
      <c r="AR462" s="81">
        <f>IF(E462=$AR$6,1,"")</f>
        <v/>
      </c>
      <c r="AS462" s="81" t="n"/>
    </row>
    <row r="463" ht="15.75" customHeight="1" s="80">
      <c r="A463" s="157" t="n"/>
      <c r="B463" s="124" t="n"/>
      <c r="C463" s="125" t="n"/>
      <c r="D463" s="126" t="n"/>
      <c r="E463" s="127" t="n"/>
      <c r="F463" s="128" t="n"/>
      <c r="G463" s="129">
        <f>IF(F463="","",ROUND(F463/60,2))</f>
        <v/>
      </c>
      <c r="H463" s="130" t="n"/>
      <c r="I463" s="131" t="n"/>
      <c r="J463" s="131">
        <f>IF(COUNTIF(B463:E463,"*")=0,"",IF(T463=1,"Invalid Service",IF(AND(V463=1,F463=""),"Add Session Mins",IF(AND(E463&gt;0,H463="",T463=""),"Enter Contract Rate",IF(AND(E463="IEP mtg, prep, rept",F463&gt;0),(G463*H463),IF(AND(E463&gt;0,F463&gt;0,H463&gt;0,I463=""),"Enter Travel",IF(AND(F463&gt;0,I463="Y"),(G463*H463)+$M$10,IF(AND(F463&gt;0,I463="N"),(G463*H463),H463))))))))</f>
        <v/>
      </c>
      <c r="K463" s="132">
        <f>J463</f>
        <v/>
      </c>
      <c r="L463" s="148" t="n"/>
      <c r="M463" s="148" t="n"/>
      <c r="N463" s="148" t="n"/>
      <c r="O463" s="87" t="n"/>
      <c r="P463" s="81" t="n"/>
      <c r="Q463" s="81" t="n"/>
      <c r="R463" s="81" t="n"/>
      <c r="S463" s="81" t="n"/>
      <c r="T463" s="136">
        <f>IF(AND(E463&gt;0,U463=0),1,"")</f>
        <v/>
      </c>
      <c r="U463" s="136">
        <f>SUM(X463:AR463)</f>
        <v/>
      </c>
      <c r="V463" s="136">
        <f>IF(E463=$Q$16,0,SUM(X463:AI463))</f>
        <v/>
      </c>
      <c r="W463" s="136">
        <f>SUM(AK463:AR463)</f>
        <v/>
      </c>
      <c r="X463" s="136">
        <f>IF(E463=$X$6,1,"")</f>
        <v/>
      </c>
      <c r="Y463" s="136">
        <f>IF(E463=$Y$6,1,"")</f>
        <v/>
      </c>
      <c r="Z463" s="136">
        <f>IF(E463=$Z$6,1,"")</f>
        <v/>
      </c>
      <c r="AA463" s="136">
        <f>IF(E463=$AA$6,1,"")</f>
        <v/>
      </c>
      <c r="AB463" s="136">
        <f>IF(E463=$AB$6,1,"")</f>
        <v/>
      </c>
      <c r="AC463" s="136">
        <f>IF(E463=$AC$6,1,"")</f>
        <v/>
      </c>
      <c r="AD463" s="136">
        <f>IF(E463=$AD$6,1,"")</f>
        <v/>
      </c>
      <c r="AE463" s="136">
        <f>IF(E463=$AE$6,1,"")</f>
        <v/>
      </c>
      <c r="AF463" s="136">
        <f>IF(E463=$AF$6,1,"")</f>
        <v/>
      </c>
      <c r="AG463" s="136">
        <f>IF(E463=$AG$6,1,"")</f>
        <v/>
      </c>
      <c r="AH463" s="136">
        <f>IF(E463=$AH$6,1,"")</f>
        <v/>
      </c>
      <c r="AI463" s="136">
        <f>IF(E463=$AI$6,1,"")</f>
        <v/>
      </c>
      <c r="AJ463" s="136">
        <f>IF(E463=$AJ$6,1,"")</f>
        <v/>
      </c>
      <c r="AK463" s="81">
        <f>IF(E463=$AK$6,1,"")</f>
        <v/>
      </c>
      <c r="AL463" s="81">
        <f>IF(E463=$AL$6,1,"")</f>
        <v/>
      </c>
      <c r="AM463" s="81">
        <f>IF(E463=$AM$6,1,"")</f>
        <v/>
      </c>
      <c r="AN463" s="81">
        <f>IF(E463=$AN$6,1,"")</f>
        <v/>
      </c>
      <c r="AO463" s="81">
        <f>IF(E463=$AO$6,1,"")</f>
        <v/>
      </c>
      <c r="AP463" s="81">
        <f>IF(E463=$AP$6,1,"")</f>
        <v/>
      </c>
      <c r="AQ463" s="81">
        <f>IF(E463=$AQ$6,1,"")</f>
        <v/>
      </c>
      <c r="AR463" s="81">
        <f>IF(E463=$AR$6,1,"")</f>
        <v/>
      </c>
      <c r="AS463" s="81" t="n"/>
    </row>
    <row r="464" ht="15.75" customHeight="1" s="80">
      <c r="A464" s="157" t="n"/>
      <c r="B464" s="124" t="n"/>
      <c r="C464" s="125" t="n"/>
      <c r="D464" s="126" t="n"/>
      <c r="E464" s="127" t="n"/>
      <c r="F464" s="128" t="n"/>
      <c r="G464" s="129">
        <f>IF(F464="","",ROUND(F464/60,2))</f>
        <v/>
      </c>
      <c r="H464" s="130" t="n"/>
      <c r="I464" s="131" t="n"/>
      <c r="J464" s="131">
        <f>IF(COUNTIF(B464:E464,"*")=0,"",IF(T464=1,"Invalid Service",IF(AND(V464=1,F464=""),"Add Session Mins",IF(AND(E464&gt;0,H464="",T464=""),"Enter Contract Rate",IF(AND(E464="IEP mtg, prep, rept",F464&gt;0),(G464*H464),IF(AND(E464&gt;0,F464&gt;0,H464&gt;0,I464=""),"Enter Travel",IF(AND(F464&gt;0,I464="Y"),(G464*H464)+$M$10,IF(AND(F464&gt;0,I464="N"),(G464*H464),H464))))))))</f>
        <v/>
      </c>
      <c r="K464" s="132">
        <f>J464</f>
        <v/>
      </c>
      <c r="L464" s="148" t="n"/>
      <c r="M464" s="148" t="n"/>
      <c r="N464" s="148" t="n"/>
      <c r="O464" s="87" t="n"/>
      <c r="P464" s="81" t="n"/>
      <c r="Q464" s="81" t="n"/>
      <c r="R464" s="81" t="n"/>
      <c r="S464" s="81" t="n"/>
      <c r="T464" s="136">
        <f>IF(AND(E464&gt;0,U464=0),1,"")</f>
        <v/>
      </c>
      <c r="U464" s="136">
        <f>SUM(X464:AR464)</f>
        <v/>
      </c>
      <c r="V464" s="136">
        <f>IF(E464=$Q$16,0,SUM(X464:AI464))</f>
        <v/>
      </c>
      <c r="W464" s="136">
        <f>SUM(AK464:AR464)</f>
        <v/>
      </c>
      <c r="X464" s="136">
        <f>IF(E464=$X$6,1,"")</f>
        <v/>
      </c>
      <c r="Y464" s="136">
        <f>IF(E464=$Y$6,1,"")</f>
        <v/>
      </c>
      <c r="Z464" s="136">
        <f>IF(E464=$Z$6,1,"")</f>
        <v/>
      </c>
      <c r="AA464" s="136">
        <f>IF(E464=$AA$6,1,"")</f>
        <v/>
      </c>
      <c r="AB464" s="136">
        <f>IF(E464=$AB$6,1,"")</f>
        <v/>
      </c>
      <c r="AC464" s="136">
        <f>IF(E464=$AC$6,1,"")</f>
        <v/>
      </c>
      <c r="AD464" s="136">
        <f>IF(E464=$AD$6,1,"")</f>
        <v/>
      </c>
      <c r="AE464" s="136">
        <f>IF(E464=$AE$6,1,"")</f>
        <v/>
      </c>
      <c r="AF464" s="136">
        <f>IF(E464=$AF$6,1,"")</f>
        <v/>
      </c>
      <c r="AG464" s="136">
        <f>IF(E464=$AG$6,1,"")</f>
        <v/>
      </c>
      <c r="AH464" s="136">
        <f>IF(E464=$AH$6,1,"")</f>
        <v/>
      </c>
      <c r="AI464" s="136">
        <f>IF(E464=$AI$6,1,"")</f>
        <v/>
      </c>
      <c r="AJ464" s="136">
        <f>IF(E464=$AJ$6,1,"")</f>
        <v/>
      </c>
      <c r="AK464" s="81">
        <f>IF(E464=$AK$6,1,"")</f>
        <v/>
      </c>
      <c r="AL464" s="81">
        <f>IF(E464=$AL$6,1,"")</f>
        <v/>
      </c>
      <c r="AM464" s="81">
        <f>IF(E464=$AM$6,1,"")</f>
        <v/>
      </c>
      <c r="AN464" s="81">
        <f>IF(E464=$AN$6,1,"")</f>
        <v/>
      </c>
      <c r="AO464" s="81">
        <f>IF(E464=$AO$6,1,"")</f>
        <v/>
      </c>
      <c r="AP464" s="81">
        <f>IF(E464=$AP$6,1,"")</f>
        <v/>
      </c>
      <c r="AQ464" s="81">
        <f>IF(E464=$AQ$6,1,"")</f>
        <v/>
      </c>
      <c r="AR464" s="81">
        <f>IF(E464=$AR$6,1,"")</f>
        <v/>
      </c>
      <c r="AS464" s="81" t="n"/>
    </row>
    <row r="465" ht="15.75" customHeight="1" s="80">
      <c r="A465" s="157" t="n"/>
      <c r="B465" s="124" t="n"/>
      <c r="C465" s="125" t="n"/>
      <c r="D465" s="126" t="n"/>
      <c r="E465" s="127" t="n"/>
      <c r="F465" s="128" t="n"/>
      <c r="G465" s="129">
        <f>IF(F465="","",ROUND(F465/60,2))</f>
        <v/>
      </c>
      <c r="H465" s="130" t="n"/>
      <c r="I465" s="131" t="n"/>
      <c r="J465" s="131">
        <f>IF(COUNTIF(B465:E465,"*")=0,"",IF(T465=1,"Invalid Service",IF(AND(V465=1,F465=""),"Add Session Mins",IF(AND(E465&gt;0,H465="",T465=""),"Enter Contract Rate",IF(AND(E465="IEP mtg, prep, rept",F465&gt;0),(G465*H465),IF(AND(E465&gt;0,F465&gt;0,H465&gt;0,I465=""),"Enter Travel",IF(AND(F465&gt;0,I465="Y"),(G465*H465)+$M$10,IF(AND(F465&gt;0,I465="N"),(G465*H465),H465))))))))</f>
        <v/>
      </c>
      <c r="K465" s="132">
        <f>J465</f>
        <v/>
      </c>
      <c r="L465" s="148" t="n"/>
      <c r="M465" s="148" t="n"/>
      <c r="N465" s="148" t="n"/>
      <c r="O465" s="87" t="n"/>
      <c r="P465" s="81" t="n"/>
      <c r="Q465" s="81" t="n"/>
      <c r="R465" s="81" t="n"/>
      <c r="S465" s="81" t="n"/>
      <c r="T465" s="136">
        <f>IF(AND(E465&gt;0,U465=0),1,"")</f>
        <v/>
      </c>
      <c r="U465" s="136">
        <f>SUM(X465:AR465)</f>
        <v/>
      </c>
      <c r="V465" s="136">
        <f>IF(E465=$Q$16,0,SUM(X465:AI465))</f>
        <v/>
      </c>
      <c r="W465" s="136">
        <f>SUM(AK465:AR465)</f>
        <v/>
      </c>
      <c r="X465" s="136">
        <f>IF(E465=$X$6,1,"")</f>
        <v/>
      </c>
      <c r="Y465" s="136">
        <f>IF(E465=$Y$6,1,"")</f>
        <v/>
      </c>
      <c r="Z465" s="136">
        <f>IF(E465=$Z$6,1,"")</f>
        <v/>
      </c>
      <c r="AA465" s="136">
        <f>IF(E465=$AA$6,1,"")</f>
        <v/>
      </c>
      <c r="AB465" s="136">
        <f>IF(E465=$AB$6,1,"")</f>
        <v/>
      </c>
      <c r="AC465" s="136">
        <f>IF(E465=$AC$6,1,"")</f>
        <v/>
      </c>
      <c r="AD465" s="136">
        <f>IF(E465=$AD$6,1,"")</f>
        <v/>
      </c>
      <c r="AE465" s="136">
        <f>IF(E465=$AE$6,1,"")</f>
        <v/>
      </c>
      <c r="AF465" s="136">
        <f>IF(E465=$AF$6,1,"")</f>
        <v/>
      </c>
      <c r="AG465" s="136">
        <f>IF(E465=$AG$6,1,"")</f>
        <v/>
      </c>
      <c r="AH465" s="136">
        <f>IF(E465=$AH$6,1,"")</f>
        <v/>
      </c>
      <c r="AI465" s="136">
        <f>IF(E465=$AI$6,1,"")</f>
        <v/>
      </c>
      <c r="AJ465" s="136">
        <f>IF(E465=$AJ$6,1,"")</f>
        <v/>
      </c>
      <c r="AK465" s="81">
        <f>IF(E465=$AK$6,1,"")</f>
        <v/>
      </c>
      <c r="AL465" s="81">
        <f>IF(E465=$AL$6,1,"")</f>
        <v/>
      </c>
      <c r="AM465" s="81">
        <f>IF(E465=$AM$6,1,"")</f>
        <v/>
      </c>
      <c r="AN465" s="81">
        <f>IF(E465=$AN$6,1,"")</f>
        <v/>
      </c>
      <c r="AO465" s="81">
        <f>IF(E465=$AO$6,1,"")</f>
        <v/>
      </c>
      <c r="AP465" s="81">
        <f>IF(E465=$AP$6,1,"")</f>
        <v/>
      </c>
      <c r="AQ465" s="81">
        <f>IF(E465=$AQ$6,1,"")</f>
        <v/>
      </c>
      <c r="AR465" s="81">
        <f>IF(E465=$AR$6,1,"")</f>
        <v/>
      </c>
      <c r="AS465" s="81" t="n"/>
    </row>
    <row r="466" ht="15.75" customHeight="1" s="80">
      <c r="A466" s="157" t="n"/>
      <c r="B466" s="124" t="n"/>
      <c r="C466" s="125" t="n"/>
      <c r="D466" s="126" t="n"/>
      <c r="E466" s="127" t="n"/>
      <c r="F466" s="128" t="n"/>
      <c r="G466" s="129">
        <f>IF(F466="","",ROUND(F466/60,2))</f>
        <v/>
      </c>
      <c r="H466" s="130" t="n"/>
      <c r="I466" s="131" t="n"/>
      <c r="J466" s="131">
        <f>IF(COUNTIF(B466:E466,"*")=0,"",IF(T466=1,"Invalid Service",IF(AND(V466=1,F466=""),"Add Session Mins",IF(AND(E466&gt;0,H466="",T466=""),"Enter Contract Rate",IF(AND(E466="IEP mtg, prep, rept",F466&gt;0),(G466*H466),IF(AND(E466&gt;0,F466&gt;0,H466&gt;0,I466=""),"Enter Travel",IF(AND(F466&gt;0,I466="Y"),(G466*H466)+$M$10,IF(AND(F466&gt;0,I466="N"),(G466*H466),H466))))))))</f>
        <v/>
      </c>
      <c r="K466" s="132">
        <f>J466</f>
        <v/>
      </c>
      <c r="L466" s="148" t="n"/>
      <c r="M466" s="148" t="n"/>
      <c r="N466" s="148" t="n"/>
      <c r="O466" s="87" t="n"/>
      <c r="P466" s="81" t="n"/>
      <c r="Q466" s="81" t="n"/>
      <c r="R466" s="81" t="n"/>
      <c r="S466" s="81" t="n"/>
      <c r="T466" s="136">
        <f>IF(AND(E466&gt;0,U466=0),1,"")</f>
        <v/>
      </c>
      <c r="U466" s="136">
        <f>SUM(X466:AR466)</f>
        <v/>
      </c>
      <c r="V466" s="136">
        <f>IF(E466=$Q$16,0,SUM(X466:AI466))</f>
        <v/>
      </c>
      <c r="W466" s="136">
        <f>SUM(AK466:AR466)</f>
        <v/>
      </c>
      <c r="X466" s="136">
        <f>IF(E466=$X$6,1,"")</f>
        <v/>
      </c>
      <c r="Y466" s="136">
        <f>IF(E466=$Y$6,1,"")</f>
        <v/>
      </c>
      <c r="Z466" s="136">
        <f>IF(E466=$Z$6,1,"")</f>
        <v/>
      </c>
      <c r="AA466" s="136">
        <f>IF(E466=$AA$6,1,"")</f>
        <v/>
      </c>
      <c r="AB466" s="136">
        <f>IF(E466=$AB$6,1,"")</f>
        <v/>
      </c>
      <c r="AC466" s="136">
        <f>IF(E466=$AC$6,1,"")</f>
        <v/>
      </c>
      <c r="AD466" s="136">
        <f>IF(E466=$AD$6,1,"")</f>
        <v/>
      </c>
      <c r="AE466" s="136">
        <f>IF(E466=$AE$6,1,"")</f>
        <v/>
      </c>
      <c r="AF466" s="136">
        <f>IF(E466=$AF$6,1,"")</f>
        <v/>
      </c>
      <c r="AG466" s="136">
        <f>IF(E466=$AG$6,1,"")</f>
        <v/>
      </c>
      <c r="AH466" s="136">
        <f>IF(E466=$AH$6,1,"")</f>
        <v/>
      </c>
      <c r="AI466" s="136">
        <f>IF(E466=$AI$6,1,"")</f>
        <v/>
      </c>
      <c r="AJ466" s="136">
        <f>IF(E466=$AJ$6,1,"")</f>
        <v/>
      </c>
      <c r="AK466" s="81">
        <f>IF(E466=$AK$6,1,"")</f>
        <v/>
      </c>
      <c r="AL466" s="81">
        <f>IF(E466=$AL$6,1,"")</f>
        <v/>
      </c>
      <c r="AM466" s="81">
        <f>IF(E466=$AM$6,1,"")</f>
        <v/>
      </c>
      <c r="AN466" s="81">
        <f>IF(E466=$AN$6,1,"")</f>
        <v/>
      </c>
      <c r="AO466" s="81">
        <f>IF(E466=$AO$6,1,"")</f>
        <v/>
      </c>
      <c r="AP466" s="81">
        <f>IF(E466=$AP$6,1,"")</f>
        <v/>
      </c>
      <c r="AQ466" s="81">
        <f>IF(E466=$AQ$6,1,"")</f>
        <v/>
      </c>
      <c r="AR466" s="81">
        <f>IF(E466=$AR$6,1,"")</f>
        <v/>
      </c>
      <c r="AS466" s="81" t="n"/>
    </row>
    <row r="467" ht="15.75" customHeight="1" s="80">
      <c r="A467" s="157" t="n"/>
      <c r="B467" s="124" t="n"/>
      <c r="C467" s="125" t="n"/>
      <c r="D467" s="126" t="n"/>
      <c r="E467" s="127" t="n"/>
      <c r="F467" s="128" t="n"/>
      <c r="G467" s="129">
        <f>IF(F467="","",ROUND(F467/60,2))</f>
        <v/>
      </c>
      <c r="H467" s="130" t="n"/>
      <c r="I467" s="131" t="n"/>
      <c r="J467" s="131">
        <f>IF(COUNTIF(B467:E467,"*")=0,"",IF(T467=1,"Invalid Service",IF(AND(V467=1,F467=""),"Add Session Mins",IF(AND(E467&gt;0,H467="",T467=""),"Enter Contract Rate",IF(AND(E467="IEP mtg, prep, rept",F467&gt;0),(G467*H467),IF(AND(E467&gt;0,F467&gt;0,H467&gt;0,I467=""),"Enter Travel",IF(AND(F467&gt;0,I467="Y"),(G467*H467)+$M$10,IF(AND(F467&gt;0,I467="N"),(G467*H467),H467))))))))</f>
        <v/>
      </c>
      <c r="K467" s="132">
        <f>J467</f>
        <v/>
      </c>
      <c r="L467" s="148" t="n"/>
      <c r="M467" s="148" t="n"/>
      <c r="N467" s="148" t="n"/>
      <c r="O467" s="87" t="n"/>
      <c r="P467" s="81" t="n"/>
      <c r="Q467" s="81" t="n"/>
      <c r="R467" s="81" t="n"/>
      <c r="S467" s="81" t="n"/>
      <c r="T467" s="136">
        <f>IF(AND(E467&gt;0,U467=0),1,"")</f>
        <v/>
      </c>
      <c r="U467" s="136">
        <f>SUM(X467:AR467)</f>
        <v/>
      </c>
      <c r="V467" s="136">
        <f>IF(E467=$Q$16,0,SUM(X467:AI467))</f>
        <v/>
      </c>
      <c r="W467" s="136">
        <f>SUM(AK467:AR467)</f>
        <v/>
      </c>
      <c r="X467" s="136">
        <f>IF(E467=$X$6,1,"")</f>
        <v/>
      </c>
      <c r="Y467" s="136">
        <f>IF(E467=$Y$6,1,"")</f>
        <v/>
      </c>
      <c r="Z467" s="136">
        <f>IF(E467=$Z$6,1,"")</f>
        <v/>
      </c>
      <c r="AA467" s="136">
        <f>IF(E467=$AA$6,1,"")</f>
        <v/>
      </c>
      <c r="AB467" s="136">
        <f>IF(E467=$AB$6,1,"")</f>
        <v/>
      </c>
      <c r="AC467" s="136">
        <f>IF(E467=$AC$6,1,"")</f>
        <v/>
      </c>
      <c r="AD467" s="136">
        <f>IF(E467=$AD$6,1,"")</f>
        <v/>
      </c>
      <c r="AE467" s="136">
        <f>IF(E467=$AE$6,1,"")</f>
        <v/>
      </c>
      <c r="AF467" s="136">
        <f>IF(E467=$AF$6,1,"")</f>
        <v/>
      </c>
      <c r="AG467" s="136">
        <f>IF(E467=$AG$6,1,"")</f>
        <v/>
      </c>
      <c r="AH467" s="136">
        <f>IF(E467=$AH$6,1,"")</f>
        <v/>
      </c>
      <c r="AI467" s="136">
        <f>IF(E467=$AI$6,1,"")</f>
        <v/>
      </c>
      <c r="AJ467" s="136">
        <f>IF(E467=$AJ$6,1,"")</f>
        <v/>
      </c>
      <c r="AK467" s="81">
        <f>IF(E467=$AK$6,1,"")</f>
        <v/>
      </c>
      <c r="AL467" s="81">
        <f>IF(E467=$AL$6,1,"")</f>
        <v/>
      </c>
      <c r="AM467" s="81">
        <f>IF(E467=$AM$6,1,"")</f>
        <v/>
      </c>
      <c r="AN467" s="81">
        <f>IF(E467=$AN$6,1,"")</f>
        <v/>
      </c>
      <c r="AO467" s="81">
        <f>IF(E467=$AO$6,1,"")</f>
        <v/>
      </c>
      <c r="AP467" s="81">
        <f>IF(E467=$AP$6,1,"")</f>
        <v/>
      </c>
      <c r="AQ467" s="81">
        <f>IF(E467=$AQ$6,1,"")</f>
        <v/>
      </c>
      <c r="AR467" s="81">
        <f>IF(E467=$AR$6,1,"")</f>
        <v/>
      </c>
      <c r="AS467" s="81" t="n"/>
    </row>
    <row r="468" ht="15.75" customHeight="1" s="80">
      <c r="A468" s="157" t="n"/>
      <c r="B468" s="124" t="n"/>
      <c r="C468" s="125" t="n"/>
      <c r="D468" s="126" t="n"/>
      <c r="E468" s="127" t="n"/>
      <c r="F468" s="128" t="n"/>
      <c r="G468" s="129">
        <f>IF(F468="","",ROUND(F468/60,2))</f>
        <v/>
      </c>
      <c r="H468" s="130" t="n"/>
      <c r="I468" s="131" t="n"/>
      <c r="J468" s="131">
        <f>IF(COUNTIF(B468:E468,"*")=0,"",IF(T468=1,"Invalid Service",IF(AND(V468=1,F468=""),"Add Session Mins",IF(AND(E468&gt;0,H468="",T468=""),"Enter Contract Rate",IF(AND(E468="IEP mtg, prep, rept",F468&gt;0),(G468*H468),IF(AND(E468&gt;0,F468&gt;0,H468&gt;0,I468=""),"Enter Travel",IF(AND(F468&gt;0,I468="Y"),(G468*H468)+$M$10,IF(AND(F468&gt;0,I468="N"),(G468*H468),H468))))))))</f>
        <v/>
      </c>
      <c r="K468" s="132">
        <f>J468</f>
        <v/>
      </c>
      <c r="L468" s="148" t="n"/>
      <c r="M468" s="148" t="n"/>
      <c r="N468" s="148" t="n"/>
      <c r="O468" s="87" t="n"/>
      <c r="P468" s="81" t="n"/>
      <c r="Q468" s="81" t="n"/>
      <c r="R468" s="81" t="n"/>
      <c r="S468" s="81" t="n"/>
      <c r="T468" s="136">
        <f>IF(AND(E468&gt;0,U468=0),1,"")</f>
        <v/>
      </c>
      <c r="U468" s="136">
        <f>SUM(X468:AR468)</f>
        <v/>
      </c>
      <c r="V468" s="136">
        <f>IF(E468=$Q$16,0,SUM(X468:AI468))</f>
        <v/>
      </c>
      <c r="W468" s="136">
        <f>SUM(AK468:AR468)</f>
        <v/>
      </c>
      <c r="X468" s="136">
        <f>IF(E468=$X$6,1,"")</f>
        <v/>
      </c>
      <c r="Y468" s="136">
        <f>IF(E468=$Y$6,1,"")</f>
        <v/>
      </c>
      <c r="Z468" s="136">
        <f>IF(E468=$Z$6,1,"")</f>
        <v/>
      </c>
      <c r="AA468" s="136">
        <f>IF(E468=$AA$6,1,"")</f>
        <v/>
      </c>
      <c r="AB468" s="136">
        <f>IF(E468=$AB$6,1,"")</f>
        <v/>
      </c>
      <c r="AC468" s="136">
        <f>IF(E468=$AC$6,1,"")</f>
        <v/>
      </c>
      <c r="AD468" s="136">
        <f>IF(E468=$AD$6,1,"")</f>
        <v/>
      </c>
      <c r="AE468" s="136">
        <f>IF(E468=$AE$6,1,"")</f>
        <v/>
      </c>
      <c r="AF468" s="136">
        <f>IF(E468=$AF$6,1,"")</f>
        <v/>
      </c>
      <c r="AG468" s="136">
        <f>IF(E468=$AG$6,1,"")</f>
        <v/>
      </c>
      <c r="AH468" s="136">
        <f>IF(E468=$AH$6,1,"")</f>
        <v/>
      </c>
      <c r="AI468" s="136">
        <f>IF(E468=$AI$6,1,"")</f>
        <v/>
      </c>
      <c r="AJ468" s="136">
        <f>IF(E468=$AJ$6,1,"")</f>
        <v/>
      </c>
      <c r="AK468" s="81">
        <f>IF(E468=$AK$6,1,"")</f>
        <v/>
      </c>
      <c r="AL468" s="81">
        <f>IF(E468=$AL$6,1,"")</f>
        <v/>
      </c>
      <c r="AM468" s="81">
        <f>IF(E468=$AM$6,1,"")</f>
        <v/>
      </c>
      <c r="AN468" s="81">
        <f>IF(E468=$AN$6,1,"")</f>
        <v/>
      </c>
      <c r="AO468" s="81">
        <f>IF(E468=$AO$6,1,"")</f>
        <v/>
      </c>
      <c r="AP468" s="81">
        <f>IF(E468=$AP$6,1,"")</f>
        <v/>
      </c>
      <c r="AQ468" s="81">
        <f>IF(E468=$AQ$6,1,"")</f>
        <v/>
      </c>
      <c r="AR468" s="81">
        <f>IF(E468=$AR$6,1,"")</f>
        <v/>
      </c>
      <c r="AS468" s="81" t="n"/>
    </row>
    <row r="469" ht="15.75" customHeight="1" s="80">
      <c r="A469" s="157" t="n"/>
      <c r="B469" s="124" t="n"/>
      <c r="C469" s="125" t="n"/>
      <c r="D469" s="126" t="n"/>
      <c r="E469" s="127" t="n"/>
      <c r="F469" s="128" t="n"/>
      <c r="G469" s="129">
        <f>IF(F469="","",ROUND(F469/60,2))</f>
        <v/>
      </c>
      <c r="H469" s="130" t="n"/>
      <c r="I469" s="131" t="n"/>
      <c r="J469" s="131">
        <f>IF(COUNTIF(B469:E469,"*")=0,"",IF(T469=1,"Invalid Service",IF(AND(V469=1,F469=""),"Add Session Mins",IF(AND(E469&gt;0,H469="",T469=""),"Enter Contract Rate",IF(AND(E469="IEP mtg, prep, rept",F469&gt;0),(G469*H469),IF(AND(E469&gt;0,F469&gt;0,H469&gt;0,I469=""),"Enter Travel",IF(AND(F469&gt;0,I469="Y"),(G469*H469)+$M$10,IF(AND(F469&gt;0,I469="N"),(G469*H469),H469))))))))</f>
        <v/>
      </c>
      <c r="K469" s="132">
        <f>J469</f>
        <v/>
      </c>
      <c r="L469" s="148" t="n"/>
      <c r="M469" s="148" t="n"/>
      <c r="N469" s="148" t="n"/>
      <c r="O469" s="87" t="n"/>
      <c r="P469" s="81" t="n"/>
      <c r="Q469" s="81" t="n"/>
      <c r="R469" s="81" t="n"/>
      <c r="S469" s="81" t="n"/>
      <c r="T469" s="136">
        <f>IF(AND(E469&gt;0,U469=0),1,"")</f>
        <v/>
      </c>
      <c r="U469" s="136">
        <f>SUM(X469:AR469)</f>
        <v/>
      </c>
      <c r="V469" s="136">
        <f>IF(E469=$Q$16,0,SUM(X469:AI469))</f>
        <v/>
      </c>
      <c r="W469" s="136">
        <f>SUM(AK469:AR469)</f>
        <v/>
      </c>
      <c r="X469" s="136">
        <f>IF(E469=$X$6,1,"")</f>
        <v/>
      </c>
      <c r="Y469" s="136">
        <f>IF(E469=$Y$6,1,"")</f>
        <v/>
      </c>
      <c r="Z469" s="136">
        <f>IF(E469=$Z$6,1,"")</f>
        <v/>
      </c>
      <c r="AA469" s="136">
        <f>IF(E469=$AA$6,1,"")</f>
        <v/>
      </c>
      <c r="AB469" s="136">
        <f>IF(E469=$AB$6,1,"")</f>
        <v/>
      </c>
      <c r="AC469" s="136">
        <f>IF(E469=$AC$6,1,"")</f>
        <v/>
      </c>
      <c r="AD469" s="136">
        <f>IF(E469=$AD$6,1,"")</f>
        <v/>
      </c>
      <c r="AE469" s="136">
        <f>IF(E469=$AE$6,1,"")</f>
        <v/>
      </c>
      <c r="AF469" s="136">
        <f>IF(E469=$AF$6,1,"")</f>
        <v/>
      </c>
      <c r="AG469" s="136">
        <f>IF(E469=$AG$6,1,"")</f>
        <v/>
      </c>
      <c r="AH469" s="136">
        <f>IF(E469=$AH$6,1,"")</f>
        <v/>
      </c>
      <c r="AI469" s="136">
        <f>IF(E469=$AI$6,1,"")</f>
        <v/>
      </c>
      <c r="AJ469" s="136">
        <f>IF(E469=$AJ$6,1,"")</f>
        <v/>
      </c>
      <c r="AK469" s="81">
        <f>IF(E469=$AK$6,1,"")</f>
        <v/>
      </c>
      <c r="AL469" s="81">
        <f>IF(E469=$AL$6,1,"")</f>
        <v/>
      </c>
      <c r="AM469" s="81">
        <f>IF(E469=$AM$6,1,"")</f>
        <v/>
      </c>
      <c r="AN469" s="81">
        <f>IF(E469=$AN$6,1,"")</f>
        <v/>
      </c>
      <c r="AO469" s="81">
        <f>IF(E469=$AO$6,1,"")</f>
        <v/>
      </c>
      <c r="AP469" s="81">
        <f>IF(E469=$AP$6,1,"")</f>
        <v/>
      </c>
      <c r="AQ469" s="81">
        <f>IF(E469=$AQ$6,1,"")</f>
        <v/>
      </c>
      <c r="AR469" s="81">
        <f>IF(E469=$AR$6,1,"")</f>
        <v/>
      </c>
      <c r="AS469" s="81" t="n"/>
    </row>
    <row r="470" ht="15.75" customHeight="1" s="80">
      <c r="A470" s="157" t="n"/>
      <c r="B470" s="124" t="n"/>
      <c r="C470" s="125" t="n"/>
      <c r="D470" s="126" t="n"/>
      <c r="E470" s="127" t="n"/>
      <c r="F470" s="128" t="n"/>
      <c r="G470" s="129">
        <f>IF(F470="","",ROUND(F470/60,2))</f>
        <v/>
      </c>
      <c r="H470" s="130" t="n"/>
      <c r="I470" s="131" t="n"/>
      <c r="J470" s="131">
        <f>IF(COUNTIF(B470:E470,"*")=0,"",IF(T470=1,"Invalid Service",IF(AND(V470=1,F470=""),"Add Session Mins",IF(AND(E470&gt;0,H470="",T470=""),"Enter Contract Rate",IF(AND(E470="IEP mtg, prep, rept",F470&gt;0),(G470*H470),IF(AND(E470&gt;0,F470&gt;0,H470&gt;0,I470=""),"Enter Travel",IF(AND(F470&gt;0,I470="Y"),(G470*H470)+$M$10,IF(AND(F470&gt;0,I470="N"),(G470*H470),H470))))))))</f>
        <v/>
      </c>
      <c r="K470" s="132">
        <f>J470</f>
        <v/>
      </c>
      <c r="L470" s="148" t="n"/>
      <c r="M470" s="148" t="n"/>
      <c r="N470" s="148" t="n"/>
      <c r="O470" s="87" t="n"/>
      <c r="P470" s="81" t="n"/>
      <c r="Q470" s="81" t="n"/>
      <c r="R470" s="81" t="n"/>
      <c r="S470" s="81" t="n"/>
      <c r="T470" s="136">
        <f>IF(AND(E470&gt;0,U470=0),1,"")</f>
        <v/>
      </c>
      <c r="U470" s="136">
        <f>SUM(X470:AR470)</f>
        <v/>
      </c>
      <c r="V470" s="136">
        <f>IF(E470=$Q$16,0,SUM(X470:AI470))</f>
        <v/>
      </c>
      <c r="W470" s="136">
        <f>SUM(AK470:AR470)</f>
        <v/>
      </c>
      <c r="X470" s="136">
        <f>IF(E470=$X$6,1,"")</f>
        <v/>
      </c>
      <c r="Y470" s="136">
        <f>IF(E470=$Y$6,1,"")</f>
        <v/>
      </c>
      <c r="Z470" s="136">
        <f>IF(E470=$Z$6,1,"")</f>
        <v/>
      </c>
      <c r="AA470" s="136">
        <f>IF(E470=$AA$6,1,"")</f>
        <v/>
      </c>
      <c r="AB470" s="136">
        <f>IF(E470=$AB$6,1,"")</f>
        <v/>
      </c>
      <c r="AC470" s="136">
        <f>IF(E470=$AC$6,1,"")</f>
        <v/>
      </c>
      <c r="AD470" s="136">
        <f>IF(E470=$AD$6,1,"")</f>
        <v/>
      </c>
      <c r="AE470" s="136">
        <f>IF(E470=$AE$6,1,"")</f>
        <v/>
      </c>
      <c r="AF470" s="136">
        <f>IF(E470=$AF$6,1,"")</f>
        <v/>
      </c>
      <c r="AG470" s="136">
        <f>IF(E470=$AG$6,1,"")</f>
        <v/>
      </c>
      <c r="AH470" s="136">
        <f>IF(E470=$AH$6,1,"")</f>
        <v/>
      </c>
      <c r="AI470" s="136">
        <f>IF(E470=$AI$6,1,"")</f>
        <v/>
      </c>
      <c r="AJ470" s="136">
        <f>IF(E470=$AJ$6,1,"")</f>
        <v/>
      </c>
      <c r="AK470" s="81">
        <f>IF(E470=$AK$6,1,"")</f>
        <v/>
      </c>
      <c r="AL470" s="81">
        <f>IF(E470=$AL$6,1,"")</f>
        <v/>
      </c>
      <c r="AM470" s="81">
        <f>IF(E470=$AM$6,1,"")</f>
        <v/>
      </c>
      <c r="AN470" s="81">
        <f>IF(E470=$AN$6,1,"")</f>
        <v/>
      </c>
      <c r="AO470" s="81">
        <f>IF(E470=$AO$6,1,"")</f>
        <v/>
      </c>
      <c r="AP470" s="81">
        <f>IF(E470=$AP$6,1,"")</f>
        <v/>
      </c>
      <c r="AQ470" s="81">
        <f>IF(E470=$AQ$6,1,"")</f>
        <v/>
      </c>
      <c r="AR470" s="81">
        <f>IF(E470=$AR$6,1,"")</f>
        <v/>
      </c>
      <c r="AS470" s="81" t="n"/>
    </row>
    <row r="471" ht="15.75" customHeight="1" s="80">
      <c r="A471" s="157" t="n"/>
      <c r="B471" s="124" t="n"/>
      <c r="C471" s="125" t="n"/>
      <c r="D471" s="126" t="n"/>
      <c r="E471" s="127" t="n"/>
      <c r="F471" s="128" t="n"/>
      <c r="G471" s="129">
        <f>IF(F471="","",ROUND(F471/60,2))</f>
        <v/>
      </c>
      <c r="H471" s="130" t="n"/>
      <c r="I471" s="131" t="n"/>
      <c r="J471" s="131">
        <f>IF(COUNTIF(B471:E471,"*")=0,"",IF(T471=1,"Invalid Service",IF(AND(V471=1,F471=""),"Add Session Mins",IF(AND(E471&gt;0,H471="",T471=""),"Enter Contract Rate",IF(AND(E471="IEP mtg, prep, rept",F471&gt;0),(G471*H471),IF(AND(E471&gt;0,F471&gt;0,H471&gt;0,I471=""),"Enter Travel",IF(AND(F471&gt;0,I471="Y"),(G471*H471)+$M$10,IF(AND(F471&gt;0,I471="N"),(G471*H471),H471))))))))</f>
        <v/>
      </c>
      <c r="K471" s="132">
        <f>J471</f>
        <v/>
      </c>
      <c r="L471" s="148" t="n"/>
      <c r="M471" s="148" t="n"/>
      <c r="N471" s="148" t="n"/>
      <c r="O471" s="87" t="n"/>
      <c r="P471" s="81" t="n"/>
      <c r="Q471" s="81" t="n"/>
      <c r="R471" s="81" t="n"/>
      <c r="S471" s="81" t="n"/>
      <c r="T471" s="136">
        <f>IF(AND(E471&gt;0,U471=0),1,"")</f>
        <v/>
      </c>
      <c r="U471" s="136">
        <f>SUM(X471:AR471)</f>
        <v/>
      </c>
      <c r="V471" s="136">
        <f>IF(E471=$Q$16,0,SUM(X471:AI471))</f>
        <v/>
      </c>
      <c r="W471" s="136">
        <f>SUM(AK471:AR471)</f>
        <v/>
      </c>
      <c r="X471" s="136">
        <f>IF(E471=$X$6,1,"")</f>
        <v/>
      </c>
      <c r="Y471" s="136">
        <f>IF(E471=$Y$6,1,"")</f>
        <v/>
      </c>
      <c r="Z471" s="136">
        <f>IF(E471=$Z$6,1,"")</f>
        <v/>
      </c>
      <c r="AA471" s="136">
        <f>IF(E471=$AA$6,1,"")</f>
        <v/>
      </c>
      <c r="AB471" s="136">
        <f>IF(E471=$AB$6,1,"")</f>
        <v/>
      </c>
      <c r="AC471" s="136">
        <f>IF(E471=$AC$6,1,"")</f>
        <v/>
      </c>
      <c r="AD471" s="136">
        <f>IF(E471=$AD$6,1,"")</f>
        <v/>
      </c>
      <c r="AE471" s="136">
        <f>IF(E471=$AE$6,1,"")</f>
        <v/>
      </c>
      <c r="AF471" s="136">
        <f>IF(E471=$AF$6,1,"")</f>
        <v/>
      </c>
      <c r="AG471" s="136">
        <f>IF(E471=$AG$6,1,"")</f>
        <v/>
      </c>
      <c r="AH471" s="136">
        <f>IF(E471=$AH$6,1,"")</f>
        <v/>
      </c>
      <c r="AI471" s="136">
        <f>IF(E471=$AI$6,1,"")</f>
        <v/>
      </c>
      <c r="AJ471" s="136">
        <f>IF(E471=$AJ$6,1,"")</f>
        <v/>
      </c>
      <c r="AK471" s="81">
        <f>IF(E471=$AK$6,1,"")</f>
        <v/>
      </c>
      <c r="AL471" s="81">
        <f>IF(E471=$AL$6,1,"")</f>
        <v/>
      </c>
      <c r="AM471" s="81">
        <f>IF(E471=$AM$6,1,"")</f>
        <v/>
      </c>
      <c r="AN471" s="81">
        <f>IF(E471=$AN$6,1,"")</f>
        <v/>
      </c>
      <c r="AO471" s="81">
        <f>IF(E471=$AO$6,1,"")</f>
        <v/>
      </c>
      <c r="AP471" s="81">
        <f>IF(E471=$AP$6,1,"")</f>
        <v/>
      </c>
      <c r="AQ471" s="81">
        <f>IF(E471=$AQ$6,1,"")</f>
        <v/>
      </c>
      <c r="AR471" s="81">
        <f>IF(E471=$AR$6,1,"")</f>
        <v/>
      </c>
      <c r="AS471" s="81" t="n"/>
    </row>
    <row r="472" ht="15.75" customHeight="1" s="80">
      <c r="A472" s="157" t="n"/>
      <c r="B472" s="124" t="n"/>
      <c r="C472" s="125" t="n"/>
      <c r="D472" s="126" t="n"/>
      <c r="E472" s="127" t="n"/>
      <c r="F472" s="128" t="n"/>
      <c r="G472" s="129">
        <f>IF(F472="","",ROUND(F472/60,2))</f>
        <v/>
      </c>
      <c r="H472" s="130" t="n"/>
      <c r="I472" s="131" t="n"/>
      <c r="J472" s="131">
        <f>IF(COUNTIF(B472:E472,"*")=0,"",IF(T472=1,"Invalid Service",IF(AND(V472=1,F472=""),"Add Session Mins",IF(AND(E472&gt;0,H472="",T472=""),"Enter Contract Rate",IF(AND(E472="IEP mtg, prep, rept",F472&gt;0),(G472*H472),IF(AND(E472&gt;0,F472&gt;0,H472&gt;0,I472=""),"Enter Travel",IF(AND(F472&gt;0,I472="Y"),(G472*H472)+$M$10,IF(AND(F472&gt;0,I472="N"),(G472*H472),H472))))))))</f>
        <v/>
      </c>
      <c r="K472" s="132">
        <f>J472</f>
        <v/>
      </c>
      <c r="L472" s="148" t="n"/>
      <c r="M472" s="148" t="n"/>
      <c r="N472" s="148" t="n"/>
      <c r="O472" s="87" t="n"/>
      <c r="P472" s="81" t="n"/>
      <c r="Q472" s="81" t="n"/>
      <c r="R472" s="81" t="n"/>
      <c r="S472" s="81" t="n"/>
      <c r="T472" s="136">
        <f>IF(AND(E472&gt;0,U472=0),1,"")</f>
        <v/>
      </c>
      <c r="U472" s="136">
        <f>SUM(X472:AR472)</f>
        <v/>
      </c>
      <c r="V472" s="136">
        <f>IF(E472=$Q$16,0,SUM(X472:AI472))</f>
        <v/>
      </c>
      <c r="W472" s="136">
        <f>SUM(AK472:AR472)</f>
        <v/>
      </c>
      <c r="X472" s="136">
        <f>IF(E472=$X$6,1,"")</f>
        <v/>
      </c>
      <c r="Y472" s="136">
        <f>IF(E472=$Y$6,1,"")</f>
        <v/>
      </c>
      <c r="Z472" s="136">
        <f>IF(E472=$Z$6,1,"")</f>
        <v/>
      </c>
      <c r="AA472" s="136">
        <f>IF(E472=$AA$6,1,"")</f>
        <v/>
      </c>
      <c r="AB472" s="136">
        <f>IF(E472=$AB$6,1,"")</f>
        <v/>
      </c>
      <c r="AC472" s="136">
        <f>IF(E472=$AC$6,1,"")</f>
        <v/>
      </c>
      <c r="AD472" s="136">
        <f>IF(E472=$AD$6,1,"")</f>
        <v/>
      </c>
      <c r="AE472" s="136">
        <f>IF(E472=$AE$6,1,"")</f>
        <v/>
      </c>
      <c r="AF472" s="136">
        <f>IF(E472=$AF$6,1,"")</f>
        <v/>
      </c>
      <c r="AG472" s="136">
        <f>IF(E472=$AG$6,1,"")</f>
        <v/>
      </c>
      <c r="AH472" s="136">
        <f>IF(E472=$AH$6,1,"")</f>
        <v/>
      </c>
      <c r="AI472" s="136">
        <f>IF(E472=$AI$6,1,"")</f>
        <v/>
      </c>
      <c r="AJ472" s="136">
        <f>IF(E472=$AJ$6,1,"")</f>
        <v/>
      </c>
      <c r="AK472" s="81">
        <f>IF(E472=$AK$6,1,"")</f>
        <v/>
      </c>
      <c r="AL472" s="81">
        <f>IF(E472=$AL$6,1,"")</f>
        <v/>
      </c>
      <c r="AM472" s="81">
        <f>IF(E472=$AM$6,1,"")</f>
        <v/>
      </c>
      <c r="AN472" s="81">
        <f>IF(E472=$AN$6,1,"")</f>
        <v/>
      </c>
      <c r="AO472" s="81">
        <f>IF(E472=$AO$6,1,"")</f>
        <v/>
      </c>
      <c r="AP472" s="81">
        <f>IF(E472=$AP$6,1,"")</f>
        <v/>
      </c>
      <c r="AQ472" s="81">
        <f>IF(E472=$AQ$6,1,"")</f>
        <v/>
      </c>
      <c r="AR472" s="81">
        <f>IF(E472=$AR$6,1,"")</f>
        <v/>
      </c>
      <c r="AS472" s="81" t="n"/>
    </row>
    <row r="473" ht="15.75" customHeight="1" s="80">
      <c r="A473" s="157" t="n"/>
      <c r="B473" s="124" t="n"/>
      <c r="C473" s="125" t="n"/>
      <c r="D473" s="126" t="n"/>
      <c r="E473" s="127" t="n"/>
      <c r="F473" s="128" t="n"/>
      <c r="G473" s="129">
        <f>IF(F473="","",ROUND(F473/60,2))</f>
        <v/>
      </c>
      <c r="H473" s="130" t="n"/>
      <c r="I473" s="131" t="n"/>
      <c r="J473" s="131">
        <f>IF(COUNTIF(B473:E473,"*")=0,"",IF(T473=1,"Invalid Service",IF(AND(V473=1,F473=""),"Add Session Mins",IF(AND(E473&gt;0,H473="",T473=""),"Enter Contract Rate",IF(AND(E473="IEP mtg, prep, rept",F473&gt;0),(G473*H473),IF(AND(E473&gt;0,F473&gt;0,H473&gt;0,I473=""),"Enter Travel",IF(AND(F473&gt;0,I473="Y"),(G473*H473)+$M$10,IF(AND(F473&gt;0,I473="N"),(G473*H473),H473))))))))</f>
        <v/>
      </c>
      <c r="K473" s="132">
        <f>J473</f>
        <v/>
      </c>
      <c r="L473" s="148" t="n"/>
      <c r="M473" s="148" t="n"/>
      <c r="N473" s="148" t="n"/>
      <c r="O473" s="87" t="n"/>
      <c r="P473" s="81" t="n"/>
      <c r="Q473" s="81" t="n"/>
      <c r="R473" s="81" t="n"/>
      <c r="S473" s="81" t="n"/>
      <c r="T473" s="136">
        <f>IF(AND(E473&gt;0,U473=0),1,"")</f>
        <v/>
      </c>
      <c r="U473" s="136">
        <f>SUM(X473:AR473)</f>
        <v/>
      </c>
      <c r="V473" s="136">
        <f>IF(E473=$Q$16,0,SUM(X473:AI473))</f>
        <v/>
      </c>
      <c r="W473" s="136">
        <f>SUM(AK473:AR473)</f>
        <v/>
      </c>
      <c r="X473" s="136">
        <f>IF(E473=$X$6,1,"")</f>
        <v/>
      </c>
      <c r="Y473" s="136">
        <f>IF(E473=$Y$6,1,"")</f>
        <v/>
      </c>
      <c r="Z473" s="136">
        <f>IF(E473=$Z$6,1,"")</f>
        <v/>
      </c>
      <c r="AA473" s="136">
        <f>IF(E473=$AA$6,1,"")</f>
        <v/>
      </c>
      <c r="AB473" s="136">
        <f>IF(E473=$AB$6,1,"")</f>
        <v/>
      </c>
      <c r="AC473" s="136">
        <f>IF(E473=$AC$6,1,"")</f>
        <v/>
      </c>
      <c r="AD473" s="136">
        <f>IF(E473=$AD$6,1,"")</f>
        <v/>
      </c>
      <c r="AE473" s="136">
        <f>IF(E473=$AE$6,1,"")</f>
        <v/>
      </c>
      <c r="AF473" s="136">
        <f>IF(E473=$AF$6,1,"")</f>
        <v/>
      </c>
      <c r="AG473" s="136">
        <f>IF(E473=$AG$6,1,"")</f>
        <v/>
      </c>
      <c r="AH473" s="136">
        <f>IF(E473=$AH$6,1,"")</f>
        <v/>
      </c>
      <c r="AI473" s="136">
        <f>IF(E473=$AI$6,1,"")</f>
        <v/>
      </c>
      <c r="AJ473" s="136">
        <f>IF(E473=$AJ$6,1,"")</f>
        <v/>
      </c>
      <c r="AK473" s="81">
        <f>IF(E473=$AK$6,1,"")</f>
        <v/>
      </c>
      <c r="AL473" s="81">
        <f>IF(E473=$AL$6,1,"")</f>
        <v/>
      </c>
      <c r="AM473" s="81">
        <f>IF(E473=$AM$6,1,"")</f>
        <v/>
      </c>
      <c r="AN473" s="81">
        <f>IF(E473=$AN$6,1,"")</f>
        <v/>
      </c>
      <c r="AO473" s="81">
        <f>IF(E473=$AO$6,1,"")</f>
        <v/>
      </c>
      <c r="AP473" s="81">
        <f>IF(E473=$AP$6,1,"")</f>
        <v/>
      </c>
      <c r="AQ473" s="81">
        <f>IF(E473=$AQ$6,1,"")</f>
        <v/>
      </c>
      <c r="AR473" s="81">
        <f>IF(E473=$AR$6,1,"")</f>
        <v/>
      </c>
      <c r="AS473" s="81" t="n"/>
    </row>
    <row r="474" ht="15.75" customHeight="1" s="80">
      <c r="A474" s="157" t="n"/>
      <c r="B474" s="124" t="n"/>
      <c r="C474" s="125" t="n"/>
      <c r="D474" s="126" t="n"/>
      <c r="E474" s="127" t="n"/>
      <c r="F474" s="128" t="n"/>
      <c r="G474" s="129">
        <f>IF(F474="","",ROUND(F474/60,2))</f>
        <v/>
      </c>
      <c r="H474" s="130" t="n"/>
      <c r="I474" s="131" t="n"/>
      <c r="J474" s="131">
        <f>IF(COUNTIF(B474:E474,"*")=0,"",IF(T474=1,"Invalid Service",IF(AND(V474=1,F474=""),"Add Session Mins",IF(AND(E474&gt;0,H474="",T474=""),"Enter Contract Rate",IF(AND(E474="IEP mtg, prep, rept",F474&gt;0),(G474*H474),IF(AND(E474&gt;0,F474&gt;0,H474&gt;0,I474=""),"Enter Travel",IF(AND(F474&gt;0,I474="Y"),(G474*H474)+$M$10,IF(AND(F474&gt;0,I474="N"),(G474*H474),H474))))))))</f>
        <v/>
      </c>
      <c r="K474" s="132">
        <f>J474</f>
        <v/>
      </c>
      <c r="L474" s="148" t="n"/>
      <c r="M474" s="148" t="n"/>
      <c r="N474" s="148" t="n"/>
      <c r="O474" s="87" t="n"/>
      <c r="P474" s="81" t="n"/>
      <c r="Q474" s="81" t="n"/>
      <c r="R474" s="81" t="n"/>
      <c r="S474" s="81" t="n"/>
      <c r="T474" s="136">
        <f>IF(AND(E474&gt;0,U474=0),1,"")</f>
        <v/>
      </c>
      <c r="U474" s="136">
        <f>SUM(X474:AR474)</f>
        <v/>
      </c>
      <c r="V474" s="136">
        <f>IF(E474=$Q$16,0,SUM(X474:AI474))</f>
        <v/>
      </c>
      <c r="W474" s="136">
        <f>SUM(AK474:AR474)</f>
        <v/>
      </c>
      <c r="X474" s="136">
        <f>IF(E474=$X$6,1,"")</f>
        <v/>
      </c>
      <c r="Y474" s="136">
        <f>IF(E474=$Y$6,1,"")</f>
        <v/>
      </c>
      <c r="Z474" s="136">
        <f>IF(E474=$Z$6,1,"")</f>
        <v/>
      </c>
      <c r="AA474" s="136">
        <f>IF(E474=$AA$6,1,"")</f>
        <v/>
      </c>
      <c r="AB474" s="136">
        <f>IF(E474=$AB$6,1,"")</f>
        <v/>
      </c>
      <c r="AC474" s="136">
        <f>IF(E474=$AC$6,1,"")</f>
        <v/>
      </c>
      <c r="AD474" s="136">
        <f>IF(E474=$AD$6,1,"")</f>
        <v/>
      </c>
      <c r="AE474" s="136">
        <f>IF(E474=$AE$6,1,"")</f>
        <v/>
      </c>
      <c r="AF474" s="136">
        <f>IF(E474=$AF$6,1,"")</f>
        <v/>
      </c>
      <c r="AG474" s="136">
        <f>IF(E474=$AG$6,1,"")</f>
        <v/>
      </c>
      <c r="AH474" s="136">
        <f>IF(E474=$AH$6,1,"")</f>
        <v/>
      </c>
      <c r="AI474" s="136">
        <f>IF(E474=$AI$6,1,"")</f>
        <v/>
      </c>
      <c r="AJ474" s="136">
        <f>IF(E474=$AJ$6,1,"")</f>
        <v/>
      </c>
      <c r="AK474" s="81">
        <f>IF(E474=$AK$6,1,"")</f>
        <v/>
      </c>
      <c r="AL474" s="81">
        <f>IF(E474=$AL$6,1,"")</f>
        <v/>
      </c>
      <c r="AM474" s="81">
        <f>IF(E474=$AM$6,1,"")</f>
        <v/>
      </c>
      <c r="AN474" s="81">
        <f>IF(E474=$AN$6,1,"")</f>
        <v/>
      </c>
      <c r="AO474" s="81">
        <f>IF(E474=$AO$6,1,"")</f>
        <v/>
      </c>
      <c r="AP474" s="81">
        <f>IF(E474=$AP$6,1,"")</f>
        <v/>
      </c>
      <c r="AQ474" s="81">
        <f>IF(E474=$AQ$6,1,"")</f>
        <v/>
      </c>
      <c r="AR474" s="81">
        <f>IF(E474=$AR$6,1,"")</f>
        <v/>
      </c>
      <c r="AS474" s="81" t="n"/>
    </row>
    <row r="475" ht="15.75" customHeight="1" s="80">
      <c r="A475" s="157" t="n"/>
      <c r="B475" s="124" t="n"/>
      <c r="C475" s="125" t="n"/>
      <c r="D475" s="126" t="n"/>
      <c r="E475" s="127" t="n"/>
      <c r="F475" s="128" t="n"/>
      <c r="G475" s="129">
        <f>IF(F475="","",ROUND(F475/60,2))</f>
        <v/>
      </c>
      <c r="H475" s="130" t="n"/>
      <c r="I475" s="131" t="n"/>
      <c r="J475" s="131">
        <f>IF(COUNTIF(B475:E475,"*")=0,"",IF(T475=1,"Invalid Service",IF(AND(V475=1,F475=""),"Add Session Mins",IF(AND(E475&gt;0,H475="",T475=""),"Enter Contract Rate",IF(AND(E475="IEP mtg, prep, rept",F475&gt;0),(G475*H475),IF(AND(E475&gt;0,F475&gt;0,H475&gt;0,I475=""),"Enter Travel",IF(AND(F475&gt;0,I475="Y"),(G475*H475)+$M$10,IF(AND(F475&gt;0,I475="N"),(G475*H475),H475))))))))</f>
        <v/>
      </c>
      <c r="K475" s="132">
        <f>J475</f>
        <v/>
      </c>
      <c r="L475" s="148" t="n"/>
      <c r="M475" s="148" t="n"/>
      <c r="N475" s="148" t="n"/>
      <c r="O475" s="87" t="n"/>
      <c r="P475" s="81" t="n"/>
      <c r="Q475" s="81" t="n"/>
      <c r="R475" s="81" t="n"/>
      <c r="S475" s="81" t="n"/>
      <c r="T475" s="136">
        <f>IF(AND(E475&gt;0,U475=0),1,"")</f>
        <v/>
      </c>
      <c r="U475" s="136">
        <f>SUM(X475:AR475)</f>
        <v/>
      </c>
      <c r="V475" s="136">
        <f>IF(E475=$Q$16,0,SUM(X475:AI475))</f>
        <v/>
      </c>
      <c r="W475" s="136">
        <f>SUM(AK475:AR475)</f>
        <v/>
      </c>
      <c r="X475" s="136">
        <f>IF(E475=$X$6,1,"")</f>
        <v/>
      </c>
      <c r="Y475" s="136">
        <f>IF(E475=$Y$6,1,"")</f>
        <v/>
      </c>
      <c r="Z475" s="136">
        <f>IF(E475=$Z$6,1,"")</f>
        <v/>
      </c>
      <c r="AA475" s="136">
        <f>IF(E475=$AA$6,1,"")</f>
        <v/>
      </c>
      <c r="AB475" s="136">
        <f>IF(E475=$AB$6,1,"")</f>
        <v/>
      </c>
      <c r="AC475" s="136">
        <f>IF(E475=$AC$6,1,"")</f>
        <v/>
      </c>
      <c r="AD475" s="136">
        <f>IF(E475=$AD$6,1,"")</f>
        <v/>
      </c>
      <c r="AE475" s="136">
        <f>IF(E475=$AE$6,1,"")</f>
        <v/>
      </c>
      <c r="AF475" s="136">
        <f>IF(E475=$AF$6,1,"")</f>
        <v/>
      </c>
      <c r="AG475" s="136">
        <f>IF(E475=$AG$6,1,"")</f>
        <v/>
      </c>
      <c r="AH475" s="136">
        <f>IF(E475=$AH$6,1,"")</f>
        <v/>
      </c>
      <c r="AI475" s="136">
        <f>IF(E475=$AI$6,1,"")</f>
        <v/>
      </c>
      <c r="AJ475" s="136">
        <f>IF(E475=$AJ$6,1,"")</f>
        <v/>
      </c>
      <c r="AK475" s="81">
        <f>IF(E475=$AK$6,1,"")</f>
        <v/>
      </c>
      <c r="AL475" s="81">
        <f>IF(E475=$AL$6,1,"")</f>
        <v/>
      </c>
      <c r="AM475" s="81">
        <f>IF(E475=$AM$6,1,"")</f>
        <v/>
      </c>
      <c r="AN475" s="81">
        <f>IF(E475=$AN$6,1,"")</f>
        <v/>
      </c>
      <c r="AO475" s="81">
        <f>IF(E475=$AO$6,1,"")</f>
        <v/>
      </c>
      <c r="AP475" s="81">
        <f>IF(E475=$AP$6,1,"")</f>
        <v/>
      </c>
      <c r="AQ475" s="81">
        <f>IF(E475=$AQ$6,1,"")</f>
        <v/>
      </c>
      <c r="AR475" s="81">
        <f>IF(E475=$AR$6,1,"")</f>
        <v/>
      </c>
      <c r="AS475" s="81" t="n"/>
    </row>
    <row r="476" ht="15.75" customHeight="1" s="80">
      <c r="A476" s="157" t="n"/>
      <c r="B476" s="124" t="n"/>
      <c r="C476" s="125" t="n"/>
      <c r="D476" s="126" t="n"/>
      <c r="E476" s="127" t="n"/>
      <c r="F476" s="128" t="n"/>
      <c r="G476" s="129">
        <f>IF(F476="","",ROUND(F476/60,2))</f>
        <v/>
      </c>
      <c r="H476" s="130" t="n"/>
      <c r="I476" s="131" t="n"/>
      <c r="J476" s="131">
        <f>IF(COUNTIF(B476:E476,"*")=0,"",IF(T476=1,"Invalid Service",IF(AND(V476=1,F476=""),"Add Session Mins",IF(AND(E476&gt;0,H476="",T476=""),"Enter Contract Rate",IF(AND(E476="IEP mtg, prep, rept",F476&gt;0),(G476*H476),IF(AND(E476&gt;0,F476&gt;0,H476&gt;0,I476=""),"Enter Travel",IF(AND(F476&gt;0,I476="Y"),(G476*H476)+$M$10,IF(AND(F476&gt;0,I476="N"),(G476*H476),H476))))))))</f>
        <v/>
      </c>
      <c r="K476" s="132">
        <f>J476</f>
        <v/>
      </c>
      <c r="L476" s="148" t="n"/>
      <c r="M476" s="148" t="n"/>
      <c r="N476" s="148" t="n"/>
      <c r="O476" s="87" t="n"/>
      <c r="P476" s="81" t="n"/>
      <c r="Q476" s="81" t="n"/>
      <c r="R476" s="81" t="n"/>
      <c r="S476" s="81" t="n"/>
      <c r="T476" s="136">
        <f>IF(AND(E476&gt;0,U476=0),1,"")</f>
        <v/>
      </c>
      <c r="U476" s="136">
        <f>SUM(X476:AR476)</f>
        <v/>
      </c>
      <c r="V476" s="136">
        <f>IF(E476=$Q$16,0,SUM(X476:AI476))</f>
        <v/>
      </c>
      <c r="W476" s="136">
        <f>SUM(AK476:AR476)</f>
        <v/>
      </c>
      <c r="X476" s="136">
        <f>IF(E476=$X$6,1,"")</f>
        <v/>
      </c>
      <c r="Y476" s="136">
        <f>IF(E476=$Y$6,1,"")</f>
        <v/>
      </c>
      <c r="Z476" s="136">
        <f>IF(E476=$Z$6,1,"")</f>
        <v/>
      </c>
      <c r="AA476" s="136">
        <f>IF(E476=$AA$6,1,"")</f>
        <v/>
      </c>
      <c r="AB476" s="136">
        <f>IF(E476=$AB$6,1,"")</f>
        <v/>
      </c>
      <c r="AC476" s="136">
        <f>IF(E476=$AC$6,1,"")</f>
        <v/>
      </c>
      <c r="AD476" s="136">
        <f>IF(E476=$AD$6,1,"")</f>
        <v/>
      </c>
      <c r="AE476" s="136">
        <f>IF(E476=$AE$6,1,"")</f>
        <v/>
      </c>
      <c r="AF476" s="136">
        <f>IF(E476=$AF$6,1,"")</f>
        <v/>
      </c>
      <c r="AG476" s="136">
        <f>IF(E476=$AG$6,1,"")</f>
        <v/>
      </c>
      <c r="AH476" s="136">
        <f>IF(E476=$AH$6,1,"")</f>
        <v/>
      </c>
      <c r="AI476" s="136">
        <f>IF(E476=$AI$6,1,"")</f>
        <v/>
      </c>
      <c r="AJ476" s="136">
        <f>IF(E476=$AJ$6,1,"")</f>
        <v/>
      </c>
      <c r="AK476" s="81">
        <f>IF(E476=$AK$6,1,"")</f>
        <v/>
      </c>
      <c r="AL476" s="81">
        <f>IF(E476=$AL$6,1,"")</f>
        <v/>
      </c>
      <c r="AM476" s="81">
        <f>IF(E476=$AM$6,1,"")</f>
        <v/>
      </c>
      <c r="AN476" s="81">
        <f>IF(E476=$AN$6,1,"")</f>
        <v/>
      </c>
      <c r="AO476" s="81">
        <f>IF(E476=$AO$6,1,"")</f>
        <v/>
      </c>
      <c r="AP476" s="81">
        <f>IF(E476=$AP$6,1,"")</f>
        <v/>
      </c>
      <c r="AQ476" s="81">
        <f>IF(E476=$AQ$6,1,"")</f>
        <v/>
      </c>
      <c r="AR476" s="81">
        <f>IF(E476=$AR$6,1,"")</f>
        <v/>
      </c>
      <c r="AS476" s="81" t="n"/>
    </row>
    <row r="477" ht="15.75" customHeight="1" s="80">
      <c r="A477" s="157" t="n"/>
      <c r="B477" s="124" t="n"/>
      <c r="C477" s="125" t="n"/>
      <c r="D477" s="126" t="n"/>
      <c r="E477" s="127" t="n"/>
      <c r="F477" s="128" t="n"/>
      <c r="G477" s="129">
        <f>IF(F477="","",ROUND(F477/60,2))</f>
        <v/>
      </c>
      <c r="H477" s="130" t="n"/>
      <c r="I477" s="131" t="n"/>
      <c r="J477" s="131">
        <f>IF(COUNTIF(B477:E477,"*")=0,"",IF(T477=1,"Invalid Service",IF(AND(V477=1,F477=""),"Add Session Mins",IF(AND(E477&gt;0,H477="",T477=""),"Enter Contract Rate",IF(AND(E477="IEP mtg, prep, rept",F477&gt;0),(G477*H477),IF(AND(E477&gt;0,F477&gt;0,H477&gt;0,I477=""),"Enter Travel",IF(AND(F477&gt;0,I477="Y"),(G477*H477)+$M$10,IF(AND(F477&gt;0,I477="N"),(G477*H477),H477))))))))</f>
        <v/>
      </c>
      <c r="K477" s="132">
        <f>J477</f>
        <v/>
      </c>
      <c r="L477" s="148" t="n"/>
      <c r="M477" s="148" t="n"/>
      <c r="N477" s="148" t="n"/>
      <c r="O477" s="87" t="n"/>
      <c r="P477" s="81" t="n"/>
      <c r="Q477" s="81" t="n"/>
      <c r="R477" s="81" t="n"/>
      <c r="S477" s="81" t="n"/>
      <c r="T477" s="136">
        <f>IF(AND(E477&gt;0,U477=0),1,"")</f>
        <v/>
      </c>
      <c r="U477" s="136">
        <f>SUM(X477:AR477)</f>
        <v/>
      </c>
      <c r="V477" s="136">
        <f>IF(E477=$Q$16,0,SUM(X477:AI477))</f>
        <v/>
      </c>
      <c r="W477" s="136">
        <f>SUM(AK477:AR477)</f>
        <v/>
      </c>
      <c r="X477" s="136">
        <f>IF(E477=$X$6,1,"")</f>
        <v/>
      </c>
      <c r="Y477" s="136">
        <f>IF(E477=$Y$6,1,"")</f>
        <v/>
      </c>
      <c r="Z477" s="136">
        <f>IF(E477=$Z$6,1,"")</f>
        <v/>
      </c>
      <c r="AA477" s="136">
        <f>IF(E477=$AA$6,1,"")</f>
        <v/>
      </c>
      <c r="AB477" s="136">
        <f>IF(E477=$AB$6,1,"")</f>
        <v/>
      </c>
      <c r="AC477" s="136">
        <f>IF(E477=$AC$6,1,"")</f>
        <v/>
      </c>
      <c r="AD477" s="136">
        <f>IF(E477=$AD$6,1,"")</f>
        <v/>
      </c>
      <c r="AE477" s="136">
        <f>IF(E477=$AE$6,1,"")</f>
        <v/>
      </c>
      <c r="AF477" s="136">
        <f>IF(E477=$AF$6,1,"")</f>
        <v/>
      </c>
      <c r="AG477" s="136">
        <f>IF(E477=$AG$6,1,"")</f>
        <v/>
      </c>
      <c r="AH477" s="136">
        <f>IF(E477=$AH$6,1,"")</f>
        <v/>
      </c>
      <c r="AI477" s="136">
        <f>IF(E477=$AI$6,1,"")</f>
        <v/>
      </c>
      <c r="AJ477" s="136">
        <f>IF(E477=$AJ$6,1,"")</f>
        <v/>
      </c>
      <c r="AK477" s="81">
        <f>IF(E477=$AK$6,1,"")</f>
        <v/>
      </c>
      <c r="AL477" s="81">
        <f>IF(E477=$AL$6,1,"")</f>
        <v/>
      </c>
      <c r="AM477" s="81">
        <f>IF(E477=$AM$6,1,"")</f>
        <v/>
      </c>
      <c r="AN477" s="81">
        <f>IF(E477=$AN$6,1,"")</f>
        <v/>
      </c>
      <c r="AO477" s="81">
        <f>IF(E477=$AO$6,1,"")</f>
        <v/>
      </c>
      <c r="AP477" s="81">
        <f>IF(E477=$AP$6,1,"")</f>
        <v/>
      </c>
      <c r="AQ477" s="81">
        <f>IF(E477=$AQ$6,1,"")</f>
        <v/>
      </c>
      <c r="AR477" s="81">
        <f>IF(E477=$AR$6,1,"")</f>
        <v/>
      </c>
      <c r="AS477" s="81" t="n"/>
    </row>
    <row r="478" ht="15.75" customHeight="1" s="80">
      <c r="A478" s="157" t="n"/>
      <c r="B478" s="124" t="n"/>
      <c r="C478" s="125" t="n"/>
      <c r="D478" s="126" t="n"/>
      <c r="E478" s="127" t="n"/>
      <c r="F478" s="128" t="n"/>
      <c r="G478" s="129">
        <f>IF(F478="","",ROUND(F478/60,2))</f>
        <v/>
      </c>
      <c r="H478" s="130" t="n"/>
      <c r="I478" s="131" t="n"/>
      <c r="J478" s="131">
        <f>IF(COUNTIF(B478:E478,"*")=0,"",IF(T478=1,"Invalid Service",IF(AND(V478=1,F478=""),"Add Session Mins",IF(AND(E478&gt;0,H478="",T478=""),"Enter Contract Rate",IF(AND(E478="IEP mtg, prep, rept",F478&gt;0),(G478*H478),IF(AND(E478&gt;0,F478&gt;0,H478&gt;0,I478=""),"Enter Travel",IF(AND(F478&gt;0,I478="Y"),(G478*H478)+$M$10,IF(AND(F478&gt;0,I478="N"),(G478*H478),H478))))))))</f>
        <v/>
      </c>
      <c r="K478" s="132">
        <f>J478</f>
        <v/>
      </c>
      <c r="L478" s="148" t="n"/>
      <c r="M478" s="148" t="n"/>
      <c r="N478" s="148" t="n"/>
      <c r="O478" s="87" t="n"/>
      <c r="P478" s="81" t="n"/>
      <c r="Q478" s="81" t="n"/>
      <c r="R478" s="81" t="n"/>
      <c r="S478" s="81" t="n"/>
      <c r="T478" s="136">
        <f>IF(AND(E478&gt;0,U478=0),1,"")</f>
        <v/>
      </c>
      <c r="U478" s="136">
        <f>SUM(X478:AR478)</f>
        <v/>
      </c>
      <c r="V478" s="136">
        <f>IF(E478=$Q$16,0,SUM(X478:AI478))</f>
        <v/>
      </c>
      <c r="W478" s="136">
        <f>SUM(AK478:AR478)</f>
        <v/>
      </c>
      <c r="X478" s="136">
        <f>IF(E478=$X$6,1,"")</f>
        <v/>
      </c>
      <c r="Y478" s="136">
        <f>IF(E478=$Y$6,1,"")</f>
        <v/>
      </c>
      <c r="Z478" s="136">
        <f>IF(E478=$Z$6,1,"")</f>
        <v/>
      </c>
      <c r="AA478" s="136">
        <f>IF(E478=$AA$6,1,"")</f>
        <v/>
      </c>
      <c r="AB478" s="136">
        <f>IF(E478=$AB$6,1,"")</f>
        <v/>
      </c>
      <c r="AC478" s="136">
        <f>IF(E478=$AC$6,1,"")</f>
        <v/>
      </c>
      <c r="AD478" s="136">
        <f>IF(E478=$AD$6,1,"")</f>
        <v/>
      </c>
      <c r="AE478" s="136">
        <f>IF(E478=$AE$6,1,"")</f>
        <v/>
      </c>
      <c r="AF478" s="136">
        <f>IF(E478=$AF$6,1,"")</f>
        <v/>
      </c>
      <c r="AG478" s="136">
        <f>IF(E478=$AG$6,1,"")</f>
        <v/>
      </c>
      <c r="AH478" s="136">
        <f>IF(E478=$AH$6,1,"")</f>
        <v/>
      </c>
      <c r="AI478" s="136">
        <f>IF(E478=$AI$6,1,"")</f>
        <v/>
      </c>
      <c r="AJ478" s="136">
        <f>IF(E478=$AJ$6,1,"")</f>
        <v/>
      </c>
      <c r="AK478" s="81">
        <f>IF(E478=$AK$6,1,"")</f>
        <v/>
      </c>
      <c r="AL478" s="81">
        <f>IF(E478=$AL$6,1,"")</f>
        <v/>
      </c>
      <c r="AM478" s="81">
        <f>IF(E478=$AM$6,1,"")</f>
        <v/>
      </c>
      <c r="AN478" s="81">
        <f>IF(E478=$AN$6,1,"")</f>
        <v/>
      </c>
      <c r="AO478" s="81">
        <f>IF(E478=$AO$6,1,"")</f>
        <v/>
      </c>
      <c r="AP478" s="81">
        <f>IF(E478=$AP$6,1,"")</f>
        <v/>
      </c>
      <c r="AQ478" s="81">
        <f>IF(E478=$AQ$6,1,"")</f>
        <v/>
      </c>
      <c r="AR478" s="81">
        <f>IF(E478=$AR$6,1,"")</f>
        <v/>
      </c>
      <c r="AS478" s="81" t="n"/>
    </row>
    <row r="479" ht="15.75" customHeight="1" s="80">
      <c r="A479" s="157" t="n"/>
      <c r="B479" s="124" t="n"/>
      <c r="C479" s="125" t="n"/>
      <c r="D479" s="126" t="n"/>
      <c r="E479" s="127" t="n"/>
      <c r="F479" s="128" t="n"/>
      <c r="G479" s="129">
        <f>IF(F479="","",ROUND(F479/60,2))</f>
        <v/>
      </c>
      <c r="H479" s="130" t="n"/>
      <c r="I479" s="131" t="n"/>
      <c r="J479" s="131">
        <f>IF(COUNTIF(B479:E479,"*")=0,"",IF(T479=1,"Invalid Service",IF(AND(V479=1,F479=""),"Add Session Mins",IF(AND(E479&gt;0,H479="",T479=""),"Enter Contract Rate",IF(AND(E479="IEP mtg, prep, rept",F479&gt;0),(G479*H479),IF(AND(E479&gt;0,F479&gt;0,H479&gt;0,I479=""),"Enter Travel",IF(AND(F479&gt;0,I479="Y"),(G479*H479)+$M$10,IF(AND(F479&gt;0,I479="N"),(G479*H479),H479))))))))</f>
        <v/>
      </c>
      <c r="K479" s="132">
        <f>J479</f>
        <v/>
      </c>
      <c r="L479" s="148" t="n"/>
      <c r="M479" s="148" t="n"/>
      <c r="N479" s="148" t="n"/>
      <c r="O479" s="87" t="n"/>
      <c r="P479" s="81" t="n"/>
      <c r="Q479" s="81" t="n"/>
      <c r="R479" s="81" t="n"/>
      <c r="S479" s="81" t="n"/>
      <c r="T479" s="136">
        <f>IF(AND(E479&gt;0,U479=0),1,"")</f>
        <v/>
      </c>
      <c r="U479" s="136">
        <f>SUM(X479:AR479)</f>
        <v/>
      </c>
      <c r="V479" s="136">
        <f>IF(E479=$Q$16,0,SUM(X479:AI479))</f>
        <v/>
      </c>
      <c r="W479" s="136">
        <f>SUM(AK479:AR479)</f>
        <v/>
      </c>
      <c r="X479" s="136">
        <f>IF(E479=$X$6,1,"")</f>
        <v/>
      </c>
      <c r="Y479" s="136">
        <f>IF(E479=$Y$6,1,"")</f>
        <v/>
      </c>
      <c r="Z479" s="136">
        <f>IF(E479=$Z$6,1,"")</f>
        <v/>
      </c>
      <c r="AA479" s="136">
        <f>IF(E479=$AA$6,1,"")</f>
        <v/>
      </c>
      <c r="AB479" s="136">
        <f>IF(E479=$AB$6,1,"")</f>
        <v/>
      </c>
      <c r="AC479" s="136">
        <f>IF(E479=$AC$6,1,"")</f>
        <v/>
      </c>
      <c r="AD479" s="136">
        <f>IF(E479=$AD$6,1,"")</f>
        <v/>
      </c>
      <c r="AE479" s="136">
        <f>IF(E479=$AE$6,1,"")</f>
        <v/>
      </c>
      <c r="AF479" s="136">
        <f>IF(E479=$AF$6,1,"")</f>
        <v/>
      </c>
      <c r="AG479" s="136">
        <f>IF(E479=$AG$6,1,"")</f>
        <v/>
      </c>
      <c r="AH479" s="136">
        <f>IF(E479=$AH$6,1,"")</f>
        <v/>
      </c>
      <c r="AI479" s="136">
        <f>IF(E479=$AI$6,1,"")</f>
        <v/>
      </c>
      <c r="AJ479" s="136">
        <f>IF(E479=$AJ$6,1,"")</f>
        <v/>
      </c>
      <c r="AK479" s="81">
        <f>IF(E479=$AK$6,1,"")</f>
        <v/>
      </c>
      <c r="AL479" s="81">
        <f>IF(E479=$AL$6,1,"")</f>
        <v/>
      </c>
      <c r="AM479" s="81">
        <f>IF(E479=$AM$6,1,"")</f>
        <v/>
      </c>
      <c r="AN479" s="81">
        <f>IF(E479=$AN$6,1,"")</f>
        <v/>
      </c>
      <c r="AO479" s="81">
        <f>IF(E479=$AO$6,1,"")</f>
        <v/>
      </c>
      <c r="AP479" s="81">
        <f>IF(E479=$AP$6,1,"")</f>
        <v/>
      </c>
      <c r="AQ479" s="81">
        <f>IF(E479=$AQ$6,1,"")</f>
        <v/>
      </c>
      <c r="AR479" s="81">
        <f>IF(E479=$AR$6,1,"")</f>
        <v/>
      </c>
      <c r="AS479" s="81" t="n"/>
    </row>
    <row r="480" ht="15.75" customHeight="1" s="80">
      <c r="A480" s="157" t="n"/>
      <c r="B480" s="124" t="n"/>
      <c r="C480" s="125" t="n"/>
      <c r="D480" s="126" t="n"/>
      <c r="E480" s="127" t="n"/>
      <c r="F480" s="128" t="n"/>
      <c r="G480" s="129">
        <f>IF(F480="","",ROUND(F480/60,2))</f>
        <v/>
      </c>
      <c r="H480" s="130" t="n"/>
      <c r="I480" s="131" t="n"/>
      <c r="J480" s="131">
        <f>IF(COUNTIF(B480:E480,"*")=0,"",IF(T480=1,"Invalid Service",IF(AND(V480=1,F480=""),"Add Session Mins",IF(AND(E480&gt;0,H480="",T480=""),"Enter Contract Rate",IF(AND(E480="IEP mtg, prep, rept",F480&gt;0),(G480*H480),IF(AND(E480&gt;0,F480&gt;0,H480&gt;0,I480=""),"Enter Travel",IF(AND(F480&gt;0,I480="Y"),(G480*H480)+$M$10,IF(AND(F480&gt;0,I480="N"),(G480*H480),H480))))))))</f>
        <v/>
      </c>
      <c r="K480" s="132">
        <f>J480</f>
        <v/>
      </c>
      <c r="L480" s="148" t="n"/>
      <c r="M480" s="148" t="n"/>
      <c r="N480" s="148" t="n"/>
      <c r="O480" s="87" t="n"/>
      <c r="P480" s="81" t="n"/>
      <c r="Q480" s="81" t="n"/>
      <c r="R480" s="81" t="n"/>
      <c r="S480" s="81" t="n"/>
      <c r="T480" s="136">
        <f>IF(AND(E480&gt;0,U480=0),1,"")</f>
        <v/>
      </c>
      <c r="U480" s="136">
        <f>SUM(X480:AR480)</f>
        <v/>
      </c>
      <c r="V480" s="136">
        <f>IF(E480=$Q$16,0,SUM(X480:AI480))</f>
        <v/>
      </c>
      <c r="W480" s="136">
        <f>SUM(AK480:AR480)</f>
        <v/>
      </c>
      <c r="X480" s="136">
        <f>IF(E480=$X$6,1,"")</f>
        <v/>
      </c>
      <c r="Y480" s="136">
        <f>IF(E480=$Y$6,1,"")</f>
        <v/>
      </c>
      <c r="Z480" s="136">
        <f>IF(E480=$Z$6,1,"")</f>
        <v/>
      </c>
      <c r="AA480" s="136">
        <f>IF(E480=$AA$6,1,"")</f>
        <v/>
      </c>
      <c r="AB480" s="136">
        <f>IF(E480=$AB$6,1,"")</f>
        <v/>
      </c>
      <c r="AC480" s="136">
        <f>IF(E480=$AC$6,1,"")</f>
        <v/>
      </c>
      <c r="AD480" s="136">
        <f>IF(E480=$AD$6,1,"")</f>
        <v/>
      </c>
      <c r="AE480" s="136">
        <f>IF(E480=$AE$6,1,"")</f>
        <v/>
      </c>
      <c r="AF480" s="136">
        <f>IF(E480=$AF$6,1,"")</f>
        <v/>
      </c>
      <c r="AG480" s="136">
        <f>IF(E480=$AG$6,1,"")</f>
        <v/>
      </c>
      <c r="AH480" s="136">
        <f>IF(E480=$AH$6,1,"")</f>
        <v/>
      </c>
      <c r="AI480" s="136">
        <f>IF(E480=$AI$6,1,"")</f>
        <v/>
      </c>
      <c r="AJ480" s="136">
        <f>IF(E480=$AJ$6,1,"")</f>
        <v/>
      </c>
      <c r="AK480" s="81">
        <f>IF(E480=$AK$6,1,"")</f>
        <v/>
      </c>
      <c r="AL480" s="81">
        <f>IF(E480=$AL$6,1,"")</f>
        <v/>
      </c>
      <c r="AM480" s="81">
        <f>IF(E480=$AM$6,1,"")</f>
        <v/>
      </c>
      <c r="AN480" s="81">
        <f>IF(E480=$AN$6,1,"")</f>
        <v/>
      </c>
      <c r="AO480" s="81">
        <f>IF(E480=$AO$6,1,"")</f>
        <v/>
      </c>
      <c r="AP480" s="81">
        <f>IF(E480=$AP$6,1,"")</f>
        <v/>
      </c>
      <c r="AQ480" s="81">
        <f>IF(E480=$AQ$6,1,"")</f>
        <v/>
      </c>
      <c r="AR480" s="81">
        <f>IF(E480=$AR$6,1,"")</f>
        <v/>
      </c>
      <c r="AS480" s="81" t="n"/>
    </row>
    <row r="481" ht="15.75" customHeight="1" s="80">
      <c r="A481" s="157" t="n"/>
      <c r="B481" s="124" t="n"/>
      <c r="C481" s="125" t="n"/>
      <c r="D481" s="126" t="n"/>
      <c r="E481" s="127" t="n"/>
      <c r="F481" s="128" t="n"/>
      <c r="G481" s="129">
        <f>IF(F481="","",ROUND(F481/60,2))</f>
        <v/>
      </c>
      <c r="H481" s="130" t="n"/>
      <c r="I481" s="131" t="n"/>
      <c r="J481" s="131">
        <f>IF(COUNTIF(B481:E481,"*")=0,"",IF(T481=1,"Invalid Service",IF(AND(V481=1,F481=""),"Add Session Mins",IF(AND(E481&gt;0,H481="",T481=""),"Enter Contract Rate",IF(AND(E481="IEP mtg, prep, rept",F481&gt;0),(G481*H481),IF(AND(E481&gt;0,F481&gt;0,H481&gt;0,I481=""),"Enter Travel",IF(AND(F481&gt;0,I481="Y"),(G481*H481)+$M$10,IF(AND(F481&gt;0,I481="N"),(G481*H481),H481))))))))</f>
        <v/>
      </c>
      <c r="K481" s="132">
        <f>J481</f>
        <v/>
      </c>
      <c r="L481" s="148" t="n"/>
      <c r="M481" s="148" t="n"/>
      <c r="N481" s="148" t="n"/>
      <c r="O481" s="87" t="n"/>
      <c r="P481" s="81" t="n"/>
      <c r="Q481" s="81" t="n"/>
      <c r="R481" s="81" t="n"/>
      <c r="S481" s="81" t="n"/>
      <c r="T481" s="136">
        <f>IF(AND(E481&gt;0,U481=0),1,"")</f>
        <v/>
      </c>
      <c r="U481" s="136">
        <f>SUM(X481:AR481)</f>
        <v/>
      </c>
      <c r="V481" s="136">
        <f>IF(E481=$Q$16,0,SUM(X481:AI481))</f>
        <v/>
      </c>
      <c r="W481" s="136">
        <f>SUM(AK481:AR481)</f>
        <v/>
      </c>
      <c r="X481" s="136">
        <f>IF(E481=$X$6,1,"")</f>
        <v/>
      </c>
      <c r="Y481" s="136">
        <f>IF(E481=$Y$6,1,"")</f>
        <v/>
      </c>
      <c r="Z481" s="136">
        <f>IF(E481=$Z$6,1,"")</f>
        <v/>
      </c>
      <c r="AA481" s="136">
        <f>IF(E481=$AA$6,1,"")</f>
        <v/>
      </c>
      <c r="AB481" s="136">
        <f>IF(E481=$AB$6,1,"")</f>
        <v/>
      </c>
      <c r="AC481" s="136">
        <f>IF(E481=$AC$6,1,"")</f>
        <v/>
      </c>
      <c r="AD481" s="136">
        <f>IF(E481=$AD$6,1,"")</f>
        <v/>
      </c>
      <c r="AE481" s="136">
        <f>IF(E481=$AE$6,1,"")</f>
        <v/>
      </c>
      <c r="AF481" s="136">
        <f>IF(E481=$AF$6,1,"")</f>
        <v/>
      </c>
      <c r="AG481" s="136">
        <f>IF(E481=$AG$6,1,"")</f>
        <v/>
      </c>
      <c r="AH481" s="136">
        <f>IF(E481=$AH$6,1,"")</f>
        <v/>
      </c>
      <c r="AI481" s="136">
        <f>IF(E481=$AI$6,1,"")</f>
        <v/>
      </c>
      <c r="AJ481" s="136">
        <f>IF(E481=$AJ$6,1,"")</f>
        <v/>
      </c>
      <c r="AK481" s="81">
        <f>IF(E481=$AK$6,1,"")</f>
        <v/>
      </c>
      <c r="AL481" s="81">
        <f>IF(E481=$AL$6,1,"")</f>
        <v/>
      </c>
      <c r="AM481" s="81">
        <f>IF(E481=$AM$6,1,"")</f>
        <v/>
      </c>
      <c r="AN481" s="81">
        <f>IF(E481=$AN$6,1,"")</f>
        <v/>
      </c>
      <c r="AO481" s="81">
        <f>IF(E481=$AO$6,1,"")</f>
        <v/>
      </c>
      <c r="AP481" s="81">
        <f>IF(E481=$AP$6,1,"")</f>
        <v/>
      </c>
      <c r="AQ481" s="81">
        <f>IF(E481=$AQ$6,1,"")</f>
        <v/>
      </c>
      <c r="AR481" s="81">
        <f>IF(E481=$AR$6,1,"")</f>
        <v/>
      </c>
      <c r="AS481" s="81" t="n"/>
    </row>
    <row r="482" ht="15.75" customHeight="1" s="80">
      <c r="A482" s="157" t="n"/>
      <c r="B482" s="124" t="n"/>
      <c r="C482" s="125" t="n"/>
      <c r="D482" s="126" t="n"/>
      <c r="E482" s="127" t="n"/>
      <c r="F482" s="128" t="n"/>
      <c r="G482" s="129">
        <f>IF(F482="","",ROUND(F482/60,2))</f>
        <v/>
      </c>
      <c r="H482" s="130" t="n"/>
      <c r="I482" s="131" t="n"/>
      <c r="J482" s="131">
        <f>IF(COUNTIF(B482:E482,"*")=0,"",IF(T482=1,"Invalid Service",IF(AND(V482=1,F482=""),"Add Session Mins",IF(AND(E482&gt;0,H482="",T482=""),"Enter Contract Rate",IF(AND(E482="IEP mtg, prep, rept",F482&gt;0),(G482*H482),IF(AND(E482&gt;0,F482&gt;0,H482&gt;0,I482=""),"Enter Travel",IF(AND(F482&gt;0,I482="Y"),(G482*H482)+$M$10,IF(AND(F482&gt;0,I482="N"),(G482*H482),H482))))))))</f>
        <v/>
      </c>
      <c r="K482" s="132">
        <f>J482</f>
        <v/>
      </c>
      <c r="L482" s="148" t="n"/>
      <c r="M482" s="148" t="n"/>
      <c r="N482" s="148" t="n"/>
      <c r="O482" s="87" t="n"/>
      <c r="P482" s="81" t="n"/>
      <c r="Q482" s="81" t="n"/>
      <c r="R482" s="81" t="n"/>
      <c r="S482" s="81" t="n"/>
      <c r="T482" s="136">
        <f>IF(AND(E482&gt;0,U482=0),1,"")</f>
        <v/>
      </c>
      <c r="U482" s="136">
        <f>SUM(X482:AR482)</f>
        <v/>
      </c>
      <c r="V482" s="136">
        <f>IF(E482=$Q$16,0,SUM(X482:AI482))</f>
        <v/>
      </c>
      <c r="W482" s="136">
        <f>SUM(AK482:AR482)</f>
        <v/>
      </c>
      <c r="X482" s="136">
        <f>IF(E482=$X$6,1,"")</f>
        <v/>
      </c>
      <c r="Y482" s="136">
        <f>IF(E482=$Y$6,1,"")</f>
        <v/>
      </c>
      <c r="Z482" s="136">
        <f>IF(E482=$Z$6,1,"")</f>
        <v/>
      </c>
      <c r="AA482" s="136">
        <f>IF(E482=$AA$6,1,"")</f>
        <v/>
      </c>
      <c r="AB482" s="136">
        <f>IF(E482=$AB$6,1,"")</f>
        <v/>
      </c>
      <c r="AC482" s="136">
        <f>IF(E482=$AC$6,1,"")</f>
        <v/>
      </c>
      <c r="AD482" s="136">
        <f>IF(E482=$AD$6,1,"")</f>
        <v/>
      </c>
      <c r="AE482" s="136">
        <f>IF(E482=$AE$6,1,"")</f>
        <v/>
      </c>
      <c r="AF482" s="136">
        <f>IF(E482=$AF$6,1,"")</f>
        <v/>
      </c>
      <c r="AG482" s="136">
        <f>IF(E482=$AG$6,1,"")</f>
        <v/>
      </c>
      <c r="AH482" s="136">
        <f>IF(E482=$AH$6,1,"")</f>
        <v/>
      </c>
      <c r="AI482" s="136">
        <f>IF(E482=$AI$6,1,"")</f>
        <v/>
      </c>
      <c r="AJ482" s="136">
        <f>IF(E482=$AJ$6,1,"")</f>
        <v/>
      </c>
      <c r="AK482" s="81">
        <f>IF(E482=$AK$6,1,"")</f>
        <v/>
      </c>
      <c r="AL482" s="81">
        <f>IF(E482=$AL$6,1,"")</f>
        <v/>
      </c>
      <c r="AM482" s="81">
        <f>IF(E482=$AM$6,1,"")</f>
        <v/>
      </c>
      <c r="AN482" s="81">
        <f>IF(E482=$AN$6,1,"")</f>
        <v/>
      </c>
      <c r="AO482" s="81">
        <f>IF(E482=$AO$6,1,"")</f>
        <v/>
      </c>
      <c r="AP482" s="81">
        <f>IF(E482=$AP$6,1,"")</f>
        <v/>
      </c>
      <c r="AQ482" s="81">
        <f>IF(E482=$AQ$6,1,"")</f>
        <v/>
      </c>
      <c r="AR482" s="81">
        <f>IF(E482=$AR$6,1,"")</f>
        <v/>
      </c>
      <c r="AS482" s="81" t="n"/>
    </row>
    <row r="483" ht="15.75" customHeight="1" s="80">
      <c r="A483" s="157" t="n"/>
      <c r="B483" s="124" t="n"/>
      <c r="C483" s="125" t="n"/>
      <c r="D483" s="126" t="n"/>
      <c r="E483" s="127" t="n"/>
      <c r="F483" s="128" t="n"/>
      <c r="G483" s="129">
        <f>IF(F483="","",ROUND(F483/60,2))</f>
        <v/>
      </c>
      <c r="H483" s="130" t="n"/>
      <c r="I483" s="131" t="n"/>
      <c r="J483" s="131">
        <f>IF(COUNTIF(B483:E483,"*")=0,"",IF(T483=1,"Invalid Service",IF(AND(V483=1,F483=""),"Add Session Mins",IF(AND(E483&gt;0,H483="",T483=""),"Enter Contract Rate",IF(AND(E483="IEP mtg, prep, rept",F483&gt;0),(G483*H483),IF(AND(E483&gt;0,F483&gt;0,H483&gt;0,I483=""),"Enter Travel",IF(AND(F483&gt;0,I483="Y"),(G483*H483)+$M$10,IF(AND(F483&gt;0,I483="N"),(G483*H483),H483))))))))</f>
        <v/>
      </c>
      <c r="K483" s="132">
        <f>J483</f>
        <v/>
      </c>
      <c r="L483" s="148" t="n"/>
      <c r="M483" s="148" t="n"/>
      <c r="N483" s="148" t="n"/>
      <c r="O483" s="87" t="n"/>
      <c r="P483" s="81" t="n"/>
      <c r="Q483" s="81" t="n"/>
      <c r="R483" s="81" t="n"/>
      <c r="S483" s="81" t="n"/>
      <c r="T483" s="136">
        <f>IF(AND(E483&gt;0,U483=0),1,"")</f>
        <v/>
      </c>
      <c r="U483" s="136">
        <f>SUM(X483:AR483)</f>
        <v/>
      </c>
      <c r="V483" s="136">
        <f>IF(E483=$Q$16,0,SUM(X483:AI483))</f>
        <v/>
      </c>
      <c r="W483" s="136">
        <f>SUM(AK483:AR483)</f>
        <v/>
      </c>
      <c r="X483" s="136">
        <f>IF(E483=$X$6,1,"")</f>
        <v/>
      </c>
      <c r="Y483" s="136">
        <f>IF(E483=$Y$6,1,"")</f>
        <v/>
      </c>
      <c r="Z483" s="136">
        <f>IF(E483=$Z$6,1,"")</f>
        <v/>
      </c>
      <c r="AA483" s="136">
        <f>IF(E483=$AA$6,1,"")</f>
        <v/>
      </c>
      <c r="AB483" s="136">
        <f>IF(E483=$AB$6,1,"")</f>
        <v/>
      </c>
      <c r="AC483" s="136">
        <f>IF(E483=$AC$6,1,"")</f>
        <v/>
      </c>
      <c r="AD483" s="136">
        <f>IF(E483=$AD$6,1,"")</f>
        <v/>
      </c>
      <c r="AE483" s="136">
        <f>IF(E483=$AE$6,1,"")</f>
        <v/>
      </c>
      <c r="AF483" s="136">
        <f>IF(E483=$AF$6,1,"")</f>
        <v/>
      </c>
      <c r="AG483" s="136">
        <f>IF(E483=$AG$6,1,"")</f>
        <v/>
      </c>
      <c r="AH483" s="136">
        <f>IF(E483=$AH$6,1,"")</f>
        <v/>
      </c>
      <c r="AI483" s="136">
        <f>IF(E483=$AI$6,1,"")</f>
        <v/>
      </c>
      <c r="AJ483" s="136">
        <f>IF(E483=$AJ$6,1,"")</f>
        <v/>
      </c>
      <c r="AK483" s="81">
        <f>IF(E483=$AK$6,1,"")</f>
        <v/>
      </c>
      <c r="AL483" s="81">
        <f>IF(E483=$AL$6,1,"")</f>
        <v/>
      </c>
      <c r="AM483" s="81">
        <f>IF(E483=$AM$6,1,"")</f>
        <v/>
      </c>
      <c r="AN483" s="81">
        <f>IF(E483=$AN$6,1,"")</f>
        <v/>
      </c>
      <c r="AO483" s="81">
        <f>IF(E483=$AO$6,1,"")</f>
        <v/>
      </c>
      <c r="AP483" s="81">
        <f>IF(E483=$AP$6,1,"")</f>
        <v/>
      </c>
      <c r="AQ483" s="81">
        <f>IF(E483=$AQ$6,1,"")</f>
        <v/>
      </c>
      <c r="AR483" s="81">
        <f>IF(E483=$AR$6,1,"")</f>
        <v/>
      </c>
      <c r="AS483" s="81" t="n"/>
    </row>
    <row r="484" ht="15.75" customHeight="1" s="80">
      <c r="A484" s="157" t="n"/>
      <c r="B484" s="124" t="n"/>
      <c r="C484" s="125" t="n"/>
      <c r="D484" s="126" t="n"/>
      <c r="E484" s="127" t="n"/>
      <c r="F484" s="128" t="n"/>
      <c r="G484" s="129">
        <f>IF(F484="","",ROUND(F484/60,2))</f>
        <v/>
      </c>
      <c r="H484" s="130" t="n"/>
      <c r="I484" s="131" t="n"/>
      <c r="J484" s="131">
        <f>IF(COUNTIF(B484:E484,"*")=0,"",IF(T484=1,"Invalid Service",IF(AND(V484=1,F484=""),"Add Session Mins",IF(AND(E484&gt;0,H484="",T484=""),"Enter Contract Rate",IF(AND(E484="IEP mtg, prep, rept",F484&gt;0),(G484*H484),IF(AND(E484&gt;0,F484&gt;0,H484&gt;0,I484=""),"Enter Travel",IF(AND(F484&gt;0,I484="Y"),(G484*H484)+$M$10,IF(AND(F484&gt;0,I484="N"),(G484*H484),H484))))))))</f>
        <v/>
      </c>
      <c r="K484" s="132">
        <f>J484</f>
        <v/>
      </c>
      <c r="L484" s="148" t="n"/>
      <c r="M484" s="148" t="n"/>
      <c r="N484" s="148" t="n"/>
      <c r="O484" s="87" t="n"/>
      <c r="P484" s="81" t="n"/>
      <c r="Q484" s="81" t="n"/>
      <c r="R484" s="81" t="n"/>
      <c r="S484" s="81" t="n"/>
      <c r="T484" s="136">
        <f>IF(AND(E484&gt;0,U484=0),1,"")</f>
        <v/>
      </c>
      <c r="U484" s="136">
        <f>SUM(X484:AR484)</f>
        <v/>
      </c>
      <c r="V484" s="136">
        <f>IF(E484=$Q$16,0,SUM(X484:AI484))</f>
        <v/>
      </c>
      <c r="W484" s="136">
        <f>SUM(AK484:AR484)</f>
        <v/>
      </c>
      <c r="X484" s="136">
        <f>IF(E484=$X$6,1,"")</f>
        <v/>
      </c>
      <c r="Y484" s="136">
        <f>IF(E484=$Y$6,1,"")</f>
        <v/>
      </c>
      <c r="Z484" s="136">
        <f>IF(E484=$Z$6,1,"")</f>
        <v/>
      </c>
      <c r="AA484" s="136">
        <f>IF(E484=$AA$6,1,"")</f>
        <v/>
      </c>
      <c r="AB484" s="136">
        <f>IF(E484=$AB$6,1,"")</f>
        <v/>
      </c>
      <c r="AC484" s="136">
        <f>IF(E484=$AC$6,1,"")</f>
        <v/>
      </c>
      <c r="AD484" s="136">
        <f>IF(E484=$AD$6,1,"")</f>
        <v/>
      </c>
      <c r="AE484" s="136">
        <f>IF(E484=$AE$6,1,"")</f>
        <v/>
      </c>
      <c r="AF484" s="136">
        <f>IF(E484=$AF$6,1,"")</f>
        <v/>
      </c>
      <c r="AG484" s="136">
        <f>IF(E484=$AG$6,1,"")</f>
        <v/>
      </c>
      <c r="AH484" s="136">
        <f>IF(E484=$AH$6,1,"")</f>
        <v/>
      </c>
      <c r="AI484" s="136">
        <f>IF(E484=$AI$6,1,"")</f>
        <v/>
      </c>
      <c r="AJ484" s="136">
        <f>IF(E484=$AJ$6,1,"")</f>
        <v/>
      </c>
      <c r="AK484" s="81">
        <f>IF(E484=$AK$6,1,"")</f>
        <v/>
      </c>
      <c r="AL484" s="81">
        <f>IF(E484=$AL$6,1,"")</f>
        <v/>
      </c>
      <c r="AM484" s="81">
        <f>IF(E484=$AM$6,1,"")</f>
        <v/>
      </c>
      <c r="AN484" s="81">
        <f>IF(E484=$AN$6,1,"")</f>
        <v/>
      </c>
      <c r="AO484" s="81">
        <f>IF(E484=$AO$6,1,"")</f>
        <v/>
      </c>
      <c r="AP484" s="81">
        <f>IF(E484=$AP$6,1,"")</f>
        <v/>
      </c>
      <c r="AQ484" s="81">
        <f>IF(E484=$AQ$6,1,"")</f>
        <v/>
      </c>
      <c r="AR484" s="81">
        <f>IF(E484=$AR$6,1,"")</f>
        <v/>
      </c>
      <c r="AS484" s="81" t="n"/>
    </row>
    <row r="485" ht="15.75" customHeight="1" s="80">
      <c r="A485" s="157" t="n"/>
      <c r="B485" s="124" t="n"/>
      <c r="C485" s="125" t="n"/>
      <c r="D485" s="126" t="n"/>
      <c r="E485" s="127" t="n"/>
      <c r="F485" s="128" t="n"/>
      <c r="G485" s="129">
        <f>IF(F485="","",ROUND(F485/60,2))</f>
        <v/>
      </c>
      <c r="H485" s="130" t="n"/>
      <c r="I485" s="131" t="n"/>
      <c r="J485" s="131">
        <f>IF(COUNTIF(B485:E485,"*")=0,"",IF(T485=1,"Invalid Service",IF(AND(V485=1,F485=""),"Add Session Mins",IF(AND(E485&gt;0,H485="",T485=""),"Enter Contract Rate",IF(AND(E485="IEP mtg, prep, rept",F485&gt;0),(G485*H485),IF(AND(E485&gt;0,F485&gt;0,H485&gt;0,I485=""),"Enter Travel",IF(AND(F485&gt;0,I485="Y"),(G485*H485)+$M$10,IF(AND(F485&gt;0,I485="N"),(G485*H485),H485))))))))</f>
        <v/>
      </c>
      <c r="K485" s="132">
        <f>J485</f>
        <v/>
      </c>
      <c r="L485" s="148" t="n"/>
      <c r="M485" s="148" t="n"/>
      <c r="N485" s="148" t="n"/>
      <c r="O485" s="87" t="n"/>
      <c r="P485" s="81" t="n"/>
      <c r="Q485" s="81" t="n"/>
      <c r="R485" s="81" t="n"/>
      <c r="S485" s="81" t="n"/>
      <c r="T485" s="136">
        <f>IF(AND(E485&gt;0,U485=0),1,"")</f>
        <v/>
      </c>
      <c r="U485" s="136">
        <f>SUM(X485:AR485)</f>
        <v/>
      </c>
      <c r="V485" s="136">
        <f>IF(E485=$Q$16,0,SUM(X485:AI485))</f>
        <v/>
      </c>
      <c r="W485" s="136">
        <f>SUM(AK485:AR485)</f>
        <v/>
      </c>
      <c r="X485" s="136">
        <f>IF(E485=$X$6,1,"")</f>
        <v/>
      </c>
      <c r="Y485" s="136">
        <f>IF(E485=$Y$6,1,"")</f>
        <v/>
      </c>
      <c r="Z485" s="136">
        <f>IF(E485=$Z$6,1,"")</f>
        <v/>
      </c>
      <c r="AA485" s="136">
        <f>IF(E485=$AA$6,1,"")</f>
        <v/>
      </c>
      <c r="AB485" s="136">
        <f>IF(E485=$AB$6,1,"")</f>
        <v/>
      </c>
      <c r="AC485" s="136">
        <f>IF(E485=$AC$6,1,"")</f>
        <v/>
      </c>
      <c r="AD485" s="136">
        <f>IF(E485=$AD$6,1,"")</f>
        <v/>
      </c>
      <c r="AE485" s="136">
        <f>IF(E485=$AE$6,1,"")</f>
        <v/>
      </c>
      <c r="AF485" s="136">
        <f>IF(E485=$AF$6,1,"")</f>
        <v/>
      </c>
      <c r="AG485" s="136">
        <f>IF(E485=$AG$6,1,"")</f>
        <v/>
      </c>
      <c r="AH485" s="136">
        <f>IF(E485=$AH$6,1,"")</f>
        <v/>
      </c>
      <c r="AI485" s="136">
        <f>IF(E485=$AI$6,1,"")</f>
        <v/>
      </c>
      <c r="AJ485" s="136">
        <f>IF(E485=$AJ$6,1,"")</f>
        <v/>
      </c>
      <c r="AK485" s="81">
        <f>IF(E485=$AK$6,1,"")</f>
        <v/>
      </c>
      <c r="AL485" s="81">
        <f>IF(E485=$AL$6,1,"")</f>
        <v/>
      </c>
      <c r="AM485" s="81">
        <f>IF(E485=$AM$6,1,"")</f>
        <v/>
      </c>
      <c r="AN485" s="81">
        <f>IF(E485=$AN$6,1,"")</f>
        <v/>
      </c>
      <c r="AO485" s="81">
        <f>IF(E485=$AO$6,1,"")</f>
        <v/>
      </c>
      <c r="AP485" s="81">
        <f>IF(E485=$AP$6,1,"")</f>
        <v/>
      </c>
      <c r="AQ485" s="81">
        <f>IF(E485=$AQ$6,1,"")</f>
        <v/>
      </c>
      <c r="AR485" s="81">
        <f>IF(E485=$AR$6,1,"")</f>
        <v/>
      </c>
      <c r="AS485" s="81" t="n"/>
    </row>
    <row r="486" ht="15.75" customHeight="1" s="80">
      <c r="A486" s="157" t="n"/>
      <c r="B486" s="124" t="n"/>
      <c r="C486" s="125" t="n"/>
      <c r="D486" s="126" t="n"/>
      <c r="E486" s="127" t="n"/>
      <c r="F486" s="128" t="n"/>
      <c r="G486" s="129">
        <f>IF(F486="","",ROUND(F486/60,2))</f>
        <v/>
      </c>
      <c r="H486" s="130" t="n"/>
      <c r="I486" s="131" t="n"/>
      <c r="J486" s="131">
        <f>IF(COUNTIF(B486:E486,"*")=0,"",IF(T486=1,"Invalid Service",IF(AND(V486=1,F486=""),"Add Session Mins",IF(AND(E486&gt;0,H486="",T486=""),"Enter Contract Rate",IF(AND(E486="IEP mtg, prep, rept",F486&gt;0),(G486*H486),IF(AND(E486&gt;0,F486&gt;0,H486&gt;0,I486=""),"Enter Travel",IF(AND(F486&gt;0,I486="Y"),(G486*H486)+$M$10,IF(AND(F486&gt;0,I486="N"),(G486*H486),H486))))))))</f>
        <v/>
      </c>
      <c r="K486" s="132">
        <f>J486</f>
        <v/>
      </c>
      <c r="L486" s="148" t="n"/>
      <c r="M486" s="148" t="n"/>
      <c r="N486" s="148" t="n"/>
      <c r="O486" s="87" t="n"/>
      <c r="P486" s="81" t="n"/>
      <c r="Q486" s="81" t="n"/>
      <c r="R486" s="81" t="n"/>
      <c r="S486" s="81" t="n"/>
      <c r="T486" s="136">
        <f>IF(AND(E486&gt;0,U486=0),1,"")</f>
        <v/>
      </c>
      <c r="U486" s="136">
        <f>SUM(X486:AR486)</f>
        <v/>
      </c>
      <c r="V486" s="136">
        <f>IF(E486=$Q$16,0,SUM(X486:AI486))</f>
        <v/>
      </c>
      <c r="W486" s="136">
        <f>SUM(AK486:AR486)</f>
        <v/>
      </c>
      <c r="X486" s="136">
        <f>IF(E486=$X$6,1,"")</f>
        <v/>
      </c>
      <c r="Y486" s="136">
        <f>IF(E486=$Y$6,1,"")</f>
        <v/>
      </c>
      <c r="Z486" s="136">
        <f>IF(E486=$Z$6,1,"")</f>
        <v/>
      </c>
      <c r="AA486" s="136">
        <f>IF(E486=$AA$6,1,"")</f>
        <v/>
      </c>
      <c r="AB486" s="136">
        <f>IF(E486=$AB$6,1,"")</f>
        <v/>
      </c>
      <c r="AC486" s="136">
        <f>IF(E486=$AC$6,1,"")</f>
        <v/>
      </c>
      <c r="AD486" s="136">
        <f>IF(E486=$AD$6,1,"")</f>
        <v/>
      </c>
      <c r="AE486" s="136">
        <f>IF(E486=$AE$6,1,"")</f>
        <v/>
      </c>
      <c r="AF486" s="136">
        <f>IF(E486=$AF$6,1,"")</f>
        <v/>
      </c>
      <c r="AG486" s="136">
        <f>IF(E486=$AG$6,1,"")</f>
        <v/>
      </c>
      <c r="AH486" s="136">
        <f>IF(E486=$AH$6,1,"")</f>
        <v/>
      </c>
      <c r="AI486" s="136">
        <f>IF(E486=$AI$6,1,"")</f>
        <v/>
      </c>
      <c r="AJ486" s="136">
        <f>IF(E486=$AJ$6,1,"")</f>
        <v/>
      </c>
      <c r="AK486" s="81">
        <f>IF(E486=$AK$6,1,"")</f>
        <v/>
      </c>
      <c r="AL486" s="81">
        <f>IF(E486=$AL$6,1,"")</f>
        <v/>
      </c>
      <c r="AM486" s="81">
        <f>IF(E486=$AM$6,1,"")</f>
        <v/>
      </c>
      <c r="AN486" s="81">
        <f>IF(E486=$AN$6,1,"")</f>
        <v/>
      </c>
      <c r="AO486" s="81">
        <f>IF(E486=$AO$6,1,"")</f>
        <v/>
      </c>
      <c r="AP486" s="81">
        <f>IF(E486=$AP$6,1,"")</f>
        <v/>
      </c>
      <c r="AQ486" s="81">
        <f>IF(E486=$AQ$6,1,"")</f>
        <v/>
      </c>
      <c r="AR486" s="81">
        <f>IF(E486=$AR$6,1,"")</f>
        <v/>
      </c>
      <c r="AS486" s="81" t="n"/>
    </row>
    <row r="487" ht="15.75" customHeight="1" s="80">
      <c r="A487" s="157" t="n"/>
      <c r="B487" s="124" t="n"/>
      <c r="C487" s="125" t="n"/>
      <c r="D487" s="126" t="n"/>
      <c r="E487" s="127" t="n"/>
      <c r="F487" s="128" t="n"/>
      <c r="G487" s="129">
        <f>IF(F487="","",ROUND(F487/60,2))</f>
        <v/>
      </c>
      <c r="H487" s="130" t="n"/>
      <c r="I487" s="131" t="n"/>
      <c r="J487" s="131">
        <f>IF(COUNTIF(B487:E487,"*")=0,"",IF(T487=1,"Invalid Service",IF(AND(V487=1,F487=""),"Add Session Mins",IF(AND(E487&gt;0,H487="",T487=""),"Enter Contract Rate",IF(AND(E487="IEP mtg, prep, rept",F487&gt;0),(G487*H487),IF(AND(E487&gt;0,F487&gt;0,H487&gt;0,I487=""),"Enter Travel",IF(AND(F487&gt;0,I487="Y"),(G487*H487)+$M$10,IF(AND(F487&gt;0,I487="N"),(G487*H487),H487))))))))</f>
        <v/>
      </c>
      <c r="K487" s="132">
        <f>J487</f>
        <v/>
      </c>
      <c r="L487" s="148" t="n"/>
      <c r="M487" s="148" t="n"/>
      <c r="N487" s="148" t="n"/>
      <c r="O487" s="87" t="n"/>
      <c r="P487" s="81" t="n"/>
      <c r="Q487" s="81" t="n"/>
      <c r="R487" s="81" t="n"/>
      <c r="S487" s="81" t="n"/>
      <c r="T487" s="136">
        <f>IF(AND(E487&gt;0,U487=0),1,"")</f>
        <v/>
      </c>
      <c r="U487" s="136">
        <f>SUM(X487:AR487)</f>
        <v/>
      </c>
      <c r="V487" s="136">
        <f>IF(E487=$Q$16,0,SUM(X487:AI487))</f>
        <v/>
      </c>
      <c r="W487" s="136">
        <f>SUM(AK487:AR487)</f>
        <v/>
      </c>
      <c r="X487" s="136">
        <f>IF(E487=$X$6,1,"")</f>
        <v/>
      </c>
      <c r="Y487" s="136">
        <f>IF(E487=$Y$6,1,"")</f>
        <v/>
      </c>
      <c r="Z487" s="136">
        <f>IF(E487=$Z$6,1,"")</f>
        <v/>
      </c>
      <c r="AA487" s="136">
        <f>IF(E487=$AA$6,1,"")</f>
        <v/>
      </c>
      <c r="AB487" s="136">
        <f>IF(E487=$AB$6,1,"")</f>
        <v/>
      </c>
      <c r="AC487" s="136">
        <f>IF(E487=$AC$6,1,"")</f>
        <v/>
      </c>
      <c r="AD487" s="136">
        <f>IF(E487=$AD$6,1,"")</f>
        <v/>
      </c>
      <c r="AE487" s="136">
        <f>IF(E487=$AE$6,1,"")</f>
        <v/>
      </c>
      <c r="AF487" s="136">
        <f>IF(E487=$AF$6,1,"")</f>
        <v/>
      </c>
      <c r="AG487" s="136">
        <f>IF(E487=$AG$6,1,"")</f>
        <v/>
      </c>
      <c r="AH487" s="136">
        <f>IF(E487=$AH$6,1,"")</f>
        <v/>
      </c>
      <c r="AI487" s="136">
        <f>IF(E487=$AI$6,1,"")</f>
        <v/>
      </c>
      <c r="AJ487" s="136">
        <f>IF(E487=$AJ$6,1,"")</f>
        <v/>
      </c>
      <c r="AK487" s="81">
        <f>IF(E487=$AK$6,1,"")</f>
        <v/>
      </c>
      <c r="AL487" s="81">
        <f>IF(E487=$AL$6,1,"")</f>
        <v/>
      </c>
      <c r="AM487" s="81">
        <f>IF(E487=$AM$6,1,"")</f>
        <v/>
      </c>
      <c r="AN487" s="81">
        <f>IF(E487=$AN$6,1,"")</f>
        <v/>
      </c>
      <c r="AO487" s="81">
        <f>IF(E487=$AO$6,1,"")</f>
        <v/>
      </c>
      <c r="AP487" s="81">
        <f>IF(E487=$AP$6,1,"")</f>
        <v/>
      </c>
      <c r="AQ487" s="81">
        <f>IF(E487=$AQ$6,1,"")</f>
        <v/>
      </c>
      <c r="AR487" s="81">
        <f>IF(E487=$AR$6,1,"")</f>
        <v/>
      </c>
      <c r="AS487" s="81" t="n"/>
    </row>
    <row r="488" ht="15.75" customHeight="1" s="80">
      <c r="A488" s="157" t="n"/>
      <c r="B488" s="124" t="n"/>
      <c r="C488" s="125" t="n"/>
      <c r="D488" s="126" t="n"/>
      <c r="E488" s="127" t="n"/>
      <c r="F488" s="128" t="n"/>
      <c r="G488" s="129">
        <f>IF(F488="","",ROUND(F488/60,2))</f>
        <v/>
      </c>
      <c r="H488" s="130" t="n"/>
      <c r="I488" s="131" t="n"/>
      <c r="J488" s="131">
        <f>IF(COUNTIF(B488:E488,"*")=0,"",IF(T488=1,"Invalid Service",IF(AND(V488=1,F488=""),"Add Session Mins",IF(AND(E488&gt;0,H488="",T488=""),"Enter Contract Rate",IF(AND(E488="IEP mtg, prep, rept",F488&gt;0),(G488*H488),IF(AND(E488&gt;0,F488&gt;0,H488&gt;0,I488=""),"Enter Travel",IF(AND(F488&gt;0,I488="Y"),(G488*H488)+$M$10,IF(AND(F488&gt;0,I488="N"),(G488*H488),H488))))))))</f>
        <v/>
      </c>
      <c r="K488" s="132">
        <f>J488</f>
        <v/>
      </c>
      <c r="L488" s="148" t="n"/>
      <c r="M488" s="148" t="n"/>
      <c r="N488" s="148" t="n"/>
      <c r="O488" s="87" t="n"/>
      <c r="P488" s="81" t="n"/>
      <c r="Q488" s="81" t="n"/>
      <c r="R488" s="81" t="n"/>
      <c r="S488" s="81" t="n"/>
      <c r="T488" s="136">
        <f>IF(AND(E488&gt;0,U488=0),1,"")</f>
        <v/>
      </c>
      <c r="U488" s="136">
        <f>SUM(X488:AR488)</f>
        <v/>
      </c>
      <c r="V488" s="136">
        <f>IF(E488=$Q$16,0,SUM(X488:AI488))</f>
        <v/>
      </c>
      <c r="W488" s="136">
        <f>SUM(AK488:AR488)</f>
        <v/>
      </c>
      <c r="X488" s="136">
        <f>IF(E488=$X$6,1,"")</f>
        <v/>
      </c>
      <c r="Y488" s="136">
        <f>IF(E488=$Y$6,1,"")</f>
        <v/>
      </c>
      <c r="Z488" s="136">
        <f>IF(E488=$Z$6,1,"")</f>
        <v/>
      </c>
      <c r="AA488" s="136">
        <f>IF(E488=$AA$6,1,"")</f>
        <v/>
      </c>
      <c r="AB488" s="136">
        <f>IF(E488=$AB$6,1,"")</f>
        <v/>
      </c>
      <c r="AC488" s="136">
        <f>IF(E488=$AC$6,1,"")</f>
        <v/>
      </c>
      <c r="AD488" s="136">
        <f>IF(E488=$AD$6,1,"")</f>
        <v/>
      </c>
      <c r="AE488" s="136">
        <f>IF(E488=$AE$6,1,"")</f>
        <v/>
      </c>
      <c r="AF488" s="136">
        <f>IF(E488=$AF$6,1,"")</f>
        <v/>
      </c>
      <c r="AG488" s="136">
        <f>IF(E488=$AG$6,1,"")</f>
        <v/>
      </c>
      <c r="AH488" s="136">
        <f>IF(E488=$AH$6,1,"")</f>
        <v/>
      </c>
      <c r="AI488" s="136">
        <f>IF(E488=$AI$6,1,"")</f>
        <v/>
      </c>
      <c r="AJ488" s="136">
        <f>IF(E488=$AJ$6,1,"")</f>
        <v/>
      </c>
      <c r="AK488" s="81">
        <f>IF(E488=$AK$6,1,"")</f>
        <v/>
      </c>
      <c r="AL488" s="81">
        <f>IF(E488=$AL$6,1,"")</f>
        <v/>
      </c>
      <c r="AM488" s="81">
        <f>IF(E488=$AM$6,1,"")</f>
        <v/>
      </c>
      <c r="AN488" s="81">
        <f>IF(E488=$AN$6,1,"")</f>
        <v/>
      </c>
      <c r="AO488" s="81">
        <f>IF(E488=$AO$6,1,"")</f>
        <v/>
      </c>
      <c r="AP488" s="81">
        <f>IF(E488=$AP$6,1,"")</f>
        <v/>
      </c>
      <c r="AQ488" s="81">
        <f>IF(E488=$AQ$6,1,"")</f>
        <v/>
      </c>
      <c r="AR488" s="81">
        <f>IF(E488=$AR$6,1,"")</f>
        <v/>
      </c>
      <c r="AS488" s="81" t="n"/>
    </row>
    <row r="489" ht="15.75" customHeight="1" s="80">
      <c r="A489" s="157" t="n"/>
      <c r="B489" s="124" t="n"/>
      <c r="C489" s="125" t="n"/>
      <c r="D489" s="126" t="n"/>
      <c r="E489" s="127" t="n"/>
      <c r="F489" s="128" t="n"/>
      <c r="G489" s="129">
        <f>IF(F489="","",ROUND(F489/60,2))</f>
        <v/>
      </c>
      <c r="H489" s="130" t="n"/>
      <c r="I489" s="131" t="n"/>
      <c r="J489" s="131">
        <f>IF(COUNTIF(B489:E489,"*")=0,"",IF(T489=1,"Invalid Service",IF(AND(V489=1,F489=""),"Add Session Mins",IF(AND(E489&gt;0,H489="",T489=""),"Enter Contract Rate",IF(AND(E489="IEP mtg, prep, rept",F489&gt;0),(G489*H489),IF(AND(E489&gt;0,F489&gt;0,H489&gt;0,I489=""),"Enter Travel",IF(AND(F489&gt;0,I489="Y"),(G489*H489)+$M$10,IF(AND(F489&gt;0,I489="N"),(G489*H489),H489))))))))</f>
        <v/>
      </c>
      <c r="K489" s="132">
        <f>J489</f>
        <v/>
      </c>
      <c r="L489" s="148" t="n"/>
      <c r="M489" s="148" t="n"/>
      <c r="N489" s="148" t="n"/>
      <c r="O489" s="87" t="n"/>
      <c r="P489" s="81" t="n"/>
      <c r="Q489" s="81" t="n"/>
      <c r="R489" s="81" t="n"/>
      <c r="S489" s="81" t="n"/>
      <c r="T489" s="136">
        <f>IF(AND(E489&gt;0,U489=0),1,"")</f>
        <v/>
      </c>
      <c r="U489" s="136">
        <f>SUM(X489:AR489)</f>
        <v/>
      </c>
      <c r="V489" s="136">
        <f>IF(E489=$Q$16,0,SUM(X489:AI489))</f>
        <v/>
      </c>
      <c r="W489" s="136">
        <f>SUM(AK489:AR489)</f>
        <v/>
      </c>
      <c r="X489" s="136">
        <f>IF(E489=$X$6,1,"")</f>
        <v/>
      </c>
      <c r="Y489" s="136">
        <f>IF(E489=$Y$6,1,"")</f>
        <v/>
      </c>
      <c r="Z489" s="136">
        <f>IF(E489=$Z$6,1,"")</f>
        <v/>
      </c>
      <c r="AA489" s="136">
        <f>IF(E489=$AA$6,1,"")</f>
        <v/>
      </c>
      <c r="AB489" s="136">
        <f>IF(E489=$AB$6,1,"")</f>
        <v/>
      </c>
      <c r="AC489" s="136">
        <f>IF(E489=$AC$6,1,"")</f>
        <v/>
      </c>
      <c r="AD489" s="136">
        <f>IF(E489=$AD$6,1,"")</f>
        <v/>
      </c>
      <c r="AE489" s="136">
        <f>IF(E489=$AE$6,1,"")</f>
        <v/>
      </c>
      <c r="AF489" s="136">
        <f>IF(E489=$AF$6,1,"")</f>
        <v/>
      </c>
      <c r="AG489" s="136">
        <f>IF(E489=$AG$6,1,"")</f>
        <v/>
      </c>
      <c r="AH489" s="136">
        <f>IF(E489=$AH$6,1,"")</f>
        <v/>
      </c>
      <c r="AI489" s="136">
        <f>IF(E489=$AI$6,1,"")</f>
        <v/>
      </c>
      <c r="AJ489" s="136">
        <f>IF(E489=$AJ$6,1,"")</f>
        <v/>
      </c>
      <c r="AK489" s="81">
        <f>IF(E489=$AK$6,1,"")</f>
        <v/>
      </c>
      <c r="AL489" s="81">
        <f>IF(E489=$AL$6,1,"")</f>
        <v/>
      </c>
      <c r="AM489" s="81">
        <f>IF(E489=$AM$6,1,"")</f>
        <v/>
      </c>
      <c r="AN489" s="81">
        <f>IF(E489=$AN$6,1,"")</f>
        <v/>
      </c>
      <c r="AO489" s="81">
        <f>IF(E489=$AO$6,1,"")</f>
        <v/>
      </c>
      <c r="AP489" s="81">
        <f>IF(E489=$AP$6,1,"")</f>
        <v/>
      </c>
      <c r="AQ489" s="81">
        <f>IF(E489=$AQ$6,1,"")</f>
        <v/>
      </c>
      <c r="AR489" s="81">
        <f>IF(E489=$AR$6,1,"")</f>
        <v/>
      </c>
      <c r="AS489" s="81" t="n"/>
    </row>
    <row r="490" ht="15.75" customHeight="1" s="80">
      <c r="A490" s="157" t="n"/>
      <c r="B490" s="124" t="n"/>
      <c r="C490" s="125" t="n"/>
      <c r="D490" s="126" t="n"/>
      <c r="E490" s="127" t="n"/>
      <c r="F490" s="128" t="n"/>
      <c r="G490" s="129">
        <f>IF(F490="","",ROUND(F490/60,2))</f>
        <v/>
      </c>
      <c r="H490" s="130" t="n"/>
      <c r="I490" s="131" t="n"/>
      <c r="J490" s="131">
        <f>IF(COUNTIF(B490:E490,"*")=0,"",IF(T490=1,"Invalid Service",IF(AND(V490=1,F490=""),"Add Session Mins",IF(AND(E490&gt;0,H490="",T490=""),"Enter Contract Rate",IF(AND(E490="IEP mtg, prep, rept",F490&gt;0),(G490*H490),IF(AND(E490&gt;0,F490&gt;0,H490&gt;0,I490=""),"Enter Travel",IF(AND(F490&gt;0,I490="Y"),(G490*H490)+$M$10,IF(AND(F490&gt;0,I490="N"),(G490*H490),H490))))))))</f>
        <v/>
      </c>
      <c r="K490" s="132">
        <f>J490</f>
        <v/>
      </c>
      <c r="L490" s="148" t="n"/>
      <c r="M490" s="148" t="n"/>
      <c r="N490" s="148" t="n"/>
      <c r="O490" s="87" t="n"/>
      <c r="P490" s="81" t="n"/>
      <c r="Q490" s="81" t="n"/>
      <c r="R490" s="81" t="n"/>
      <c r="S490" s="81" t="n"/>
      <c r="T490" s="136">
        <f>IF(AND(E490&gt;0,U490=0),1,"")</f>
        <v/>
      </c>
      <c r="U490" s="136">
        <f>SUM(X490:AR490)</f>
        <v/>
      </c>
      <c r="V490" s="136">
        <f>IF(E490=$Q$16,0,SUM(X490:AI490))</f>
        <v/>
      </c>
      <c r="W490" s="136">
        <f>SUM(AK490:AR490)</f>
        <v/>
      </c>
      <c r="X490" s="136">
        <f>IF(E490=$X$6,1,"")</f>
        <v/>
      </c>
      <c r="Y490" s="136">
        <f>IF(E490=$Y$6,1,"")</f>
        <v/>
      </c>
      <c r="Z490" s="136">
        <f>IF(E490=$Z$6,1,"")</f>
        <v/>
      </c>
      <c r="AA490" s="136">
        <f>IF(E490=$AA$6,1,"")</f>
        <v/>
      </c>
      <c r="AB490" s="136">
        <f>IF(E490=$AB$6,1,"")</f>
        <v/>
      </c>
      <c r="AC490" s="136">
        <f>IF(E490=$AC$6,1,"")</f>
        <v/>
      </c>
      <c r="AD490" s="136">
        <f>IF(E490=$AD$6,1,"")</f>
        <v/>
      </c>
      <c r="AE490" s="136">
        <f>IF(E490=$AE$6,1,"")</f>
        <v/>
      </c>
      <c r="AF490" s="136">
        <f>IF(E490=$AF$6,1,"")</f>
        <v/>
      </c>
      <c r="AG490" s="136">
        <f>IF(E490=$AG$6,1,"")</f>
        <v/>
      </c>
      <c r="AH490" s="136">
        <f>IF(E490=$AH$6,1,"")</f>
        <v/>
      </c>
      <c r="AI490" s="136">
        <f>IF(E490=$AI$6,1,"")</f>
        <v/>
      </c>
      <c r="AJ490" s="136">
        <f>IF(E490=$AJ$6,1,"")</f>
        <v/>
      </c>
      <c r="AK490" s="81">
        <f>IF(E490=$AK$6,1,"")</f>
        <v/>
      </c>
      <c r="AL490" s="81">
        <f>IF(E490=$AL$6,1,"")</f>
        <v/>
      </c>
      <c r="AM490" s="81">
        <f>IF(E490=$AM$6,1,"")</f>
        <v/>
      </c>
      <c r="AN490" s="81">
        <f>IF(E490=$AN$6,1,"")</f>
        <v/>
      </c>
      <c r="AO490" s="81">
        <f>IF(E490=$AO$6,1,"")</f>
        <v/>
      </c>
      <c r="AP490" s="81">
        <f>IF(E490=$AP$6,1,"")</f>
        <v/>
      </c>
      <c r="AQ490" s="81">
        <f>IF(E490=$AQ$6,1,"")</f>
        <v/>
      </c>
      <c r="AR490" s="81">
        <f>IF(E490=$AR$6,1,"")</f>
        <v/>
      </c>
      <c r="AS490" s="81" t="n"/>
    </row>
    <row r="491" ht="15.75" customHeight="1" s="80">
      <c r="A491" s="157" t="n"/>
      <c r="B491" s="124" t="n"/>
      <c r="C491" s="125" t="n"/>
      <c r="D491" s="126" t="n"/>
      <c r="E491" s="127" t="n"/>
      <c r="F491" s="128" t="n"/>
      <c r="G491" s="129">
        <f>IF(F491="","",ROUND(F491/60,2))</f>
        <v/>
      </c>
      <c r="H491" s="130" t="n"/>
      <c r="I491" s="131" t="n"/>
      <c r="J491" s="131">
        <f>IF(COUNTIF(B491:E491,"*")=0,"",IF(T491=1,"Invalid Service",IF(AND(V491=1,F491=""),"Add Session Mins",IF(AND(E491&gt;0,H491="",T491=""),"Enter Contract Rate",IF(AND(E491="IEP mtg, prep, rept",F491&gt;0),(G491*H491),IF(AND(E491&gt;0,F491&gt;0,H491&gt;0,I491=""),"Enter Travel",IF(AND(F491&gt;0,I491="Y"),(G491*H491)+$M$10,IF(AND(F491&gt;0,I491="N"),(G491*H491),H491))))))))</f>
        <v/>
      </c>
      <c r="K491" s="132">
        <f>J491</f>
        <v/>
      </c>
      <c r="L491" s="148" t="n"/>
      <c r="M491" s="148" t="n"/>
      <c r="N491" s="148" t="n"/>
      <c r="O491" s="87" t="n"/>
      <c r="P491" s="81" t="n"/>
      <c r="Q491" s="81" t="n"/>
      <c r="R491" s="81" t="n"/>
      <c r="S491" s="81" t="n"/>
      <c r="T491" s="136">
        <f>IF(AND(E491&gt;0,U491=0),1,"")</f>
        <v/>
      </c>
      <c r="U491" s="136">
        <f>SUM(X491:AR491)</f>
        <v/>
      </c>
      <c r="V491" s="136">
        <f>IF(E491=$Q$16,0,SUM(X491:AI491))</f>
        <v/>
      </c>
      <c r="W491" s="136">
        <f>SUM(AK491:AR491)</f>
        <v/>
      </c>
      <c r="X491" s="136">
        <f>IF(E491=$X$6,1,"")</f>
        <v/>
      </c>
      <c r="Y491" s="136">
        <f>IF(E491=$Y$6,1,"")</f>
        <v/>
      </c>
      <c r="Z491" s="136">
        <f>IF(E491=$Z$6,1,"")</f>
        <v/>
      </c>
      <c r="AA491" s="136">
        <f>IF(E491=$AA$6,1,"")</f>
        <v/>
      </c>
      <c r="AB491" s="136">
        <f>IF(E491=$AB$6,1,"")</f>
        <v/>
      </c>
      <c r="AC491" s="136">
        <f>IF(E491=$AC$6,1,"")</f>
        <v/>
      </c>
      <c r="AD491" s="136">
        <f>IF(E491=$AD$6,1,"")</f>
        <v/>
      </c>
      <c r="AE491" s="136">
        <f>IF(E491=$AE$6,1,"")</f>
        <v/>
      </c>
      <c r="AF491" s="136">
        <f>IF(E491=$AF$6,1,"")</f>
        <v/>
      </c>
      <c r="AG491" s="136">
        <f>IF(E491=$AG$6,1,"")</f>
        <v/>
      </c>
      <c r="AH491" s="136">
        <f>IF(E491=$AH$6,1,"")</f>
        <v/>
      </c>
      <c r="AI491" s="136">
        <f>IF(E491=$AI$6,1,"")</f>
        <v/>
      </c>
      <c r="AJ491" s="136">
        <f>IF(E491=$AJ$6,1,"")</f>
        <v/>
      </c>
      <c r="AK491" s="81">
        <f>IF(E491=$AK$6,1,"")</f>
        <v/>
      </c>
      <c r="AL491" s="81">
        <f>IF(E491=$AL$6,1,"")</f>
        <v/>
      </c>
      <c r="AM491" s="81">
        <f>IF(E491=$AM$6,1,"")</f>
        <v/>
      </c>
      <c r="AN491" s="81">
        <f>IF(E491=$AN$6,1,"")</f>
        <v/>
      </c>
      <c r="AO491" s="81">
        <f>IF(E491=$AO$6,1,"")</f>
        <v/>
      </c>
      <c r="AP491" s="81">
        <f>IF(E491=$AP$6,1,"")</f>
        <v/>
      </c>
      <c r="AQ491" s="81">
        <f>IF(E491=$AQ$6,1,"")</f>
        <v/>
      </c>
      <c r="AR491" s="81">
        <f>IF(E491=$AR$6,1,"")</f>
        <v/>
      </c>
      <c r="AS491" s="81" t="n"/>
    </row>
    <row r="492" ht="15.75" customHeight="1" s="80">
      <c r="A492" s="157" t="n"/>
      <c r="B492" s="124" t="n"/>
      <c r="C492" s="125" t="n"/>
      <c r="D492" s="126" t="n"/>
      <c r="E492" s="127" t="n"/>
      <c r="F492" s="128" t="n"/>
      <c r="G492" s="129">
        <f>IF(F492="","",ROUND(F492/60,2))</f>
        <v/>
      </c>
      <c r="H492" s="130" t="n"/>
      <c r="I492" s="131" t="n"/>
      <c r="J492" s="131">
        <f>IF(COUNTIF(B492:E492,"*")=0,"",IF(T492=1,"Invalid Service",IF(AND(V492=1,F492=""),"Add Session Mins",IF(AND(E492&gt;0,H492="",T492=""),"Enter Contract Rate",IF(AND(E492="IEP mtg, prep, rept",F492&gt;0),(G492*H492),IF(AND(E492&gt;0,F492&gt;0,H492&gt;0,I492=""),"Enter Travel",IF(AND(F492&gt;0,I492="Y"),(G492*H492)+$M$10,IF(AND(F492&gt;0,I492="N"),(G492*H492),H492))))))))</f>
        <v/>
      </c>
      <c r="K492" s="132">
        <f>J492</f>
        <v/>
      </c>
      <c r="L492" s="148" t="n"/>
      <c r="M492" s="148" t="n"/>
      <c r="N492" s="148" t="n"/>
      <c r="O492" s="87" t="n"/>
      <c r="P492" s="81" t="n"/>
      <c r="Q492" s="81" t="n"/>
      <c r="R492" s="81" t="n"/>
      <c r="S492" s="81" t="n"/>
      <c r="T492" s="136">
        <f>IF(AND(E492&gt;0,U492=0),1,"")</f>
        <v/>
      </c>
      <c r="U492" s="136">
        <f>SUM(X492:AR492)</f>
        <v/>
      </c>
      <c r="V492" s="136">
        <f>IF(E492=$Q$16,0,SUM(X492:AI492))</f>
        <v/>
      </c>
      <c r="W492" s="136">
        <f>SUM(AK492:AR492)</f>
        <v/>
      </c>
      <c r="X492" s="136">
        <f>IF(E492=$X$6,1,"")</f>
        <v/>
      </c>
      <c r="Y492" s="136">
        <f>IF(E492=$Y$6,1,"")</f>
        <v/>
      </c>
      <c r="Z492" s="136">
        <f>IF(E492=$Z$6,1,"")</f>
        <v/>
      </c>
      <c r="AA492" s="136">
        <f>IF(E492=$AA$6,1,"")</f>
        <v/>
      </c>
      <c r="AB492" s="136">
        <f>IF(E492=$AB$6,1,"")</f>
        <v/>
      </c>
      <c r="AC492" s="136">
        <f>IF(E492=$AC$6,1,"")</f>
        <v/>
      </c>
      <c r="AD492" s="136">
        <f>IF(E492=$AD$6,1,"")</f>
        <v/>
      </c>
      <c r="AE492" s="136">
        <f>IF(E492=$AE$6,1,"")</f>
        <v/>
      </c>
      <c r="AF492" s="136">
        <f>IF(E492=$AF$6,1,"")</f>
        <v/>
      </c>
      <c r="AG492" s="136">
        <f>IF(E492=$AG$6,1,"")</f>
        <v/>
      </c>
      <c r="AH492" s="136">
        <f>IF(E492=$AH$6,1,"")</f>
        <v/>
      </c>
      <c r="AI492" s="136">
        <f>IF(E492=$AI$6,1,"")</f>
        <v/>
      </c>
      <c r="AJ492" s="136">
        <f>IF(E492=$AJ$6,1,"")</f>
        <v/>
      </c>
      <c r="AK492" s="81">
        <f>IF(E492=$AK$6,1,"")</f>
        <v/>
      </c>
      <c r="AL492" s="81">
        <f>IF(E492=$AL$6,1,"")</f>
        <v/>
      </c>
      <c r="AM492" s="81">
        <f>IF(E492=$AM$6,1,"")</f>
        <v/>
      </c>
      <c r="AN492" s="81">
        <f>IF(E492=$AN$6,1,"")</f>
        <v/>
      </c>
      <c r="AO492" s="81">
        <f>IF(E492=$AO$6,1,"")</f>
        <v/>
      </c>
      <c r="AP492" s="81">
        <f>IF(E492=$AP$6,1,"")</f>
        <v/>
      </c>
      <c r="AQ492" s="81">
        <f>IF(E492=$AQ$6,1,"")</f>
        <v/>
      </c>
      <c r="AR492" s="81">
        <f>IF(E492=$AR$6,1,"")</f>
        <v/>
      </c>
      <c r="AS492" s="81" t="n"/>
    </row>
    <row r="493" ht="15.75" customHeight="1" s="80">
      <c r="A493" s="157" t="n"/>
      <c r="B493" s="124" t="n"/>
      <c r="C493" s="125" t="n"/>
      <c r="D493" s="126" t="n"/>
      <c r="E493" s="127" t="n"/>
      <c r="F493" s="128" t="n"/>
      <c r="G493" s="129">
        <f>IF(F493="","",ROUND(F493/60,2))</f>
        <v/>
      </c>
      <c r="H493" s="130" t="n"/>
      <c r="I493" s="131" t="n"/>
      <c r="J493" s="131">
        <f>IF(COUNTIF(B493:E493,"*")=0,"",IF(T493=1,"Invalid Service",IF(AND(V493=1,F493=""),"Add Session Mins",IF(AND(E493&gt;0,H493="",T493=""),"Enter Contract Rate",IF(AND(E493="IEP mtg, prep, rept",F493&gt;0),(G493*H493),IF(AND(E493&gt;0,F493&gt;0,H493&gt;0,I493=""),"Enter Travel",IF(AND(F493&gt;0,I493="Y"),(G493*H493)+$M$10,IF(AND(F493&gt;0,I493="N"),(G493*H493),H493))))))))</f>
        <v/>
      </c>
      <c r="K493" s="132">
        <f>J493</f>
        <v/>
      </c>
      <c r="L493" s="148" t="n"/>
      <c r="M493" s="148" t="n"/>
      <c r="N493" s="148" t="n"/>
      <c r="O493" s="87" t="n"/>
      <c r="P493" s="81" t="n"/>
      <c r="Q493" s="81" t="n"/>
      <c r="R493" s="81" t="n"/>
      <c r="S493" s="81" t="n"/>
      <c r="T493" s="136">
        <f>IF(AND(E493&gt;0,U493=0),1,"")</f>
        <v/>
      </c>
      <c r="U493" s="136">
        <f>SUM(X493:AR493)</f>
        <v/>
      </c>
      <c r="V493" s="136">
        <f>IF(E493=$Q$16,0,SUM(X493:AI493))</f>
        <v/>
      </c>
      <c r="W493" s="136">
        <f>SUM(AK493:AR493)</f>
        <v/>
      </c>
      <c r="X493" s="136">
        <f>IF(E493=$X$6,1,"")</f>
        <v/>
      </c>
      <c r="Y493" s="136">
        <f>IF(E493=$Y$6,1,"")</f>
        <v/>
      </c>
      <c r="Z493" s="136">
        <f>IF(E493=$Z$6,1,"")</f>
        <v/>
      </c>
      <c r="AA493" s="136">
        <f>IF(E493=$AA$6,1,"")</f>
        <v/>
      </c>
      <c r="AB493" s="136">
        <f>IF(E493=$AB$6,1,"")</f>
        <v/>
      </c>
      <c r="AC493" s="136">
        <f>IF(E493=$AC$6,1,"")</f>
        <v/>
      </c>
      <c r="AD493" s="136">
        <f>IF(E493=$AD$6,1,"")</f>
        <v/>
      </c>
      <c r="AE493" s="136">
        <f>IF(E493=$AE$6,1,"")</f>
        <v/>
      </c>
      <c r="AF493" s="136">
        <f>IF(E493=$AF$6,1,"")</f>
        <v/>
      </c>
      <c r="AG493" s="136">
        <f>IF(E493=$AG$6,1,"")</f>
        <v/>
      </c>
      <c r="AH493" s="136">
        <f>IF(E493=$AH$6,1,"")</f>
        <v/>
      </c>
      <c r="AI493" s="136">
        <f>IF(E493=$AI$6,1,"")</f>
        <v/>
      </c>
      <c r="AJ493" s="136">
        <f>IF(E493=$AJ$6,1,"")</f>
        <v/>
      </c>
      <c r="AK493" s="81">
        <f>IF(E493=$AK$6,1,"")</f>
        <v/>
      </c>
      <c r="AL493" s="81">
        <f>IF(E493=$AL$6,1,"")</f>
        <v/>
      </c>
      <c r="AM493" s="81">
        <f>IF(E493=$AM$6,1,"")</f>
        <v/>
      </c>
      <c r="AN493" s="81">
        <f>IF(E493=$AN$6,1,"")</f>
        <v/>
      </c>
      <c r="AO493" s="81">
        <f>IF(E493=$AO$6,1,"")</f>
        <v/>
      </c>
      <c r="AP493" s="81">
        <f>IF(E493=$AP$6,1,"")</f>
        <v/>
      </c>
      <c r="AQ493" s="81">
        <f>IF(E493=$AQ$6,1,"")</f>
        <v/>
      </c>
      <c r="AR493" s="81">
        <f>IF(E493=$AR$6,1,"")</f>
        <v/>
      </c>
      <c r="AS493" s="81" t="n"/>
    </row>
    <row r="494" ht="15.75" customHeight="1" s="80">
      <c r="A494" s="157" t="n"/>
      <c r="B494" s="124" t="n"/>
      <c r="C494" s="125" t="n"/>
      <c r="D494" s="126" t="n"/>
      <c r="E494" s="127" t="n"/>
      <c r="F494" s="128" t="n"/>
      <c r="G494" s="129">
        <f>IF(F494="","",ROUND(F494/60,2))</f>
        <v/>
      </c>
      <c r="H494" s="130" t="n"/>
      <c r="I494" s="131" t="n"/>
      <c r="J494" s="131">
        <f>IF(COUNTIF(B494:E494,"*")=0,"",IF(T494=1,"Invalid Service",IF(AND(V494=1,F494=""),"Add Session Mins",IF(AND(E494&gt;0,H494="",T494=""),"Enter Contract Rate",IF(AND(E494="IEP mtg, prep, rept",F494&gt;0),(G494*H494),IF(AND(E494&gt;0,F494&gt;0,H494&gt;0,I494=""),"Enter Travel",IF(AND(F494&gt;0,I494="Y"),(G494*H494)+$M$10,IF(AND(F494&gt;0,I494="N"),(G494*H494),H494))))))))</f>
        <v/>
      </c>
      <c r="K494" s="132">
        <f>J494</f>
        <v/>
      </c>
      <c r="L494" s="148" t="n"/>
      <c r="M494" s="148" t="n"/>
      <c r="N494" s="148" t="n"/>
      <c r="O494" s="87" t="n"/>
      <c r="P494" s="81" t="n"/>
      <c r="Q494" s="81" t="n"/>
      <c r="R494" s="81" t="n"/>
      <c r="S494" s="81" t="n"/>
      <c r="T494" s="136">
        <f>IF(AND(E494&gt;0,U494=0),1,"")</f>
        <v/>
      </c>
      <c r="U494" s="136">
        <f>SUM(X494:AR494)</f>
        <v/>
      </c>
      <c r="V494" s="136">
        <f>IF(E494=$Q$16,0,SUM(X494:AI494))</f>
        <v/>
      </c>
      <c r="W494" s="136">
        <f>SUM(AK494:AR494)</f>
        <v/>
      </c>
      <c r="X494" s="136">
        <f>IF(E494=$X$6,1,"")</f>
        <v/>
      </c>
      <c r="Y494" s="136">
        <f>IF(E494=$Y$6,1,"")</f>
        <v/>
      </c>
      <c r="Z494" s="136">
        <f>IF(E494=$Z$6,1,"")</f>
        <v/>
      </c>
      <c r="AA494" s="136">
        <f>IF(E494=$AA$6,1,"")</f>
        <v/>
      </c>
      <c r="AB494" s="136">
        <f>IF(E494=$AB$6,1,"")</f>
        <v/>
      </c>
      <c r="AC494" s="136">
        <f>IF(E494=$AC$6,1,"")</f>
        <v/>
      </c>
      <c r="AD494" s="136">
        <f>IF(E494=$AD$6,1,"")</f>
        <v/>
      </c>
      <c r="AE494" s="136">
        <f>IF(E494=$AE$6,1,"")</f>
        <v/>
      </c>
      <c r="AF494" s="136">
        <f>IF(E494=$AF$6,1,"")</f>
        <v/>
      </c>
      <c r="AG494" s="136">
        <f>IF(E494=$AG$6,1,"")</f>
        <v/>
      </c>
      <c r="AH494" s="136">
        <f>IF(E494=$AH$6,1,"")</f>
        <v/>
      </c>
      <c r="AI494" s="136">
        <f>IF(E494=$AI$6,1,"")</f>
        <v/>
      </c>
      <c r="AJ494" s="136">
        <f>IF(E494=$AJ$6,1,"")</f>
        <v/>
      </c>
      <c r="AK494" s="81">
        <f>IF(E494=$AK$6,1,"")</f>
        <v/>
      </c>
      <c r="AL494" s="81">
        <f>IF(E494=$AL$6,1,"")</f>
        <v/>
      </c>
      <c r="AM494" s="81">
        <f>IF(E494=$AM$6,1,"")</f>
        <v/>
      </c>
      <c r="AN494" s="81">
        <f>IF(E494=$AN$6,1,"")</f>
        <v/>
      </c>
      <c r="AO494" s="81">
        <f>IF(E494=$AO$6,1,"")</f>
        <v/>
      </c>
      <c r="AP494" s="81">
        <f>IF(E494=$AP$6,1,"")</f>
        <v/>
      </c>
      <c r="AQ494" s="81">
        <f>IF(E494=$AQ$6,1,"")</f>
        <v/>
      </c>
      <c r="AR494" s="81">
        <f>IF(E494=$AR$6,1,"")</f>
        <v/>
      </c>
      <c r="AS494" s="81" t="n"/>
    </row>
    <row r="495" ht="15.75" customHeight="1" s="80">
      <c r="A495" s="157" t="n"/>
      <c r="B495" s="124" t="n"/>
      <c r="C495" s="125" t="n"/>
      <c r="D495" s="126" t="n"/>
      <c r="E495" s="127" t="n"/>
      <c r="F495" s="128" t="n"/>
      <c r="G495" s="129">
        <f>IF(F495="","",ROUND(F495/60,2))</f>
        <v/>
      </c>
      <c r="H495" s="130" t="n"/>
      <c r="I495" s="131" t="n"/>
      <c r="J495" s="131">
        <f>IF(COUNTIF(B495:E495,"*")=0,"",IF(T495=1,"Invalid Service",IF(AND(V495=1,F495=""),"Add Session Mins",IF(AND(E495&gt;0,H495="",T495=""),"Enter Contract Rate",IF(AND(E495="IEP mtg, prep, rept",F495&gt;0),(G495*H495),IF(AND(E495&gt;0,F495&gt;0,H495&gt;0,I495=""),"Enter Travel",IF(AND(F495&gt;0,I495="Y"),(G495*H495)+$M$10,IF(AND(F495&gt;0,I495="N"),(G495*H495),H495))))))))</f>
        <v/>
      </c>
      <c r="K495" s="132">
        <f>J495</f>
        <v/>
      </c>
      <c r="L495" s="148" t="n"/>
      <c r="M495" s="148" t="n"/>
      <c r="N495" s="148" t="n"/>
      <c r="O495" s="87" t="n"/>
      <c r="P495" s="81" t="n"/>
      <c r="Q495" s="81" t="n"/>
      <c r="R495" s="81" t="n"/>
      <c r="S495" s="81" t="n"/>
      <c r="T495" s="136">
        <f>IF(AND(E495&gt;0,U495=0),1,"")</f>
        <v/>
      </c>
      <c r="U495" s="136">
        <f>SUM(X495:AR495)</f>
        <v/>
      </c>
      <c r="V495" s="136">
        <f>IF(E495=$Q$16,0,SUM(X495:AI495))</f>
        <v/>
      </c>
      <c r="W495" s="136">
        <f>SUM(AK495:AR495)</f>
        <v/>
      </c>
      <c r="X495" s="136">
        <f>IF(E495=$X$6,1,"")</f>
        <v/>
      </c>
      <c r="Y495" s="136">
        <f>IF(E495=$Y$6,1,"")</f>
        <v/>
      </c>
      <c r="Z495" s="136">
        <f>IF(E495=$Z$6,1,"")</f>
        <v/>
      </c>
      <c r="AA495" s="136">
        <f>IF(E495=$AA$6,1,"")</f>
        <v/>
      </c>
      <c r="AB495" s="136">
        <f>IF(E495=$AB$6,1,"")</f>
        <v/>
      </c>
      <c r="AC495" s="136">
        <f>IF(E495=$AC$6,1,"")</f>
        <v/>
      </c>
      <c r="AD495" s="136">
        <f>IF(E495=$AD$6,1,"")</f>
        <v/>
      </c>
      <c r="AE495" s="136">
        <f>IF(E495=$AE$6,1,"")</f>
        <v/>
      </c>
      <c r="AF495" s="136">
        <f>IF(E495=$AF$6,1,"")</f>
        <v/>
      </c>
      <c r="AG495" s="136">
        <f>IF(E495=$AG$6,1,"")</f>
        <v/>
      </c>
      <c r="AH495" s="136">
        <f>IF(E495=$AH$6,1,"")</f>
        <v/>
      </c>
      <c r="AI495" s="136">
        <f>IF(E495=$AI$6,1,"")</f>
        <v/>
      </c>
      <c r="AJ495" s="136">
        <f>IF(E495=$AJ$6,1,"")</f>
        <v/>
      </c>
      <c r="AK495" s="81">
        <f>IF(E495=$AK$6,1,"")</f>
        <v/>
      </c>
      <c r="AL495" s="81">
        <f>IF(E495=$AL$6,1,"")</f>
        <v/>
      </c>
      <c r="AM495" s="81">
        <f>IF(E495=$AM$6,1,"")</f>
        <v/>
      </c>
      <c r="AN495" s="81">
        <f>IF(E495=$AN$6,1,"")</f>
        <v/>
      </c>
      <c r="AO495" s="81">
        <f>IF(E495=$AO$6,1,"")</f>
        <v/>
      </c>
      <c r="AP495" s="81">
        <f>IF(E495=$AP$6,1,"")</f>
        <v/>
      </c>
      <c r="AQ495" s="81">
        <f>IF(E495=$AQ$6,1,"")</f>
        <v/>
      </c>
      <c r="AR495" s="81">
        <f>IF(E495=$AR$6,1,"")</f>
        <v/>
      </c>
      <c r="AS495" s="81" t="n"/>
    </row>
    <row r="496" ht="15.75" customHeight="1" s="80">
      <c r="A496" s="157" t="n"/>
      <c r="B496" s="124" t="n"/>
      <c r="C496" s="125" t="n"/>
      <c r="D496" s="126" t="n"/>
      <c r="E496" s="127" t="n"/>
      <c r="F496" s="128" t="n"/>
      <c r="G496" s="129">
        <f>IF(F496="","",ROUND(F496/60,2))</f>
        <v/>
      </c>
      <c r="H496" s="130" t="n"/>
      <c r="I496" s="131" t="n"/>
      <c r="J496" s="131">
        <f>IF(COUNTIF(B496:E496,"*")=0,"",IF(T496=1,"Invalid Service",IF(AND(V496=1,F496=""),"Add Session Mins",IF(AND(E496&gt;0,H496="",T496=""),"Enter Contract Rate",IF(AND(E496="IEP mtg, prep, rept",F496&gt;0),(G496*H496),IF(AND(E496&gt;0,F496&gt;0,H496&gt;0,I496=""),"Enter Travel",IF(AND(F496&gt;0,I496="Y"),(G496*H496)+$M$10,IF(AND(F496&gt;0,I496="N"),(G496*H496),H496))))))))</f>
        <v/>
      </c>
      <c r="K496" s="132">
        <f>J496</f>
        <v/>
      </c>
      <c r="L496" s="148" t="n"/>
      <c r="M496" s="148" t="n"/>
      <c r="N496" s="148" t="n"/>
      <c r="O496" s="87" t="n"/>
      <c r="P496" s="81" t="n"/>
      <c r="Q496" s="81" t="n"/>
      <c r="R496" s="81" t="n"/>
      <c r="S496" s="81" t="n"/>
      <c r="T496" s="136">
        <f>IF(AND(E496&gt;0,U496=0),1,"")</f>
        <v/>
      </c>
      <c r="U496" s="136">
        <f>SUM(X496:AR496)</f>
        <v/>
      </c>
      <c r="V496" s="136">
        <f>IF(E496=$Q$16,0,SUM(X496:AI496))</f>
        <v/>
      </c>
      <c r="W496" s="136">
        <f>SUM(AK496:AR496)</f>
        <v/>
      </c>
      <c r="X496" s="136">
        <f>IF(E496=$X$6,1,"")</f>
        <v/>
      </c>
      <c r="Y496" s="136">
        <f>IF(E496=$Y$6,1,"")</f>
        <v/>
      </c>
      <c r="Z496" s="136">
        <f>IF(E496=$Z$6,1,"")</f>
        <v/>
      </c>
      <c r="AA496" s="136">
        <f>IF(E496=$AA$6,1,"")</f>
        <v/>
      </c>
      <c r="AB496" s="136">
        <f>IF(E496=$AB$6,1,"")</f>
        <v/>
      </c>
      <c r="AC496" s="136">
        <f>IF(E496=$AC$6,1,"")</f>
        <v/>
      </c>
      <c r="AD496" s="136">
        <f>IF(E496=$AD$6,1,"")</f>
        <v/>
      </c>
      <c r="AE496" s="136">
        <f>IF(E496=$AE$6,1,"")</f>
        <v/>
      </c>
      <c r="AF496" s="136">
        <f>IF(E496=$AF$6,1,"")</f>
        <v/>
      </c>
      <c r="AG496" s="136">
        <f>IF(E496=$AG$6,1,"")</f>
        <v/>
      </c>
      <c r="AH496" s="136">
        <f>IF(E496=$AH$6,1,"")</f>
        <v/>
      </c>
      <c r="AI496" s="136">
        <f>IF(E496=$AI$6,1,"")</f>
        <v/>
      </c>
      <c r="AJ496" s="136">
        <f>IF(E496=$AJ$6,1,"")</f>
        <v/>
      </c>
      <c r="AK496" s="81">
        <f>IF(E496=$AK$6,1,"")</f>
        <v/>
      </c>
      <c r="AL496" s="81">
        <f>IF(E496=$AL$6,1,"")</f>
        <v/>
      </c>
      <c r="AM496" s="81">
        <f>IF(E496=$AM$6,1,"")</f>
        <v/>
      </c>
      <c r="AN496" s="81">
        <f>IF(E496=$AN$6,1,"")</f>
        <v/>
      </c>
      <c r="AO496" s="81">
        <f>IF(E496=$AO$6,1,"")</f>
        <v/>
      </c>
      <c r="AP496" s="81">
        <f>IF(E496=$AP$6,1,"")</f>
        <v/>
      </c>
      <c r="AQ496" s="81">
        <f>IF(E496=$AQ$6,1,"")</f>
        <v/>
      </c>
      <c r="AR496" s="81">
        <f>IF(E496=$AR$6,1,"")</f>
        <v/>
      </c>
      <c r="AS496" s="81" t="n"/>
    </row>
    <row r="497" ht="15.75" customHeight="1" s="80">
      <c r="A497" s="157" t="n"/>
      <c r="B497" s="124" t="n"/>
      <c r="C497" s="125" t="n"/>
      <c r="D497" s="126" t="n"/>
      <c r="E497" s="127" t="n"/>
      <c r="F497" s="128" t="n"/>
      <c r="G497" s="129">
        <f>IF(F497="","",ROUND(F497/60,2))</f>
        <v/>
      </c>
      <c r="H497" s="130" t="n"/>
      <c r="I497" s="131" t="n"/>
      <c r="J497" s="131">
        <f>IF(COUNTIF(B497:E497,"*")=0,"",IF(T497=1,"Invalid Service",IF(AND(V497=1,F497=""),"Add Session Mins",IF(AND(E497&gt;0,H497="",T497=""),"Enter Contract Rate",IF(AND(E497="IEP mtg, prep, rept",F497&gt;0),(G497*H497),IF(AND(E497&gt;0,F497&gt;0,H497&gt;0,I497=""),"Enter Travel",IF(AND(F497&gt;0,I497="Y"),(G497*H497)+$M$10,IF(AND(F497&gt;0,I497="N"),(G497*H497),H497))))))))</f>
        <v/>
      </c>
      <c r="K497" s="132">
        <f>J497</f>
        <v/>
      </c>
      <c r="L497" s="148" t="n"/>
      <c r="M497" s="148" t="n"/>
      <c r="N497" s="148" t="n"/>
      <c r="O497" s="87" t="n"/>
      <c r="P497" s="81" t="n"/>
      <c r="Q497" s="81" t="n"/>
      <c r="R497" s="81" t="n"/>
      <c r="S497" s="81" t="n"/>
      <c r="T497" s="136">
        <f>IF(AND(E497&gt;0,U497=0),1,"")</f>
        <v/>
      </c>
      <c r="U497" s="136">
        <f>SUM(X497:AR497)</f>
        <v/>
      </c>
      <c r="V497" s="136">
        <f>IF(E497=$Q$16,0,SUM(X497:AI497))</f>
        <v/>
      </c>
      <c r="W497" s="136">
        <f>SUM(AK497:AR497)</f>
        <v/>
      </c>
      <c r="X497" s="136">
        <f>IF(E497=$X$6,1,"")</f>
        <v/>
      </c>
      <c r="Y497" s="136">
        <f>IF(E497=$Y$6,1,"")</f>
        <v/>
      </c>
      <c r="Z497" s="136">
        <f>IF(E497=$Z$6,1,"")</f>
        <v/>
      </c>
      <c r="AA497" s="136">
        <f>IF(E497=$AA$6,1,"")</f>
        <v/>
      </c>
      <c r="AB497" s="136">
        <f>IF(E497=$AB$6,1,"")</f>
        <v/>
      </c>
      <c r="AC497" s="136">
        <f>IF(E497=$AC$6,1,"")</f>
        <v/>
      </c>
      <c r="AD497" s="136">
        <f>IF(E497=$AD$6,1,"")</f>
        <v/>
      </c>
      <c r="AE497" s="136">
        <f>IF(E497=$AE$6,1,"")</f>
        <v/>
      </c>
      <c r="AF497" s="136">
        <f>IF(E497=$AF$6,1,"")</f>
        <v/>
      </c>
      <c r="AG497" s="136">
        <f>IF(E497=$AG$6,1,"")</f>
        <v/>
      </c>
      <c r="AH497" s="136">
        <f>IF(E497=$AH$6,1,"")</f>
        <v/>
      </c>
      <c r="AI497" s="136">
        <f>IF(E497=$AI$6,1,"")</f>
        <v/>
      </c>
      <c r="AJ497" s="136">
        <f>IF(E497=$AJ$6,1,"")</f>
        <v/>
      </c>
      <c r="AK497" s="81">
        <f>IF(E497=$AK$6,1,"")</f>
        <v/>
      </c>
      <c r="AL497" s="81">
        <f>IF(E497=$AL$6,1,"")</f>
        <v/>
      </c>
      <c r="AM497" s="81">
        <f>IF(E497=$AM$6,1,"")</f>
        <v/>
      </c>
      <c r="AN497" s="81">
        <f>IF(E497=$AN$6,1,"")</f>
        <v/>
      </c>
      <c r="AO497" s="81">
        <f>IF(E497=$AO$6,1,"")</f>
        <v/>
      </c>
      <c r="AP497" s="81">
        <f>IF(E497=$AP$6,1,"")</f>
        <v/>
      </c>
      <c r="AQ497" s="81">
        <f>IF(E497=$AQ$6,1,"")</f>
        <v/>
      </c>
      <c r="AR497" s="81">
        <f>IF(E497=$AR$6,1,"")</f>
        <v/>
      </c>
      <c r="AS497" s="81" t="n"/>
    </row>
    <row r="498" ht="15.75" customHeight="1" s="80">
      <c r="A498" s="157" t="n"/>
      <c r="B498" s="124" t="n"/>
      <c r="C498" s="125" t="n"/>
      <c r="D498" s="126" t="n"/>
      <c r="E498" s="127" t="n"/>
      <c r="F498" s="128" t="n"/>
      <c r="G498" s="129">
        <f>IF(F498="","",ROUND(F498/60,2))</f>
        <v/>
      </c>
      <c r="H498" s="130" t="n"/>
      <c r="I498" s="131" t="n"/>
      <c r="J498" s="131">
        <f>IF(COUNTIF(B498:E498,"*")=0,"",IF(T498=1,"Invalid Service",IF(AND(V498=1,F498=""),"Add Session Mins",IF(AND(E498&gt;0,H498="",T498=""),"Enter Contract Rate",IF(AND(E498="IEP mtg, prep, rept",F498&gt;0),(G498*H498),IF(AND(E498&gt;0,F498&gt;0,H498&gt;0,I498=""),"Enter Travel",IF(AND(F498&gt;0,I498="Y"),(G498*H498)+$M$10,IF(AND(F498&gt;0,I498="N"),(G498*H498),H498))))))))</f>
        <v/>
      </c>
      <c r="K498" s="132">
        <f>J498</f>
        <v/>
      </c>
      <c r="L498" s="148" t="n"/>
      <c r="M498" s="148" t="n"/>
      <c r="N498" s="148" t="n"/>
      <c r="O498" s="87" t="n"/>
      <c r="P498" s="81" t="n"/>
      <c r="Q498" s="81" t="n"/>
      <c r="R498" s="81" t="n"/>
      <c r="S498" s="81" t="n"/>
      <c r="T498" s="136">
        <f>IF(AND(E498&gt;0,U498=0),1,"")</f>
        <v/>
      </c>
      <c r="U498" s="136">
        <f>SUM(X498:AR498)</f>
        <v/>
      </c>
      <c r="V498" s="136">
        <f>IF(E498=$Q$16,0,SUM(X498:AI498))</f>
        <v/>
      </c>
      <c r="W498" s="136">
        <f>SUM(AK498:AR498)</f>
        <v/>
      </c>
      <c r="X498" s="136">
        <f>IF(E498=$X$6,1,"")</f>
        <v/>
      </c>
      <c r="Y498" s="136">
        <f>IF(E498=$Y$6,1,"")</f>
        <v/>
      </c>
      <c r="Z498" s="136">
        <f>IF(E498=$Z$6,1,"")</f>
        <v/>
      </c>
      <c r="AA498" s="136">
        <f>IF(E498=$AA$6,1,"")</f>
        <v/>
      </c>
      <c r="AB498" s="136">
        <f>IF(E498=$AB$6,1,"")</f>
        <v/>
      </c>
      <c r="AC498" s="136">
        <f>IF(E498=$AC$6,1,"")</f>
        <v/>
      </c>
      <c r="AD498" s="136">
        <f>IF(E498=$AD$6,1,"")</f>
        <v/>
      </c>
      <c r="AE498" s="136">
        <f>IF(E498=$AE$6,1,"")</f>
        <v/>
      </c>
      <c r="AF498" s="136">
        <f>IF(E498=$AF$6,1,"")</f>
        <v/>
      </c>
      <c r="AG498" s="136">
        <f>IF(E498=$AG$6,1,"")</f>
        <v/>
      </c>
      <c r="AH498" s="136">
        <f>IF(E498=$AH$6,1,"")</f>
        <v/>
      </c>
      <c r="AI498" s="136">
        <f>IF(E498=$AI$6,1,"")</f>
        <v/>
      </c>
      <c r="AJ498" s="136">
        <f>IF(E498=$AJ$6,1,"")</f>
        <v/>
      </c>
      <c r="AK498" s="81">
        <f>IF(E498=$AK$6,1,"")</f>
        <v/>
      </c>
      <c r="AL498" s="81">
        <f>IF(E498=$AL$6,1,"")</f>
        <v/>
      </c>
      <c r="AM498" s="81">
        <f>IF(E498=$AM$6,1,"")</f>
        <v/>
      </c>
      <c r="AN498" s="81">
        <f>IF(E498=$AN$6,1,"")</f>
        <v/>
      </c>
      <c r="AO498" s="81">
        <f>IF(E498=$AO$6,1,"")</f>
        <v/>
      </c>
      <c r="AP498" s="81">
        <f>IF(E498=$AP$6,1,"")</f>
        <v/>
      </c>
      <c r="AQ498" s="81">
        <f>IF(E498=$AQ$6,1,"")</f>
        <v/>
      </c>
      <c r="AR498" s="81">
        <f>IF(E498=$AR$6,1,"")</f>
        <v/>
      </c>
      <c r="AS498" s="81" t="n"/>
    </row>
    <row r="499" ht="15.75" customHeight="1" s="80">
      <c r="A499" s="157" t="n"/>
      <c r="B499" s="124" t="n"/>
      <c r="C499" s="125" t="n"/>
      <c r="D499" s="126" t="n"/>
      <c r="E499" s="127" t="n"/>
      <c r="F499" s="128" t="n"/>
      <c r="G499" s="129">
        <f>IF(F499="","",ROUND(F499/60,2))</f>
        <v/>
      </c>
      <c r="H499" s="130" t="n"/>
      <c r="I499" s="131" t="n"/>
      <c r="J499" s="131">
        <f>IF(COUNTIF(B499:E499,"*")=0,"",IF(T499=1,"Invalid Service",IF(AND(V499=1,F499=""),"Add Session Mins",IF(AND(E499&gt;0,H499="",T499=""),"Enter Contract Rate",IF(AND(E499="IEP mtg, prep, rept",F499&gt;0),(G499*H499),IF(AND(E499&gt;0,F499&gt;0,H499&gt;0,I499=""),"Enter Travel",IF(AND(F499&gt;0,I499="Y"),(G499*H499)+$M$10,IF(AND(F499&gt;0,I499="N"),(G499*H499),H499))))))))</f>
        <v/>
      </c>
      <c r="K499" s="132">
        <f>J499</f>
        <v/>
      </c>
      <c r="L499" s="148" t="n"/>
      <c r="M499" s="148" t="n"/>
      <c r="N499" s="148" t="n"/>
      <c r="O499" s="87" t="n"/>
      <c r="P499" s="81" t="n"/>
      <c r="Q499" s="81" t="n"/>
      <c r="R499" s="81" t="n"/>
      <c r="S499" s="81" t="n"/>
      <c r="T499" s="136">
        <f>IF(AND(E499&gt;0,U499=0),1,"")</f>
        <v/>
      </c>
      <c r="U499" s="136">
        <f>SUM(X499:AR499)</f>
        <v/>
      </c>
      <c r="V499" s="136">
        <f>IF(E499=$Q$16,0,SUM(X499:AI499))</f>
        <v/>
      </c>
      <c r="W499" s="136">
        <f>SUM(AK499:AR499)</f>
        <v/>
      </c>
      <c r="X499" s="136">
        <f>IF(E499=$X$6,1,"")</f>
        <v/>
      </c>
      <c r="Y499" s="136">
        <f>IF(E499=$Y$6,1,"")</f>
        <v/>
      </c>
      <c r="Z499" s="136">
        <f>IF(E499=$Z$6,1,"")</f>
        <v/>
      </c>
      <c r="AA499" s="136">
        <f>IF(E499=$AA$6,1,"")</f>
        <v/>
      </c>
      <c r="AB499" s="136">
        <f>IF(E499=$AB$6,1,"")</f>
        <v/>
      </c>
      <c r="AC499" s="136">
        <f>IF(E499=$AC$6,1,"")</f>
        <v/>
      </c>
      <c r="AD499" s="136">
        <f>IF(E499=$AD$6,1,"")</f>
        <v/>
      </c>
      <c r="AE499" s="136">
        <f>IF(E499=$AE$6,1,"")</f>
        <v/>
      </c>
      <c r="AF499" s="136">
        <f>IF(E499=$AF$6,1,"")</f>
        <v/>
      </c>
      <c r="AG499" s="136">
        <f>IF(E499=$AG$6,1,"")</f>
        <v/>
      </c>
      <c r="AH499" s="136">
        <f>IF(E499=$AH$6,1,"")</f>
        <v/>
      </c>
      <c r="AI499" s="136">
        <f>IF(E499=$AI$6,1,"")</f>
        <v/>
      </c>
      <c r="AJ499" s="136">
        <f>IF(E499=$AJ$6,1,"")</f>
        <v/>
      </c>
      <c r="AK499" s="81">
        <f>IF(E499=$AK$6,1,"")</f>
        <v/>
      </c>
      <c r="AL499" s="81">
        <f>IF(E499=$AL$6,1,"")</f>
        <v/>
      </c>
      <c r="AM499" s="81">
        <f>IF(E499=$AM$6,1,"")</f>
        <v/>
      </c>
      <c r="AN499" s="81">
        <f>IF(E499=$AN$6,1,"")</f>
        <v/>
      </c>
      <c r="AO499" s="81">
        <f>IF(E499=$AO$6,1,"")</f>
        <v/>
      </c>
      <c r="AP499" s="81">
        <f>IF(E499=$AP$6,1,"")</f>
        <v/>
      </c>
      <c r="AQ499" s="81">
        <f>IF(E499=$AQ$6,1,"")</f>
        <v/>
      </c>
      <c r="AR499" s="81">
        <f>IF(E499=$AR$6,1,"")</f>
        <v/>
      </c>
      <c r="AS499" s="81" t="n"/>
    </row>
    <row r="500" ht="15.75" customHeight="1" s="80">
      <c r="A500" s="157" t="n"/>
      <c r="B500" s="124" t="n"/>
      <c r="C500" s="125" t="n"/>
      <c r="D500" s="126" t="n"/>
      <c r="E500" s="127" t="n"/>
      <c r="F500" s="128" t="n"/>
      <c r="G500" s="129">
        <f>IF(F500="","",ROUND(F500/60,2))</f>
        <v/>
      </c>
      <c r="H500" s="130" t="n"/>
      <c r="I500" s="131" t="n"/>
      <c r="J500" s="131">
        <f>IF(COUNTIF(B500:E500,"*")=0,"",IF(T500=1,"Invalid Service",IF(AND(V500=1,F500=""),"Add Session Mins",IF(AND(E500&gt;0,H500="",T500=""),"Enter Contract Rate",IF(AND(E500="IEP mtg, prep, rept",F500&gt;0),(G500*H500),IF(AND(E500&gt;0,F500&gt;0,H500&gt;0,I500=""),"Enter Travel",IF(AND(F500&gt;0,I500="Y"),(G500*H500)+$M$10,IF(AND(F500&gt;0,I500="N"),(G500*H500),H500))))))))</f>
        <v/>
      </c>
      <c r="K500" s="132">
        <f>J500</f>
        <v/>
      </c>
      <c r="L500" s="148" t="n"/>
      <c r="M500" s="148" t="n"/>
      <c r="N500" s="148" t="n"/>
      <c r="O500" s="87" t="n"/>
      <c r="P500" s="81" t="n"/>
      <c r="Q500" s="81" t="n"/>
      <c r="R500" s="81" t="n"/>
      <c r="S500" s="81" t="n"/>
      <c r="T500" s="136">
        <f>IF(AND(E500&gt;0,U500=0),1,"")</f>
        <v/>
      </c>
      <c r="U500" s="136">
        <f>SUM(X500:AR500)</f>
        <v/>
      </c>
      <c r="V500" s="136">
        <f>IF(E500=$Q$16,0,SUM(X500:AI500))</f>
        <v/>
      </c>
      <c r="W500" s="136">
        <f>SUM(AK500:AR500)</f>
        <v/>
      </c>
      <c r="X500" s="136">
        <f>IF(E500=$X$6,1,"")</f>
        <v/>
      </c>
      <c r="Y500" s="136">
        <f>IF(E500=$Y$6,1,"")</f>
        <v/>
      </c>
      <c r="Z500" s="136">
        <f>IF(E500=$Z$6,1,"")</f>
        <v/>
      </c>
      <c r="AA500" s="136">
        <f>IF(E500=$AA$6,1,"")</f>
        <v/>
      </c>
      <c r="AB500" s="136">
        <f>IF(E500=$AB$6,1,"")</f>
        <v/>
      </c>
      <c r="AC500" s="136">
        <f>IF(E500=$AC$6,1,"")</f>
        <v/>
      </c>
      <c r="AD500" s="136">
        <f>IF(E500=$AD$6,1,"")</f>
        <v/>
      </c>
      <c r="AE500" s="136">
        <f>IF(E500=$AE$6,1,"")</f>
        <v/>
      </c>
      <c r="AF500" s="136">
        <f>IF(E500=$AF$6,1,"")</f>
        <v/>
      </c>
      <c r="AG500" s="136">
        <f>IF(E500=$AG$6,1,"")</f>
        <v/>
      </c>
      <c r="AH500" s="136">
        <f>IF(E500=$AH$6,1,"")</f>
        <v/>
      </c>
      <c r="AI500" s="136">
        <f>IF(E500=$AI$6,1,"")</f>
        <v/>
      </c>
      <c r="AJ500" s="136">
        <f>IF(E500=$AJ$6,1,"")</f>
        <v/>
      </c>
      <c r="AK500" s="81">
        <f>IF(E500=$AK$6,1,"")</f>
        <v/>
      </c>
      <c r="AL500" s="81">
        <f>IF(E500=$AL$6,1,"")</f>
        <v/>
      </c>
      <c r="AM500" s="81">
        <f>IF(E500=$AM$6,1,"")</f>
        <v/>
      </c>
      <c r="AN500" s="81">
        <f>IF(E500=$AN$6,1,"")</f>
        <v/>
      </c>
      <c r="AO500" s="81">
        <f>IF(E500=$AO$6,1,"")</f>
        <v/>
      </c>
      <c r="AP500" s="81">
        <f>IF(E500=$AP$6,1,"")</f>
        <v/>
      </c>
      <c r="AQ500" s="81">
        <f>IF(E500=$AQ$6,1,"")</f>
        <v/>
      </c>
      <c r="AR500" s="81">
        <f>IF(E500=$AR$6,1,"")</f>
        <v/>
      </c>
      <c r="AS500" s="81" t="n"/>
    </row>
    <row r="501" ht="15.75" customHeight="1" s="80">
      <c r="A501" s="157" t="n"/>
      <c r="B501" s="124" t="n"/>
      <c r="C501" s="125" t="n"/>
      <c r="D501" s="126" t="n"/>
      <c r="E501" s="127" t="n"/>
      <c r="F501" s="128" t="n"/>
      <c r="G501" s="129">
        <f>IF(F501="","",ROUND(F501/60,2))</f>
        <v/>
      </c>
      <c r="H501" s="130" t="n"/>
      <c r="I501" s="131" t="n"/>
      <c r="J501" s="131">
        <f>IF(COUNTIF(B501:E501,"*")=0,"",IF(T501=1,"Invalid Service",IF(AND(V501=1,F501=""),"Add Session Mins",IF(AND(E501&gt;0,H501="",T501=""),"Enter Contract Rate",IF(AND(E501="IEP mtg, prep, rept",F501&gt;0),(G501*H501),IF(AND(E501&gt;0,F501&gt;0,H501&gt;0,I501=""),"Enter Travel",IF(AND(F501&gt;0,I501="Y"),(G501*H501)+$M$10,IF(AND(F501&gt;0,I501="N"),(G501*H501),H501))))))))</f>
        <v/>
      </c>
      <c r="K501" s="132">
        <f>J501</f>
        <v/>
      </c>
      <c r="L501" s="148" t="n"/>
      <c r="M501" s="148" t="n"/>
      <c r="N501" s="148" t="n"/>
      <c r="O501" s="87" t="n"/>
      <c r="P501" s="81" t="n"/>
      <c r="Q501" s="81" t="n"/>
      <c r="R501" s="81" t="n"/>
      <c r="S501" s="81" t="n"/>
      <c r="T501" s="136">
        <f>IF(AND(E501&gt;0,U501=0),1,"")</f>
        <v/>
      </c>
      <c r="U501" s="136">
        <f>SUM(X501:AR501)</f>
        <v/>
      </c>
      <c r="V501" s="136">
        <f>IF(E501=$Q$16,0,SUM(X501:AI501))</f>
        <v/>
      </c>
      <c r="W501" s="136">
        <f>SUM(AK501:AR501)</f>
        <v/>
      </c>
      <c r="X501" s="136">
        <f>IF(E501=$X$6,1,"")</f>
        <v/>
      </c>
      <c r="Y501" s="136">
        <f>IF(E501=$Y$6,1,"")</f>
        <v/>
      </c>
      <c r="Z501" s="136">
        <f>IF(E501=$Z$6,1,"")</f>
        <v/>
      </c>
      <c r="AA501" s="136">
        <f>IF(E501=$AA$6,1,"")</f>
        <v/>
      </c>
      <c r="AB501" s="136">
        <f>IF(E501=$AB$6,1,"")</f>
        <v/>
      </c>
      <c r="AC501" s="136">
        <f>IF(E501=$AC$6,1,"")</f>
        <v/>
      </c>
      <c r="AD501" s="136">
        <f>IF(E501=$AD$6,1,"")</f>
        <v/>
      </c>
      <c r="AE501" s="136">
        <f>IF(E501=$AE$6,1,"")</f>
        <v/>
      </c>
      <c r="AF501" s="136">
        <f>IF(E501=$AF$6,1,"")</f>
        <v/>
      </c>
      <c r="AG501" s="136">
        <f>IF(E501=$AG$6,1,"")</f>
        <v/>
      </c>
      <c r="AH501" s="136">
        <f>IF(E501=$AH$6,1,"")</f>
        <v/>
      </c>
      <c r="AI501" s="136">
        <f>IF(E501=$AI$6,1,"")</f>
        <v/>
      </c>
      <c r="AJ501" s="136">
        <f>IF(E501=$AJ$6,1,"")</f>
        <v/>
      </c>
      <c r="AK501" s="81">
        <f>IF(E501=$AK$6,1,"")</f>
        <v/>
      </c>
      <c r="AL501" s="81">
        <f>IF(E501=$AL$6,1,"")</f>
        <v/>
      </c>
      <c r="AM501" s="81">
        <f>IF(E501=$AM$6,1,"")</f>
        <v/>
      </c>
      <c r="AN501" s="81">
        <f>IF(E501=$AN$6,1,"")</f>
        <v/>
      </c>
      <c r="AO501" s="81">
        <f>IF(E501=$AO$6,1,"")</f>
        <v/>
      </c>
      <c r="AP501" s="81">
        <f>IF(E501=$AP$6,1,"")</f>
        <v/>
      </c>
      <c r="AQ501" s="81">
        <f>IF(E501=$AQ$6,1,"")</f>
        <v/>
      </c>
      <c r="AR501" s="81">
        <f>IF(E501=$AR$6,1,"")</f>
        <v/>
      </c>
      <c r="AS501" s="81" t="n"/>
    </row>
    <row r="502" ht="15.75" customHeight="1" s="80">
      <c r="A502" s="157" t="n"/>
      <c r="B502" s="124" t="n"/>
      <c r="C502" s="125" t="n"/>
      <c r="D502" s="126" t="n"/>
      <c r="E502" s="127" t="n"/>
      <c r="F502" s="128" t="n"/>
      <c r="G502" s="129">
        <f>IF(F502="","",ROUND(F502/60,2))</f>
        <v/>
      </c>
      <c r="H502" s="130" t="n"/>
      <c r="I502" s="131" t="n"/>
      <c r="J502" s="131">
        <f>IF(COUNTIF(B502:E502,"*")=0,"",IF(T502=1,"Invalid Service",IF(AND(V502=1,F502=""),"Add Session Mins",IF(AND(E502&gt;0,H502="",T502=""),"Enter Contract Rate",IF(AND(E502="IEP mtg, prep, rept",F502&gt;0),(G502*H502),IF(AND(E502&gt;0,F502&gt;0,H502&gt;0,I502=""),"Enter Travel",IF(AND(F502&gt;0,I502="Y"),(G502*H502)+$M$10,IF(AND(F502&gt;0,I502="N"),(G502*H502),H502))))))))</f>
        <v/>
      </c>
      <c r="K502" s="132">
        <f>J502</f>
        <v/>
      </c>
      <c r="L502" s="148" t="n"/>
      <c r="M502" s="148" t="n"/>
      <c r="N502" s="148" t="n"/>
      <c r="O502" s="87" t="n"/>
      <c r="P502" s="81" t="n"/>
      <c r="Q502" s="81" t="n"/>
      <c r="R502" s="81" t="n"/>
      <c r="S502" s="81" t="n"/>
      <c r="T502" s="136">
        <f>IF(AND(E502&gt;0,U502=0),1,"")</f>
        <v/>
      </c>
      <c r="U502" s="136">
        <f>SUM(X502:AR502)</f>
        <v/>
      </c>
      <c r="V502" s="136">
        <f>IF(E502=$Q$16,0,SUM(X502:AI502))</f>
        <v/>
      </c>
      <c r="W502" s="136">
        <f>SUM(AK502:AR502)</f>
        <v/>
      </c>
      <c r="X502" s="136">
        <f>IF(E502=$X$6,1,"")</f>
        <v/>
      </c>
      <c r="Y502" s="136">
        <f>IF(E502=$Y$6,1,"")</f>
        <v/>
      </c>
      <c r="Z502" s="136">
        <f>IF(E502=$Z$6,1,"")</f>
        <v/>
      </c>
      <c r="AA502" s="136">
        <f>IF(E502=$AA$6,1,"")</f>
        <v/>
      </c>
      <c r="AB502" s="136">
        <f>IF(E502=$AB$6,1,"")</f>
        <v/>
      </c>
      <c r="AC502" s="136">
        <f>IF(E502=$AC$6,1,"")</f>
        <v/>
      </c>
      <c r="AD502" s="136">
        <f>IF(E502=$AD$6,1,"")</f>
        <v/>
      </c>
      <c r="AE502" s="136">
        <f>IF(E502=$AE$6,1,"")</f>
        <v/>
      </c>
      <c r="AF502" s="136">
        <f>IF(E502=$AF$6,1,"")</f>
        <v/>
      </c>
      <c r="AG502" s="136">
        <f>IF(E502=$AG$6,1,"")</f>
        <v/>
      </c>
      <c r="AH502" s="136">
        <f>IF(E502=$AH$6,1,"")</f>
        <v/>
      </c>
      <c r="AI502" s="136">
        <f>IF(E502=$AI$6,1,"")</f>
        <v/>
      </c>
      <c r="AJ502" s="136">
        <f>IF(E502=$AJ$6,1,"")</f>
        <v/>
      </c>
      <c r="AK502" s="81">
        <f>IF(E502=$AK$6,1,"")</f>
        <v/>
      </c>
      <c r="AL502" s="81">
        <f>IF(E502=$AL$6,1,"")</f>
        <v/>
      </c>
      <c r="AM502" s="81">
        <f>IF(E502=$AM$6,1,"")</f>
        <v/>
      </c>
      <c r="AN502" s="81">
        <f>IF(E502=$AN$6,1,"")</f>
        <v/>
      </c>
      <c r="AO502" s="81">
        <f>IF(E502=$AO$6,1,"")</f>
        <v/>
      </c>
      <c r="AP502" s="81">
        <f>IF(E502=$AP$6,1,"")</f>
        <v/>
      </c>
      <c r="AQ502" s="81">
        <f>IF(E502=$AQ$6,1,"")</f>
        <v/>
      </c>
      <c r="AR502" s="81">
        <f>IF(E502=$AR$6,1,"")</f>
        <v/>
      </c>
      <c r="AS502" s="81" t="n"/>
    </row>
    <row r="503" ht="15.75" customHeight="1" s="80">
      <c r="A503" s="157" t="n"/>
      <c r="B503" s="124" t="n"/>
      <c r="C503" s="125" t="n"/>
      <c r="D503" s="126" t="n"/>
      <c r="E503" s="127" t="n"/>
      <c r="F503" s="128" t="n"/>
      <c r="G503" s="129">
        <f>IF(F503="","",ROUND(F503/60,2))</f>
        <v/>
      </c>
      <c r="H503" s="130" t="n"/>
      <c r="I503" s="131" t="n"/>
      <c r="J503" s="131">
        <f>IF(COUNTIF(B503:E503,"*")=0,"",IF(T503=1,"Invalid Service",IF(AND(V503=1,F503=""),"Add Session Mins",IF(AND(E503&gt;0,H503="",T503=""),"Enter Contract Rate",IF(AND(E503="IEP mtg, prep, rept",F503&gt;0),(G503*H503),IF(AND(E503&gt;0,F503&gt;0,H503&gt;0,I503=""),"Enter Travel",IF(AND(F503&gt;0,I503="Y"),(G503*H503)+$M$10,IF(AND(F503&gt;0,I503="N"),(G503*H503),H503))))))))</f>
        <v/>
      </c>
      <c r="K503" s="132">
        <f>J503</f>
        <v/>
      </c>
      <c r="L503" s="148" t="n"/>
      <c r="M503" s="148" t="n"/>
      <c r="N503" s="148" t="n"/>
      <c r="O503" s="87" t="n"/>
      <c r="P503" s="81" t="n"/>
      <c r="Q503" s="81" t="n"/>
      <c r="R503" s="81" t="n"/>
      <c r="S503" s="81" t="n"/>
      <c r="T503" s="136">
        <f>IF(AND(E503&gt;0,U503=0),1,"")</f>
        <v/>
      </c>
      <c r="U503" s="136">
        <f>SUM(X503:AR503)</f>
        <v/>
      </c>
      <c r="V503" s="136">
        <f>IF(E503=$Q$16,0,SUM(X503:AI503))</f>
        <v/>
      </c>
      <c r="W503" s="136">
        <f>SUM(AK503:AR503)</f>
        <v/>
      </c>
      <c r="X503" s="136">
        <f>IF(E503=$X$6,1,"")</f>
        <v/>
      </c>
      <c r="Y503" s="136">
        <f>IF(E503=$Y$6,1,"")</f>
        <v/>
      </c>
      <c r="Z503" s="136">
        <f>IF(E503=$Z$6,1,"")</f>
        <v/>
      </c>
      <c r="AA503" s="136">
        <f>IF(E503=$AA$6,1,"")</f>
        <v/>
      </c>
      <c r="AB503" s="136">
        <f>IF(E503=$AB$6,1,"")</f>
        <v/>
      </c>
      <c r="AC503" s="136">
        <f>IF(E503=$AC$6,1,"")</f>
        <v/>
      </c>
      <c r="AD503" s="136">
        <f>IF(E503=$AD$6,1,"")</f>
        <v/>
      </c>
      <c r="AE503" s="136">
        <f>IF(E503=$AE$6,1,"")</f>
        <v/>
      </c>
      <c r="AF503" s="136">
        <f>IF(E503=$AF$6,1,"")</f>
        <v/>
      </c>
      <c r="AG503" s="136">
        <f>IF(E503=$AG$6,1,"")</f>
        <v/>
      </c>
      <c r="AH503" s="136">
        <f>IF(E503=$AH$6,1,"")</f>
        <v/>
      </c>
      <c r="AI503" s="136">
        <f>IF(E503=$AI$6,1,"")</f>
        <v/>
      </c>
      <c r="AJ503" s="136">
        <f>IF(E503=$AJ$6,1,"")</f>
        <v/>
      </c>
      <c r="AK503" s="81">
        <f>IF(E503=$AK$6,1,"")</f>
        <v/>
      </c>
      <c r="AL503" s="81">
        <f>IF(E503=$AL$6,1,"")</f>
        <v/>
      </c>
      <c r="AM503" s="81">
        <f>IF(E503=$AM$6,1,"")</f>
        <v/>
      </c>
      <c r="AN503" s="81">
        <f>IF(E503=$AN$6,1,"")</f>
        <v/>
      </c>
      <c r="AO503" s="81">
        <f>IF(E503=$AO$6,1,"")</f>
        <v/>
      </c>
      <c r="AP503" s="81">
        <f>IF(E503=$AP$6,1,"")</f>
        <v/>
      </c>
      <c r="AQ503" s="81">
        <f>IF(E503=$AQ$6,1,"")</f>
        <v/>
      </c>
      <c r="AR503" s="81">
        <f>IF(E503=$AR$6,1,"")</f>
        <v/>
      </c>
      <c r="AS503" s="81" t="n"/>
    </row>
    <row r="504" ht="15.75" customHeight="1" s="80">
      <c r="A504" s="157" t="n"/>
      <c r="B504" s="124" t="n"/>
      <c r="C504" s="125" t="n"/>
      <c r="D504" s="126" t="n"/>
      <c r="E504" s="127" t="n"/>
      <c r="F504" s="128" t="n"/>
      <c r="G504" s="129">
        <f>IF(F504="","",ROUND(F504/60,2))</f>
        <v/>
      </c>
      <c r="H504" s="130" t="n"/>
      <c r="I504" s="131" t="n"/>
      <c r="J504" s="131">
        <f>IF(COUNTIF(B504:E504,"*")=0,"",IF(T504=1,"Invalid Service",IF(AND(V504=1,F504=""),"Add Session Mins",IF(AND(E504&gt;0,H504="",T504=""),"Enter Contract Rate",IF(AND(E504="IEP mtg, prep, rept",F504&gt;0),(G504*H504),IF(AND(E504&gt;0,F504&gt;0,H504&gt;0,I504=""),"Enter Travel",IF(AND(F504&gt;0,I504="Y"),(G504*H504)+$M$10,IF(AND(F504&gt;0,I504="N"),(G504*H504),H504))))))))</f>
        <v/>
      </c>
      <c r="K504" s="132">
        <f>J504</f>
        <v/>
      </c>
      <c r="L504" s="148" t="n"/>
      <c r="M504" s="148" t="n"/>
      <c r="N504" s="148" t="n"/>
      <c r="O504" s="87" t="n"/>
      <c r="P504" s="81" t="n"/>
      <c r="Q504" s="81" t="n"/>
      <c r="R504" s="81" t="n"/>
      <c r="S504" s="81" t="n"/>
      <c r="T504" s="136">
        <f>IF(AND(E504&gt;0,U504=0),1,"")</f>
        <v/>
      </c>
      <c r="U504" s="136">
        <f>SUM(X504:AR504)</f>
        <v/>
      </c>
      <c r="V504" s="136">
        <f>IF(E504=$Q$16,0,SUM(X504:AI504))</f>
        <v/>
      </c>
      <c r="W504" s="136">
        <f>SUM(AK504:AR504)</f>
        <v/>
      </c>
      <c r="X504" s="136">
        <f>IF(E504=$X$6,1,"")</f>
        <v/>
      </c>
      <c r="Y504" s="136">
        <f>IF(E504=$Y$6,1,"")</f>
        <v/>
      </c>
      <c r="Z504" s="136">
        <f>IF(E504=$Z$6,1,"")</f>
        <v/>
      </c>
      <c r="AA504" s="136">
        <f>IF(E504=$AA$6,1,"")</f>
        <v/>
      </c>
      <c r="AB504" s="136">
        <f>IF(E504=$AB$6,1,"")</f>
        <v/>
      </c>
      <c r="AC504" s="136">
        <f>IF(E504=$AC$6,1,"")</f>
        <v/>
      </c>
      <c r="AD504" s="136">
        <f>IF(E504=$AD$6,1,"")</f>
        <v/>
      </c>
      <c r="AE504" s="136">
        <f>IF(E504=$AE$6,1,"")</f>
        <v/>
      </c>
      <c r="AF504" s="136">
        <f>IF(E504=$AF$6,1,"")</f>
        <v/>
      </c>
      <c r="AG504" s="136">
        <f>IF(E504=$AG$6,1,"")</f>
        <v/>
      </c>
      <c r="AH504" s="136">
        <f>IF(E504=$AH$6,1,"")</f>
        <v/>
      </c>
      <c r="AI504" s="136">
        <f>IF(E504=$AI$6,1,"")</f>
        <v/>
      </c>
      <c r="AJ504" s="136">
        <f>IF(E504=$AJ$6,1,"")</f>
        <v/>
      </c>
      <c r="AK504" s="81">
        <f>IF(E504=$AK$6,1,"")</f>
        <v/>
      </c>
      <c r="AL504" s="81">
        <f>IF(E504=$AL$6,1,"")</f>
        <v/>
      </c>
      <c r="AM504" s="81">
        <f>IF(E504=$AM$6,1,"")</f>
        <v/>
      </c>
      <c r="AN504" s="81">
        <f>IF(E504=$AN$6,1,"")</f>
        <v/>
      </c>
      <c r="AO504" s="81">
        <f>IF(E504=$AO$6,1,"")</f>
        <v/>
      </c>
      <c r="AP504" s="81">
        <f>IF(E504=$AP$6,1,"")</f>
        <v/>
      </c>
      <c r="AQ504" s="81">
        <f>IF(E504=$AQ$6,1,"")</f>
        <v/>
      </c>
      <c r="AR504" s="81">
        <f>IF(E504=$AR$6,1,"")</f>
        <v/>
      </c>
      <c r="AS504" s="81" t="n"/>
    </row>
    <row r="505" ht="15.75" customHeight="1" s="80">
      <c r="A505" s="157" t="n"/>
      <c r="B505" s="124" t="n"/>
      <c r="C505" s="125" t="n"/>
      <c r="D505" s="126" t="n"/>
      <c r="E505" s="127" t="n"/>
      <c r="F505" s="128" t="n"/>
      <c r="G505" s="129">
        <f>IF(F505="","",ROUND(F505/60,2))</f>
        <v/>
      </c>
      <c r="H505" s="130" t="n"/>
      <c r="I505" s="131" t="n"/>
      <c r="J505" s="131">
        <f>IF(COUNTIF(B505:E505,"*")=0,"",IF(T505=1,"Invalid Service",IF(AND(V505=1,F505=""),"Add Session Mins",IF(AND(E505&gt;0,H505="",T505=""),"Enter Contract Rate",IF(AND(E505="IEP mtg, prep, rept",F505&gt;0),(G505*H505),IF(AND(E505&gt;0,F505&gt;0,H505&gt;0,I505=""),"Enter Travel",IF(AND(F505&gt;0,I505="Y"),(G505*H505)+$M$10,IF(AND(F505&gt;0,I505="N"),(G505*H505),H505))))))))</f>
        <v/>
      </c>
      <c r="K505" s="132">
        <f>J505</f>
        <v/>
      </c>
      <c r="L505" s="148" t="n"/>
      <c r="M505" s="148" t="n"/>
      <c r="N505" s="148" t="n"/>
      <c r="O505" s="87" t="n"/>
      <c r="P505" s="81" t="n"/>
      <c r="Q505" s="81" t="n"/>
      <c r="R505" s="81" t="n"/>
      <c r="S505" s="81" t="n"/>
      <c r="T505" s="136">
        <f>IF(AND(E505&gt;0,U505=0),1,"")</f>
        <v/>
      </c>
      <c r="U505" s="136">
        <f>SUM(X505:AR505)</f>
        <v/>
      </c>
      <c r="V505" s="136">
        <f>IF(E505=$Q$16,0,SUM(X505:AI505))</f>
        <v/>
      </c>
      <c r="W505" s="136">
        <f>SUM(AK505:AR505)</f>
        <v/>
      </c>
      <c r="X505" s="136">
        <f>IF(E505=$X$6,1,"")</f>
        <v/>
      </c>
      <c r="Y505" s="136">
        <f>IF(E505=$Y$6,1,"")</f>
        <v/>
      </c>
      <c r="Z505" s="136">
        <f>IF(E505=$Z$6,1,"")</f>
        <v/>
      </c>
      <c r="AA505" s="136">
        <f>IF(E505=$AA$6,1,"")</f>
        <v/>
      </c>
      <c r="AB505" s="136">
        <f>IF(E505=$AB$6,1,"")</f>
        <v/>
      </c>
      <c r="AC505" s="136">
        <f>IF(E505=$AC$6,1,"")</f>
        <v/>
      </c>
      <c r="AD505" s="136">
        <f>IF(E505=$AD$6,1,"")</f>
        <v/>
      </c>
      <c r="AE505" s="136">
        <f>IF(E505=$AE$6,1,"")</f>
        <v/>
      </c>
      <c r="AF505" s="136">
        <f>IF(E505=$AF$6,1,"")</f>
        <v/>
      </c>
      <c r="AG505" s="136">
        <f>IF(E505=$AG$6,1,"")</f>
        <v/>
      </c>
      <c r="AH505" s="136">
        <f>IF(E505=$AH$6,1,"")</f>
        <v/>
      </c>
      <c r="AI505" s="136">
        <f>IF(E505=$AI$6,1,"")</f>
        <v/>
      </c>
      <c r="AJ505" s="136">
        <f>IF(E505=$AJ$6,1,"")</f>
        <v/>
      </c>
      <c r="AK505" s="81">
        <f>IF(E505=$AK$6,1,"")</f>
        <v/>
      </c>
      <c r="AL505" s="81">
        <f>IF(E505=$AL$6,1,"")</f>
        <v/>
      </c>
      <c r="AM505" s="81">
        <f>IF(E505=$AM$6,1,"")</f>
        <v/>
      </c>
      <c r="AN505" s="81">
        <f>IF(E505=$AN$6,1,"")</f>
        <v/>
      </c>
      <c r="AO505" s="81">
        <f>IF(E505=$AO$6,1,"")</f>
        <v/>
      </c>
      <c r="AP505" s="81">
        <f>IF(E505=$AP$6,1,"")</f>
        <v/>
      </c>
      <c r="AQ505" s="81">
        <f>IF(E505=$AQ$6,1,"")</f>
        <v/>
      </c>
      <c r="AR505" s="81">
        <f>IF(E505=$AR$6,1,"")</f>
        <v/>
      </c>
      <c r="AS505" s="81" t="n"/>
    </row>
    <row r="506" ht="15.75" customHeight="1" s="80">
      <c r="A506" s="157" t="n"/>
      <c r="B506" s="124" t="n"/>
      <c r="C506" s="125" t="n"/>
      <c r="D506" s="126" t="n"/>
      <c r="E506" s="127" t="n"/>
      <c r="F506" s="128" t="n"/>
      <c r="G506" s="129">
        <f>IF(F506="","",ROUND(F506/60,2))</f>
        <v/>
      </c>
      <c r="H506" s="130" t="n"/>
      <c r="I506" s="131" t="n"/>
      <c r="J506" s="131">
        <f>IF(COUNTIF(B506:E506,"*")=0,"",IF(T506=1,"Invalid Service",IF(AND(V506=1,F506=""),"Add Session Mins",IF(AND(E506&gt;0,H506="",T506=""),"Enter Contract Rate",IF(AND(E506="IEP mtg, prep, rept",F506&gt;0),(G506*H506),IF(AND(E506&gt;0,F506&gt;0,H506&gt;0,I506=""),"Enter Travel",IF(AND(F506&gt;0,I506="Y"),(G506*H506)+$M$10,IF(AND(F506&gt;0,I506="N"),(G506*H506),H506))))))))</f>
        <v/>
      </c>
      <c r="K506" s="132">
        <f>J506</f>
        <v/>
      </c>
      <c r="L506" s="148" t="n"/>
      <c r="M506" s="148" t="n"/>
      <c r="N506" s="148" t="n"/>
      <c r="O506" s="87" t="n"/>
      <c r="P506" s="81" t="n"/>
      <c r="Q506" s="81" t="n"/>
      <c r="R506" s="81" t="n"/>
      <c r="S506" s="81" t="n"/>
      <c r="T506" s="136">
        <f>IF(AND(E506&gt;0,U506=0),1,"")</f>
        <v/>
      </c>
      <c r="U506" s="136">
        <f>SUM(X506:AR506)</f>
        <v/>
      </c>
      <c r="V506" s="136">
        <f>IF(E506=$Q$16,0,SUM(X506:AI506))</f>
        <v/>
      </c>
      <c r="W506" s="136">
        <f>SUM(AK506:AR506)</f>
        <v/>
      </c>
      <c r="X506" s="136">
        <f>IF(E506=$X$6,1,"")</f>
        <v/>
      </c>
      <c r="Y506" s="136">
        <f>IF(E506=$Y$6,1,"")</f>
        <v/>
      </c>
      <c r="Z506" s="136">
        <f>IF(E506=$Z$6,1,"")</f>
        <v/>
      </c>
      <c r="AA506" s="136">
        <f>IF(E506=$AA$6,1,"")</f>
        <v/>
      </c>
      <c r="AB506" s="136">
        <f>IF(E506=$AB$6,1,"")</f>
        <v/>
      </c>
      <c r="AC506" s="136">
        <f>IF(E506=$AC$6,1,"")</f>
        <v/>
      </c>
      <c r="AD506" s="136">
        <f>IF(E506=$AD$6,1,"")</f>
        <v/>
      </c>
      <c r="AE506" s="136">
        <f>IF(E506=$AE$6,1,"")</f>
        <v/>
      </c>
      <c r="AF506" s="136">
        <f>IF(E506=$AF$6,1,"")</f>
        <v/>
      </c>
      <c r="AG506" s="136">
        <f>IF(E506=$AG$6,1,"")</f>
        <v/>
      </c>
      <c r="AH506" s="136">
        <f>IF(E506=$AH$6,1,"")</f>
        <v/>
      </c>
      <c r="AI506" s="136">
        <f>IF(E506=$AI$6,1,"")</f>
        <v/>
      </c>
      <c r="AJ506" s="136">
        <f>IF(E506=$AJ$6,1,"")</f>
        <v/>
      </c>
      <c r="AK506" s="81">
        <f>IF(E506=$AK$6,1,"")</f>
        <v/>
      </c>
      <c r="AL506" s="81">
        <f>IF(E506=$AL$6,1,"")</f>
        <v/>
      </c>
      <c r="AM506" s="81">
        <f>IF(E506=$AM$6,1,"")</f>
        <v/>
      </c>
      <c r="AN506" s="81">
        <f>IF(E506=$AN$6,1,"")</f>
        <v/>
      </c>
      <c r="AO506" s="81">
        <f>IF(E506=$AO$6,1,"")</f>
        <v/>
      </c>
      <c r="AP506" s="81">
        <f>IF(E506=$AP$6,1,"")</f>
        <v/>
      </c>
      <c r="AQ506" s="81">
        <f>IF(E506=$AQ$6,1,"")</f>
        <v/>
      </c>
      <c r="AR506" s="81">
        <f>IF(E506=$AR$6,1,"")</f>
        <v/>
      </c>
      <c r="AS506" s="81" t="n"/>
    </row>
    <row r="507" ht="15.75" customHeight="1" s="80">
      <c r="A507" s="157" t="n"/>
      <c r="B507" s="124" t="n"/>
      <c r="C507" s="125" t="n"/>
      <c r="D507" s="126" t="n"/>
      <c r="E507" s="127" t="n"/>
      <c r="F507" s="128" t="n"/>
      <c r="G507" s="129">
        <f>IF(F507="","",ROUND(F507/60,2))</f>
        <v/>
      </c>
      <c r="H507" s="130" t="n"/>
      <c r="I507" s="131" t="n"/>
      <c r="J507" s="131">
        <f>IF(COUNTIF(B507:E507,"*")=0,"",IF(T507=1,"Invalid Service",IF(AND(V507=1,F507=""),"Add Session Mins",IF(AND(E507&gt;0,H507="",T507=""),"Enter Contract Rate",IF(AND(E507="IEP mtg, prep, rept",F507&gt;0),(G507*H507),IF(AND(E507&gt;0,F507&gt;0,H507&gt;0,I507=""),"Enter Travel",IF(AND(F507&gt;0,I507="Y"),(G507*H507)+$M$10,IF(AND(F507&gt;0,I507="N"),(G507*H507),H507))))))))</f>
        <v/>
      </c>
      <c r="K507" s="132">
        <f>J507</f>
        <v/>
      </c>
      <c r="L507" s="148" t="n"/>
      <c r="M507" s="148" t="n"/>
      <c r="N507" s="148" t="n"/>
      <c r="O507" s="87" t="n"/>
      <c r="P507" s="81" t="n"/>
      <c r="Q507" s="81" t="n"/>
      <c r="R507" s="81" t="n"/>
      <c r="S507" s="81" t="n"/>
      <c r="T507" s="136">
        <f>IF(AND(E507&gt;0,U507=0),1,"")</f>
        <v/>
      </c>
      <c r="U507" s="136">
        <f>SUM(X507:AR507)</f>
        <v/>
      </c>
      <c r="V507" s="136">
        <f>IF(E507=$Q$16,0,SUM(X507:AI507))</f>
        <v/>
      </c>
      <c r="W507" s="136">
        <f>SUM(AK507:AR507)</f>
        <v/>
      </c>
      <c r="X507" s="136">
        <f>IF(E507=$X$6,1,"")</f>
        <v/>
      </c>
      <c r="Y507" s="136">
        <f>IF(E507=$Y$6,1,"")</f>
        <v/>
      </c>
      <c r="Z507" s="136">
        <f>IF(E507=$Z$6,1,"")</f>
        <v/>
      </c>
      <c r="AA507" s="136">
        <f>IF(E507=$AA$6,1,"")</f>
        <v/>
      </c>
      <c r="AB507" s="136">
        <f>IF(E507=$AB$6,1,"")</f>
        <v/>
      </c>
      <c r="AC507" s="136">
        <f>IF(E507=$AC$6,1,"")</f>
        <v/>
      </c>
      <c r="AD507" s="136">
        <f>IF(E507=$AD$6,1,"")</f>
        <v/>
      </c>
      <c r="AE507" s="136">
        <f>IF(E507=$AE$6,1,"")</f>
        <v/>
      </c>
      <c r="AF507" s="136">
        <f>IF(E507=$AF$6,1,"")</f>
        <v/>
      </c>
      <c r="AG507" s="136">
        <f>IF(E507=$AG$6,1,"")</f>
        <v/>
      </c>
      <c r="AH507" s="136">
        <f>IF(E507=$AH$6,1,"")</f>
        <v/>
      </c>
      <c r="AI507" s="136">
        <f>IF(E507=$AI$6,1,"")</f>
        <v/>
      </c>
      <c r="AJ507" s="136">
        <f>IF(E507=$AJ$6,1,"")</f>
        <v/>
      </c>
      <c r="AK507" s="81">
        <f>IF(E507=$AK$6,1,"")</f>
        <v/>
      </c>
      <c r="AL507" s="81">
        <f>IF(E507=$AL$6,1,"")</f>
        <v/>
      </c>
      <c r="AM507" s="81">
        <f>IF(E507=$AM$6,1,"")</f>
        <v/>
      </c>
      <c r="AN507" s="81">
        <f>IF(E507=$AN$6,1,"")</f>
        <v/>
      </c>
      <c r="AO507" s="81">
        <f>IF(E507=$AO$6,1,"")</f>
        <v/>
      </c>
      <c r="AP507" s="81">
        <f>IF(E507=$AP$6,1,"")</f>
        <v/>
      </c>
      <c r="AQ507" s="81">
        <f>IF(E507=$AQ$6,1,"")</f>
        <v/>
      </c>
      <c r="AR507" s="81">
        <f>IF(E507=$AR$6,1,"")</f>
        <v/>
      </c>
      <c r="AS507" s="81" t="n"/>
    </row>
    <row r="508" ht="15.75" customHeight="1" s="80">
      <c r="A508" s="157" t="n"/>
      <c r="B508" s="124" t="n"/>
      <c r="C508" s="125" t="n"/>
      <c r="D508" s="126" t="n"/>
      <c r="E508" s="127" t="n"/>
      <c r="F508" s="128" t="n"/>
      <c r="G508" s="129">
        <f>IF(F508="","",ROUND(F508/60,2))</f>
        <v/>
      </c>
      <c r="H508" s="130" t="n"/>
      <c r="I508" s="131" t="n"/>
      <c r="J508" s="131">
        <f>IF(COUNTIF(B508:E508,"*")=0,"",IF(T508=1,"Invalid Service",IF(AND(V508=1,F508=""),"Add Session Mins",IF(AND(E508&gt;0,H508="",T508=""),"Enter Contract Rate",IF(AND(E508="IEP mtg, prep, rept",F508&gt;0),(G508*H508),IF(AND(E508&gt;0,F508&gt;0,H508&gt;0,I508=""),"Enter Travel",IF(AND(F508&gt;0,I508="Y"),(G508*H508)+$M$10,IF(AND(F508&gt;0,I508="N"),(G508*H508),H508))))))))</f>
        <v/>
      </c>
      <c r="K508" s="132">
        <f>J508</f>
        <v/>
      </c>
      <c r="L508" s="148" t="n"/>
      <c r="M508" s="148" t="n"/>
      <c r="N508" s="148" t="n"/>
      <c r="O508" s="87" t="n"/>
      <c r="P508" s="81" t="n"/>
      <c r="Q508" s="81" t="n"/>
      <c r="R508" s="81" t="n"/>
      <c r="S508" s="81" t="n"/>
      <c r="T508" s="136">
        <f>IF(AND(E508&gt;0,U508=0),1,"")</f>
        <v/>
      </c>
      <c r="U508" s="136">
        <f>SUM(X508:AR508)</f>
        <v/>
      </c>
      <c r="V508" s="136">
        <f>IF(E508=$Q$16,0,SUM(X508:AI508))</f>
        <v/>
      </c>
      <c r="W508" s="136">
        <f>SUM(AK508:AR508)</f>
        <v/>
      </c>
      <c r="X508" s="136">
        <f>IF(E508=$X$6,1,"")</f>
        <v/>
      </c>
      <c r="Y508" s="136">
        <f>IF(E508=$Y$6,1,"")</f>
        <v/>
      </c>
      <c r="Z508" s="136">
        <f>IF(E508=$Z$6,1,"")</f>
        <v/>
      </c>
      <c r="AA508" s="136">
        <f>IF(E508=$AA$6,1,"")</f>
        <v/>
      </c>
      <c r="AB508" s="136">
        <f>IF(E508=$AB$6,1,"")</f>
        <v/>
      </c>
      <c r="AC508" s="136">
        <f>IF(E508=$AC$6,1,"")</f>
        <v/>
      </c>
      <c r="AD508" s="136">
        <f>IF(E508=$AD$6,1,"")</f>
        <v/>
      </c>
      <c r="AE508" s="136">
        <f>IF(E508=$AE$6,1,"")</f>
        <v/>
      </c>
      <c r="AF508" s="136">
        <f>IF(E508=$AF$6,1,"")</f>
        <v/>
      </c>
      <c r="AG508" s="136">
        <f>IF(E508=$AG$6,1,"")</f>
        <v/>
      </c>
      <c r="AH508" s="136">
        <f>IF(E508=$AH$6,1,"")</f>
        <v/>
      </c>
      <c r="AI508" s="136">
        <f>IF(E508=$AI$6,1,"")</f>
        <v/>
      </c>
      <c r="AJ508" s="136">
        <f>IF(E508=$AJ$6,1,"")</f>
        <v/>
      </c>
      <c r="AK508" s="81">
        <f>IF(E508=$AK$6,1,"")</f>
        <v/>
      </c>
      <c r="AL508" s="81">
        <f>IF(E508=$AL$6,1,"")</f>
        <v/>
      </c>
      <c r="AM508" s="81">
        <f>IF(E508=$AM$6,1,"")</f>
        <v/>
      </c>
      <c r="AN508" s="81">
        <f>IF(E508=$AN$6,1,"")</f>
        <v/>
      </c>
      <c r="AO508" s="81">
        <f>IF(E508=$AO$6,1,"")</f>
        <v/>
      </c>
      <c r="AP508" s="81">
        <f>IF(E508=$AP$6,1,"")</f>
        <v/>
      </c>
      <c r="AQ508" s="81">
        <f>IF(E508=$AQ$6,1,"")</f>
        <v/>
      </c>
      <c r="AR508" s="81">
        <f>IF(E508=$AR$6,1,"")</f>
        <v/>
      </c>
      <c r="AS508" s="81" t="n"/>
    </row>
    <row r="509" ht="15.75" customHeight="1" s="80">
      <c r="A509" s="157" t="n"/>
      <c r="B509" s="124" t="n"/>
      <c r="C509" s="125" t="n"/>
      <c r="D509" s="126" t="n"/>
      <c r="E509" s="127" t="n"/>
      <c r="F509" s="128" t="n"/>
      <c r="G509" s="129">
        <f>IF(F509="","",ROUND(F509/60,2))</f>
        <v/>
      </c>
      <c r="H509" s="130" t="n"/>
      <c r="I509" s="131" t="n"/>
      <c r="J509" s="131">
        <f>IF(COUNTIF(B509:E509,"*")=0,"",IF(T509=1,"Invalid Service",IF(AND(V509=1,F509=""),"Add Session Mins",IF(AND(E509&gt;0,H509="",T509=""),"Enter Contract Rate",IF(AND(E509="IEP mtg, prep, rept",F509&gt;0),(G509*H509),IF(AND(E509&gt;0,F509&gt;0,H509&gt;0,I509=""),"Enter Travel",IF(AND(F509&gt;0,I509="Y"),(G509*H509)+$M$10,IF(AND(F509&gt;0,I509="N"),(G509*H509),H509))))))))</f>
        <v/>
      </c>
      <c r="K509" s="132">
        <f>J509</f>
        <v/>
      </c>
      <c r="L509" s="148" t="n"/>
      <c r="M509" s="148" t="n"/>
      <c r="N509" s="148" t="n"/>
      <c r="O509" s="87" t="n"/>
      <c r="P509" s="81" t="n"/>
      <c r="Q509" s="81" t="n"/>
      <c r="R509" s="81" t="n"/>
      <c r="S509" s="81" t="n"/>
      <c r="T509" s="136">
        <f>IF(AND(E509&gt;0,U509=0),1,"")</f>
        <v/>
      </c>
      <c r="U509" s="136">
        <f>SUM(X509:AR509)</f>
        <v/>
      </c>
      <c r="V509" s="136">
        <f>IF(E509=$Q$16,0,SUM(X509:AI509))</f>
        <v/>
      </c>
      <c r="W509" s="136">
        <f>SUM(AK509:AR509)</f>
        <v/>
      </c>
      <c r="X509" s="136">
        <f>IF(E509=$X$6,1,"")</f>
        <v/>
      </c>
      <c r="Y509" s="136">
        <f>IF(E509=$Y$6,1,"")</f>
        <v/>
      </c>
      <c r="Z509" s="136">
        <f>IF(E509=$Z$6,1,"")</f>
        <v/>
      </c>
      <c r="AA509" s="136">
        <f>IF(E509=$AA$6,1,"")</f>
        <v/>
      </c>
      <c r="AB509" s="136">
        <f>IF(E509=$AB$6,1,"")</f>
        <v/>
      </c>
      <c r="AC509" s="136">
        <f>IF(E509=$AC$6,1,"")</f>
        <v/>
      </c>
      <c r="AD509" s="136">
        <f>IF(E509=$AD$6,1,"")</f>
        <v/>
      </c>
      <c r="AE509" s="136">
        <f>IF(E509=$AE$6,1,"")</f>
        <v/>
      </c>
      <c r="AF509" s="136">
        <f>IF(E509=$AF$6,1,"")</f>
        <v/>
      </c>
      <c r="AG509" s="136">
        <f>IF(E509=$AG$6,1,"")</f>
        <v/>
      </c>
      <c r="AH509" s="136">
        <f>IF(E509=$AH$6,1,"")</f>
        <v/>
      </c>
      <c r="AI509" s="136">
        <f>IF(E509=$AI$6,1,"")</f>
        <v/>
      </c>
      <c r="AJ509" s="136">
        <f>IF(E509=$AJ$6,1,"")</f>
        <v/>
      </c>
      <c r="AK509" s="81">
        <f>IF(E509=$AK$6,1,"")</f>
        <v/>
      </c>
      <c r="AL509" s="81">
        <f>IF(E509=$AL$6,1,"")</f>
        <v/>
      </c>
      <c r="AM509" s="81">
        <f>IF(E509=$AM$6,1,"")</f>
        <v/>
      </c>
      <c r="AN509" s="81">
        <f>IF(E509=$AN$6,1,"")</f>
        <v/>
      </c>
      <c r="AO509" s="81">
        <f>IF(E509=$AO$6,1,"")</f>
        <v/>
      </c>
      <c r="AP509" s="81">
        <f>IF(E509=$AP$6,1,"")</f>
        <v/>
      </c>
      <c r="AQ509" s="81">
        <f>IF(E509=$AQ$6,1,"")</f>
        <v/>
      </c>
      <c r="AR509" s="81">
        <f>IF(E509=$AR$6,1,"")</f>
        <v/>
      </c>
      <c r="AS509" s="81" t="n"/>
    </row>
    <row r="510" ht="15.75" customHeight="1" s="80">
      <c r="A510" s="157" t="n"/>
      <c r="B510" s="124" t="n"/>
      <c r="C510" s="125" t="n"/>
      <c r="D510" s="126" t="n"/>
      <c r="E510" s="127" t="n"/>
      <c r="F510" s="128" t="n"/>
      <c r="G510" s="129">
        <f>IF(F510="","",ROUND(F510/60,2))</f>
        <v/>
      </c>
      <c r="H510" s="130" t="n"/>
      <c r="I510" s="131" t="n"/>
      <c r="J510" s="131">
        <f>IF(COUNTIF(B510:E510,"*")=0,"",IF(T510=1,"Invalid Service",IF(AND(V510=1,F510=""),"Add Session Mins",IF(AND(E510&gt;0,H510="",T510=""),"Enter Contract Rate",IF(AND(E510="IEP mtg, prep, rept",F510&gt;0),(G510*H510),IF(AND(E510&gt;0,F510&gt;0,H510&gt;0,I510=""),"Enter Travel",IF(AND(F510&gt;0,I510="Y"),(G510*H510)+$M$10,IF(AND(F510&gt;0,I510="N"),(G510*H510),H510))))))))</f>
        <v/>
      </c>
      <c r="K510" s="132">
        <f>J510</f>
        <v/>
      </c>
      <c r="L510" s="148" t="n"/>
      <c r="M510" s="148" t="n"/>
      <c r="N510" s="148" t="n"/>
      <c r="O510" s="87" t="n"/>
      <c r="P510" s="81" t="n"/>
      <c r="Q510" s="81" t="n"/>
      <c r="R510" s="81" t="n"/>
      <c r="S510" s="81" t="n"/>
      <c r="T510" s="136">
        <f>IF(AND(E510&gt;0,U510=0),1,"")</f>
        <v/>
      </c>
      <c r="U510" s="136">
        <f>SUM(X510:AR510)</f>
        <v/>
      </c>
      <c r="V510" s="136">
        <f>IF(E510=$Q$16,0,SUM(X510:AI510))</f>
        <v/>
      </c>
      <c r="W510" s="136">
        <f>SUM(AK510:AR510)</f>
        <v/>
      </c>
      <c r="X510" s="136">
        <f>IF(E510=$X$6,1,"")</f>
        <v/>
      </c>
      <c r="Y510" s="136">
        <f>IF(E510=$Y$6,1,"")</f>
        <v/>
      </c>
      <c r="Z510" s="136">
        <f>IF(E510=$Z$6,1,"")</f>
        <v/>
      </c>
      <c r="AA510" s="136">
        <f>IF(E510=$AA$6,1,"")</f>
        <v/>
      </c>
      <c r="AB510" s="136">
        <f>IF(E510=$AB$6,1,"")</f>
        <v/>
      </c>
      <c r="AC510" s="136">
        <f>IF(E510=$AC$6,1,"")</f>
        <v/>
      </c>
      <c r="AD510" s="136">
        <f>IF(E510=$AD$6,1,"")</f>
        <v/>
      </c>
      <c r="AE510" s="136">
        <f>IF(E510=$AE$6,1,"")</f>
        <v/>
      </c>
      <c r="AF510" s="136">
        <f>IF(E510=$AF$6,1,"")</f>
        <v/>
      </c>
      <c r="AG510" s="136">
        <f>IF(E510=$AG$6,1,"")</f>
        <v/>
      </c>
      <c r="AH510" s="136">
        <f>IF(E510=$AH$6,1,"")</f>
        <v/>
      </c>
      <c r="AI510" s="136">
        <f>IF(E510=$AI$6,1,"")</f>
        <v/>
      </c>
      <c r="AJ510" s="136">
        <f>IF(E510=$AJ$6,1,"")</f>
        <v/>
      </c>
      <c r="AK510" s="81">
        <f>IF(E510=$AK$6,1,"")</f>
        <v/>
      </c>
      <c r="AL510" s="81">
        <f>IF(E510=$AL$6,1,"")</f>
        <v/>
      </c>
      <c r="AM510" s="81">
        <f>IF(E510=$AM$6,1,"")</f>
        <v/>
      </c>
      <c r="AN510" s="81">
        <f>IF(E510=$AN$6,1,"")</f>
        <v/>
      </c>
      <c r="AO510" s="81">
        <f>IF(E510=$AO$6,1,"")</f>
        <v/>
      </c>
      <c r="AP510" s="81">
        <f>IF(E510=$AP$6,1,"")</f>
        <v/>
      </c>
      <c r="AQ510" s="81">
        <f>IF(E510=$AQ$6,1,"")</f>
        <v/>
      </c>
      <c r="AR510" s="81">
        <f>IF(E510=$AR$6,1,"")</f>
        <v/>
      </c>
      <c r="AS510" s="81" t="n"/>
    </row>
    <row r="511" ht="15.75" customHeight="1" s="80">
      <c r="A511" s="157" t="n"/>
      <c r="B511" s="124" t="n"/>
      <c r="C511" s="125" t="n"/>
      <c r="D511" s="126" t="n"/>
      <c r="E511" s="127" t="n"/>
      <c r="F511" s="128" t="n"/>
      <c r="G511" s="129">
        <f>IF(F511="","",ROUND(F511/60,2))</f>
        <v/>
      </c>
      <c r="H511" s="130" t="n"/>
      <c r="I511" s="131" t="n"/>
      <c r="J511" s="131">
        <f>IF(COUNTIF(B511:E511,"*")=0,"",IF(T511=1,"Invalid Service",IF(AND(V511=1,F511=""),"Add Session Mins",IF(AND(E511&gt;0,H511="",T511=""),"Enter Contract Rate",IF(AND(E511="IEP mtg, prep, rept",F511&gt;0),(G511*H511),IF(AND(E511&gt;0,F511&gt;0,H511&gt;0,I511=""),"Enter Travel",IF(AND(F511&gt;0,I511="Y"),(G511*H511)+$M$10,IF(AND(F511&gt;0,I511="N"),(G511*H511),H511))))))))</f>
        <v/>
      </c>
      <c r="K511" s="132">
        <f>J511</f>
        <v/>
      </c>
      <c r="L511" s="148" t="n"/>
      <c r="M511" s="148" t="n"/>
      <c r="N511" s="148" t="n"/>
      <c r="O511" s="87" t="n"/>
      <c r="P511" s="81" t="n"/>
      <c r="Q511" s="81" t="n"/>
      <c r="R511" s="81" t="n"/>
      <c r="S511" s="81" t="n"/>
      <c r="T511" s="136">
        <f>IF(AND(E511&gt;0,U511=0),1,"")</f>
        <v/>
      </c>
      <c r="U511" s="136">
        <f>SUM(X511:AR511)</f>
        <v/>
      </c>
      <c r="V511" s="136">
        <f>IF(E511=$Q$16,0,SUM(X511:AI511))</f>
        <v/>
      </c>
      <c r="W511" s="136">
        <f>SUM(AK511:AR511)</f>
        <v/>
      </c>
      <c r="X511" s="136">
        <f>IF(E511=$X$6,1,"")</f>
        <v/>
      </c>
      <c r="Y511" s="136">
        <f>IF(E511=$Y$6,1,"")</f>
        <v/>
      </c>
      <c r="Z511" s="136">
        <f>IF(E511=$Z$6,1,"")</f>
        <v/>
      </c>
      <c r="AA511" s="136">
        <f>IF(E511=$AA$6,1,"")</f>
        <v/>
      </c>
      <c r="AB511" s="136">
        <f>IF(E511=$AB$6,1,"")</f>
        <v/>
      </c>
      <c r="AC511" s="136">
        <f>IF(E511=$AC$6,1,"")</f>
        <v/>
      </c>
      <c r="AD511" s="136">
        <f>IF(E511=$AD$6,1,"")</f>
        <v/>
      </c>
      <c r="AE511" s="136">
        <f>IF(E511=$AE$6,1,"")</f>
        <v/>
      </c>
      <c r="AF511" s="136">
        <f>IF(E511=$AF$6,1,"")</f>
        <v/>
      </c>
      <c r="AG511" s="136">
        <f>IF(E511=$AG$6,1,"")</f>
        <v/>
      </c>
      <c r="AH511" s="136">
        <f>IF(E511=$AH$6,1,"")</f>
        <v/>
      </c>
      <c r="AI511" s="136">
        <f>IF(E511=$AI$6,1,"")</f>
        <v/>
      </c>
      <c r="AJ511" s="136">
        <f>IF(E511=$AJ$6,1,"")</f>
        <v/>
      </c>
      <c r="AK511" s="81">
        <f>IF(E511=$AK$6,1,"")</f>
        <v/>
      </c>
      <c r="AL511" s="81">
        <f>IF(E511=$AL$6,1,"")</f>
        <v/>
      </c>
      <c r="AM511" s="81">
        <f>IF(E511=$AM$6,1,"")</f>
        <v/>
      </c>
      <c r="AN511" s="81">
        <f>IF(E511=$AN$6,1,"")</f>
        <v/>
      </c>
      <c r="AO511" s="81">
        <f>IF(E511=$AO$6,1,"")</f>
        <v/>
      </c>
      <c r="AP511" s="81">
        <f>IF(E511=$AP$6,1,"")</f>
        <v/>
      </c>
      <c r="AQ511" s="81">
        <f>IF(E511=$AQ$6,1,"")</f>
        <v/>
      </c>
      <c r="AR511" s="81">
        <f>IF(E511=$AR$6,1,"")</f>
        <v/>
      </c>
      <c r="AS511" s="81" t="n"/>
    </row>
    <row r="512" ht="15.75" customHeight="1" s="80">
      <c r="A512" s="157" t="n"/>
      <c r="B512" s="124" t="n"/>
      <c r="C512" s="125" t="n"/>
      <c r="D512" s="126" t="n"/>
      <c r="E512" s="127" t="n"/>
      <c r="F512" s="128" t="n"/>
      <c r="G512" s="129">
        <f>IF(F512="","",ROUND(F512/60,2))</f>
        <v/>
      </c>
      <c r="H512" s="130" t="n"/>
      <c r="I512" s="131" t="n"/>
      <c r="J512" s="131">
        <f>IF(COUNTIF(B512:E512,"*")=0,"",IF(T512=1,"Invalid Service",IF(AND(V512=1,F512=""),"Add Session Mins",IF(AND(E512&gt;0,H512="",T512=""),"Enter Contract Rate",IF(AND(E512="IEP mtg, prep, rept",F512&gt;0),(G512*H512),IF(AND(E512&gt;0,F512&gt;0,H512&gt;0,I512=""),"Enter Travel",IF(AND(F512&gt;0,I512="Y"),(G512*H512)+$M$10,IF(AND(F512&gt;0,I512="N"),(G512*H512),H512))))))))</f>
        <v/>
      </c>
      <c r="K512" s="132">
        <f>J512</f>
        <v/>
      </c>
      <c r="L512" s="148" t="n"/>
      <c r="M512" s="148" t="n"/>
      <c r="N512" s="148" t="n"/>
      <c r="O512" s="87" t="n"/>
      <c r="P512" s="81" t="n"/>
      <c r="Q512" s="81" t="n"/>
      <c r="R512" s="81" t="n"/>
      <c r="S512" s="81" t="n"/>
      <c r="T512" s="136">
        <f>IF(AND(E512&gt;0,U512=0),1,"")</f>
        <v/>
      </c>
      <c r="U512" s="136">
        <f>SUM(X512:AR512)</f>
        <v/>
      </c>
      <c r="V512" s="136">
        <f>IF(E512=$Q$16,0,SUM(X512:AI512))</f>
        <v/>
      </c>
      <c r="W512" s="136">
        <f>SUM(AK512:AR512)</f>
        <v/>
      </c>
      <c r="X512" s="136">
        <f>IF(E512=$X$6,1,"")</f>
        <v/>
      </c>
      <c r="Y512" s="136">
        <f>IF(E512=$Y$6,1,"")</f>
        <v/>
      </c>
      <c r="Z512" s="136">
        <f>IF(E512=$Z$6,1,"")</f>
        <v/>
      </c>
      <c r="AA512" s="136">
        <f>IF(E512=$AA$6,1,"")</f>
        <v/>
      </c>
      <c r="AB512" s="136">
        <f>IF(E512=$AB$6,1,"")</f>
        <v/>
      </c>
      <c r="AC512" s="136">
        <f>IF(E512=$AC$6,1,"")</f>
        <v/>
      </c>
      <c r="AD512" s="136">
        <f>IF(E512=$AD$6,1,"")</f>
        <v/>
      </c>
      <c r="AE512" s="136">
        <f>IF(E512=$AE$6,1,"")</f>
        <v/>
      </c>
      <c r="AF512" s="136">
        <f>IF(E512=$AF$6,1,"")</f>
        <v/>
      </c>
      <c r="AG512" s="136">
        <f>IF(E512=$AG$6,1,"")</f>
        <v/>
      </c>
      <c r="AH512" s="136">
        <f>IF(E512=$AH$6,1,"")</f>
        <v/>
      </c>
      <c r="AI512" s="136">
        <f>IF(E512=$AI$6,1,"")</f>
        <v/>
      </c>
      <c r="AJ512" s="136">
        <f>IF(E512=$AJ$6,1,"")</f>
        <v/>
      </c>
      <c r="AK512" s="81">
        <f>IF(E512=$AK$6,1,"")</f>
        <v/>
      </c>
      <c r="AL512" s="81">
        <f>IF(E512=$AL$6,1,"")</f>
        <v/>
      </c>
      <c r="AM512" s="81">
        <f>IF(E512=$AM$6,1,"")</f>
        <v/>
      </c>
      <c r="AN512" s="81">
        <f>IF(E512=$AN$6,1,"")</f>
        <v/>
      </c>
      <c r="AO512" s="81">
        <f>IF(E512=$AO$6,1,"")</f>
        <v/>
      </c>
      <c r="AP512" s="81">
        <f>IF(E512=$AP$6,1,"")</f>
        <v/>
      </c>
      <c r="AQ512" s="81">
        <f>IF(E512=$AQ$6,1,"")</f>
        <v/>
      </c>
      <c r="AR512" s="81">
        <f>IF(E512=$AR$6,1,"")</f>
        <v/>
      </c>
      <c r="AS512" s="81" t="n"/>
    </row>
    <row r="513" ht="15.75" customHeight="1" s="80">
      <c r="A513" s="157" t="n"/>
      <c r="B513" s="124" t="n"/>
      <c r="C513" s="125" t="n"/>
      <c r="D513" s="126" t="n"/>
      <c r="E513" s="127" t="n"/>
      <c r="F513" s="128" t="n"/>
      <c r="G513" s="129">
        <f>IF(F513="","",ROUND(F513/60,2))</f>
        <v/>
      </c>
      <c r="H513" s="130" t="n"/>
      <c r="I513" s="131" t="n"/>
      <c r="J513" s="131">
        <f>IF(COUNTIF(B513:E513,"*")=0,"",IF(T513=1,"Invalid Service",IF(AND(V513=1,F513=""),"Add Session Mins",IF(AND(E513&gt;0,H513="",T513=""),"Enter Contract Rate",IF(AND(E513="IEP mtg, prep, rept",F513&gt;0),(G513*H513),IF(AND(E513&gt;0,F513&gt;0,H513&gt;0,I513=""),"Enter Travel",IF(AND(F513&gt;0,I513="Y"),(G513*H513)+$M$10,IF(AND(F513&gt;0,I513="N"),(G513*H513),H513))))))))</f>
        <v/>
      </c>
      <c r="K513" s="132">
        <f>J513</f>
        <v/>
      </c>
      <c r="L513" s="148" t="n"/>
      <c r="M513" s="148" t="n"/>
      <c r="N513" s="148" t="n"/>
      <c r="O513" s="87" t="n"/>
      <c r="P513" s="81" t="n"/>
      <c r="Q513" s="81" t="n"/>
      <c r="R513" s="81" t="n"/>
      <c r="S513" s="81" t="n"/>
      <c r="T513" s="136">
        <f>IF(AND(E513&gt;0,U513=0),1,"")</f>
        <v/>
      </c>
      <c r="U513" s="136">
        <f>SUM(X513:AR513)</f>
        <v/>
      </c>
      <c r="V513" s="136">
        <f>IF(E513=$Q$16,0,SUM(X513:AI513))</f>
        <v/>
      </c>
      <c r="W513" s="136">
        <f>SUM(AK513:AR513)</f>
        <v/>
      </c>
      <c r="X513" s="136">
        <f>IF(E513=$X$6,1,"")</f>
        <v/>
      </c>
      <c r="Y513" s="136">
        <f>IF(E513=$Y$6,1,"")</f>
        <v/>
      </c>
      <c r="Z513" s="136">
        <f>IF(E513=$Z$6,1,"")</f>
        <v/>
      </c>
      <c r="AA513" s="136">
        <f>IF(E513=$AA$6,1,"")</f>
        <v/>
      </c>
      <c r="AB513" s="136">
        <f>IF(E513=$AB$6,1,"")</f>
        <v/>
      </c>
      <c r="AC513" s="136">
        <f>IF(E513=$AC$6,1,"")</f>
        <v/>
      </c>
      <c r="AD513" s="136">
        <f>IF(E513=$AD$6,1,"")</f>
        <v/>
      </c>
      <c r="AE513" s="136">
        <f>IF(E513=$AE$6,1,"")</f>
        <v/>
      </c>
      <c r="AF513" s="136">
        <f>IF(E513=$AF$6,1,"")</f>
        <v/>
      </c>
      <c r="AG513" s="136">
        <f>IF(E513=$AG$6,1,"")</f>
        <v/>
      </c>
      <c r="AH513" s="136">
        <f>IF(E513=$AH$6,1,"")</f>
        <v/>
      </c>
      <c r="AI513" s="136">
        <f>IF(E513=$AI$6,1,"")</f>
        <v/>
      </c>
      <c r="AJ513" s="136">
        <f>IF(E513=$AJ$6,1,"")</f>
        <v/>
      </c>
      <c r="AK513" s="81">
        <f>IF(E513=$AK$6,1,"")</f>
        <v/>
      </c>
      <c r="AL513" s="81">
        <f>IF(E513=$AL$6,1,"")</f>
        <v/>
      </c>
      <c r="AM513" s="81">
        <f>IF(E513=$AM$6,1,"")</f>
        <v/>
      </c>
      <c r="AN513" s="81">
        <f>IF(E513=$AN$6,1,"")</f>
        <v/>
      </c>
      <c r="AO513" s="81">
        <f>IF(E513=$AO$6,1,"")</f>
        <v/>
      </c>
      <c r="AP513" s="81">
        <f>IF(E513=$AP$6,1,"")</f>
        <v/>
      </c>
      <c r="AQ513" s="81">
        <f>IF(E513=$AQ$6,1,"")</f>
        <v/>
      </c>
      <c r="AR513" s="81">
        <f>IF(E513=$AR$6,1,"")</f>
        <v/>
      </c>
      <c r="AS513" s="81" t="n"/>
    </row>
    <row r="514" ht="15.75" customHeight="1" s="80">
      <c r="A514" s="157" t="n"/>
      <c r="B514" s="124" t="n"/>
      <c r="C514" s="125" t="n"/>
      <c r="D514" s="126" t="n"/>
      <c r="E514" s="127" t="n"/>
      <c r="F514" s="128" t="n"/>
      <c r="G514" s="129">
        <f>IF(F514="","",ROUND(F514/60,2))</f>
        <v/>
      </c>
      <c r="H514" s="130" t="n"/>
      <c r="I514" s="131" t="n"/>
      <c r="J514" s="131">
        <f>IF(COUNTIF(B514:E514,"*")=0,"",IF(T514=1,"Invalid Service",IF(AND(V514=1,F514=""),"Add Session Mins",IF(AND(E514&gt;0,H514="",T514=""),"Enter Contract Rate",IF(AND(E514="IEP mtg, prep, rept",F514&gt;0),(G514*H514),IF(AND(E514&gt;0,F514&gt;0,H514&gt;0,I514=""),"Enter Travel",IF(AND(F514&gt;0,I514="Y"),(G514*H514)+$M$10,IF(AND(F514&gt;0,I514="N"),(G514*H514),H514))))))))</f>
        <v/>
      </c>
      <c r="K514" s="132">
        <f>J514</f>
        <v/>
      </c>
      <c r="L514" s="148" t="n"/>
      <c r="M514" s="148" t="n"/>
      <c r="N514" s="148" t="n"/>
      <c r="O514" s="87" t="n"/>
      <c r="P514" s="81" t="n"/>
      <c r="Q514" s="81" t="n"/>
      <c r="R514" s="81" t="n"/>
      <c r="S514" s="81" t="n"/>
      <c r="T514" s="136">
        <f>IF(AND(E514&gt;0,U514=0),1,"")</f>
        <v/>
      </c>
      <c r="U514" s="136">
        <f>SUM(X514:AR514)</f>
        <v/>
      </c>
      <c r="V514" s="136">
        <f>IF(E514=$Q$16,0,SUM(X514:AI514))</f>
        <v/>
      </c>
      <c r="W514" s="136">
        <f>SUM(AK514:AR514)</f>
        <v/>
      </c>
      <c r="X514" s="136">
        <f>IF(E514=$X$6,1,"")</f>
        <v/>
      </c>
      <c r="Y514" s="136">
        <f>IF(E514=$Y$6,1,"")</f>
        <v/>
      </c>
      <c r="Z514" s="136">
        <f>IF(E514=$Z$6,1,"")</f>
        <v/>
      </c>
      <c r="AA514" s="136">
        <f>IF(E514=$AA$6,1,"")</f>
        <v/>
      </c>
      <c r="AB514" s="136">
        <f>IF(E514=$AB$6,1,"")</f>
        <v/>
      </c>
      <c r="AC514" s="136">
        <f>IF(E514=$AC$6,1,"")</f>
        <v/>
      </c>
      <c r="AD514" s="136">
        <f>IF(E514=$AD$6,1,"")</f>
        <v/>
      </c>
      <c r="AE514" s="136">
        <f>IF(E514=$AE$6,1,"")</f>
        <v/>
      </c>
      <c r="AF514" s="136">
        <f>IF(E514=$AF$6,1,"")</f>
        <v/>
      </c>
      <c r="AG514" s="136">
        <f>IF(E514=$AG$6,1,"")</f>
        <v/>
      </c>
      <c r="AH514" s="136">
        <f>IF(E514=$AH$6,1,"")</f>
        <v/>
      </c>
      <c r="AI514" s="136">
        <f>IF(E514=$AI$6,1,"")</f>
        <v/>
      </c>
      <c r="AJ514" s="136">
        <f>IF(E514=$AJ$6,1,"")</f>
        <v/>
      </c>
      <c r="AK514" s="81">
        <f>IF(E514=$AK$6,1,"")</f>
        <v/>
      </c>
      <c r="AL514" s="81">
        <f>IF(E514=$AL$6,1,"")</f>
        <v/>
      </c>
      <c r="AM514" s="81">
        <f>IF(E514=$AM$6,1,"")</f>
        <v/>
      </c>
      <c r="AN514" s="81">
        <f>IF(E514=$AN$6,1,"")</f>
        <v/>
      </c>
      <c r="AO514" s="81">
        <f>IF(E514=$AO$6,1,"")</f>
        <v/>
      </c>
      <c r="AP514" s="81">
        <f>IF(E514=$AP$6,1,"")</f>
        <v/>
      </c>
      <c r="AQ514" s="81">
        <f>IF(E514=$AQ$6,1,"")</f>
        <v/>
      </c>
      <c r="AR514" s="81">
        <f>IF(E514=$AR$6,1,"")</f>
        <v/>
      </c>
      <c r="AS514" s="81" t="n"/>
    </row>
    <row r="515" ht="15.75" customHeight="1" s="80">
      <c r="A515" s="157" t="n"/>
      <c r="B515" s="124" t="n"/>
      <c r="C515" s="125" t="n"/>
      <c r="D515" s="126" t="n"/>
      <c r="E515" s="127" t="n"/>
      <c r="F515" s="128" t="n"/>
      <c r="G515" s="129">
        <f>IF(F515="","",ROUND(F515/60,2))</f>
        <v/>
      </c>
      <c r="H515" s="130" t="n"/>
      <c r="I515" s="131" t="n"/>
      <c r="J515" s="131">
        <f>IF(COUNTIF(B515:E515,"*")=0,"",IF(T515=1,"Invalid Service",IF(AND(V515=1,F515=""),"Add Session Mins",IF(AND(E515&gt;0,H515="",T515=""),"Enter Contract Rate",IF(AND(E515="IEP mtg, prep, rept",F515&gt;0),(G515*H515),IF(AND(E515&gt;0,F515&gt;0,H515&gt;0,I515=""),"Enter Travel",IF(AND(F515&gt;0,I515="Y"),(G515*H515)+$M$10,IF(AND(F515&gt;0,I515="N"),(G515*H515),H515))))))))</f>
        <v/>
      </c>
      <c r="K515" s="132">
        <f>J515</f>
        <v/>
      </c>
      <c r="L515" s="148" t="n"/>
      <c r="M515" s="148" t="n"/>
      <c r="N515" s="148" t="n"/>
      <c r="O515" s="87" t="n"/>
      <c r="P515" s="81" t="n"/>
      <c r="Q515" s="81" t="n"/>
      <c r="R515" s="81" t="n"/>
      <c r="S515" s="81" t="n"/>
      <c r="T515" s="136">
        <f>IF(AND(E515&gt;0,U515=0),1,"")</f>
        <v/>
      </c>
      <c r="U515" s="136">
        <f>SUM(X515:AR515)</f>
        <v/>
      </c>
      <c r="V515" s="136">
        <f>IF(E515=$Q$16,0,SUM(X515:AI515))</f>
        <v/>
      </c>
      <c r="W515" s="136">
        <f>SUM(AK515:AR515)</f>
        <v/>
      </c>
      <c r="X515" s="136">
        <f>IF(E515=$X$6,1,"")</f>
        <v/>
      </c>
      <c r="Y515" s="136">
        <f>IF(E515=$Y$6,1,"")</f>
        <v/>
      </c>
      <c r="Z515" s="136">
        <f>IF(E515=$Z$6,1,"")</f>
        <v/>
      </c>
      <c r="AA515" s="136">
        <f>IF(E515=$AA$6,1,"")</f>
        <v/>
      </c>
      <c r="AB515" s="136">
        <f>IF(E515=$AB$6,1,"")</f>
        <v/>
      </c>
      <c r="AC515" s="136">
        <f>IF(E515=$AC$6,1,"")</f>
        <v/>
      </c>
      <c r="AD515" s="136">
        <f>IF(E515=$AD$6,1,"")</f>
        <v/>
      </c>
      <c r="AE515" s="136">
        <f>IF(E515=$AE$6,1,"")</f>
        <v/>
      </c>
      <c r="AF515" s="136">
        <f>IF(E515=$AF$6,1,"")</f>
        <v/>
      </c>
      <c r="AG515" s="136">
        <f>IF(E515=$AG$6,1,"")</f>
        <v/>
      </c>
      <c r="AH515" s="136">
        <f>IF(E515=$AH$6,1,"")</f>
        <v/>
      </c>
      <c r="AI515" s="136">
        <f>IF(E515=$AI$6,1,"")</f>
        <v/>
      </c>
      <c r="AJ515" s="136">
        <f>IF(E515=$AJ$6,1,"")</f>
        <v/>
      </c>
      <c r="AK515" s="81">
        <f>IF(E515=$AK$6,1,"")</f>
        <v/>
      </c>
      <c r="AL515" s="81">
        <f>IF(E515=$AL$6,1,"")</f>
        <v/>
      </c>
      <c r="AM515" s="81">
        <f>IF(E515=$AM$6,1,"")</f>
        <v/>
      </c>
      <c r="AN515" s="81">
        <f>IF(E515=$AN$6,1,"")</f>
        <v/>
      </c>
      <c r="AO515" s="81">
        <f>IF(E515=$AO$6,1,"")</f>
        <v/>
      </c>
      <c r="AP515" s="81">
        <f>IF(E515=$AP$6,1,"")</f>
        <v/>
      </c>
      <c r="AQ515" s="81">
        <f>IF(E515=$AQ$6,1,"")</f>
        <v/>
      </c>
      <c r="AR515" s="81">
        <f>IF(E515=$AR$6,1,"")</f>
        <v/>
      </c>
      <c r="AS515" s="81" t="n"/>
    </row>
    <row r="516" ht="15.75" customHeight="1" s="80">
      <c r="A516" s="157" t="n"/>
      <c r="B516" s="124" t="n"/>
      <c r="C516" s="125" t="n"/>
      <c r="D516" s="126" t="n"/>
      <c r="E516" s="127" t="n"/>
      <c r="F516" s="128" t="n"/>
      <c r="G516" s="129">
        <f>IF(F516="","",ROUND(F516/60,2))</f>
        <v/>
      </c>
      <c r="H516" s="130" t="n"/>
      <c r="I516" s="131" t="n"/>
      <c r="J516" s="131">
        <f>IF(COUNTIF(B516:E516,"*")=0,"",IF(T516=1,"Invalid Service",IF(AND(V516=1,F516=""),"Add Session Mins",IF(AND(E516&gt;0,H516="",T516=""),"Enter Contract Rate",IF(AND(E516="IEP mtg, prep, rept",F516&gt;0),(G516*H516),IF(AND(E516&gt;0,F516&gt;0,H516&gt;0,I516=""),"Enter Travel",IF(AND(F516&gt;0,I516="Y"),(G516*H516)+$M$10,IF(AND(F516&gt;0,I516="N"),(G516*H516),H516))))))))</f>
        <v/>
      </c>
      <c r="K516" s="132">
        <f>J516</f>
        <v/>
      </c>
      <c r="L516" s="148" t="n"/>
      <c r="M516" s="148" t="n"/>
      <c r="N516" s="148" t="n"/>
      <c r="O516" s="87" t="n"/>
      <c r="P516" s="81" t="n"/>
      <c r="Q516" s="81" t="n"/>
      <c r="R516" s="81" t="n"/>
      <c r="S516" s="81" t="n"/>
      <c r="T516" s="136">
        <f>IF(AND(E516&gt;0,U516=0),1,"")</f>
        <v/>
      </c>
      <c r="U516" s="136">
        <f>SUM(X516:AR516)</f>
        <v/>
      </c>
      <c r="V516" s="136">
        <f>IF(E516=$Q$16,0,SUM(X516:AI516))</f>
        <v/>
      </c>
      <c r="W516" s="136">
        <f>SUM(AK516:AR516)</f>
        <v/>
      </c>
      <c r="X516" s="136">
        <f>IF(E516=$X$6,1,"")</f>
        <v/>
      </c>
      <c r="Y516" s="136">
        <f>IF(E516=$Y$6,1,"")</f>
        <v/>
      </c>
      <c r="Z516" s="136">
        <f>IF(E516=$Z$6,1,"")</f>
        <v/>
      </c>
      <c r="AA516" s="136">
        <f>IF(E516=$AA$6,1,"")</f>
        <v/>
      </c>
      <c r="AB516" s="136">
        <f>IF(E516=$AB$6,1,"")</f>
        <v/>
      </c>
      <c r="AC516" s="136">
        <f>IF(E516=$AC$6,1,"")</f>
        <v/>
      </c>
      <c r="AD516" s="136">
        <f>IF(E516=$AD$6,1,"")</f>
        <v/>
      </c>
      <c r="AE516" s="136">
        <f>IF(E516=$AE$6,1,"")</f>
        <v/>
      </c>
      <c r="AF516" s="136">
        <f>IF(E516=$AF$6,1,"")</f>
        <v/>
      </c>
      <c r="AG516" s="136">
        <f>IF(E516=$AG$6,1,"")</f>
        <v/>
      </c>
      <c r="AH516" s="136">
        <f>IF(E516=$AH$6,1,"")</f>
        <v/>
      </c>
      <c r="AI516" s="136">
        <f>IF(E516=$AI$6,1,"")</f>
        <v/>
      </c>
      <c r="AJ516" s="136">
        <f>IF(E516=$AJ$6,1,"")</f>
        <v/>
      </c>
      <c r="AK516" s="81">
        <f>IF(E516=$AK$6,1,"")</f>
        <v/>
      </c>
      <c r="AL516" s="81">
        <f>IF(E516=$AL$6,1,"")</f>
        <v/>
      </c>
      <c r="AM516" s="81">
        <f>IF(E516=$AM$6,1,"")</f>
        <v/>
      </c>
      <c r="AN516" s="81">
        <f>IF(E516=$AN$6,1,"")</f>
        <v/>
      </c>
      <c r="AO516" s="81">
        <f>IF(E516=$AO$6,1,"")</f>
        <v/>
      </c>
      <c r="AP516" s="81">
        <f>IF(E516=$AP$6,1,"")</f>
        <v/>
      </c>
      <c r="AQ516" s="81">
        <f>IF(E516=$AQ$6,1,"")</f>
        <v/>
      </c>
      <c r="AR516" s="81">
        <f>IF(E516=$AR$6,1,"")</f>
        <v/>
      </c>
      <c r="AS516" s="81" t="n"/>
    </row>
    <row r="517" ht="15.75" customHeight="1" s="80">
      <c r="A517" s="157" t="n"/>
      <c r="B517" s="124" t="n"/>
      <c r="C517" s="125" t="n"/>
      <c r="D517" s="126" t="n"/>
      <c r="E517" s="127" t="n"/>
      <c r="F517" s="128" t="n"/>
      <c r="G517" s="129">
        <f>IF(F517="","",ROUND(F517/60,2))</f>
        <v/>
      </c>
      <c r="H517" s="130" t="n"/>
      <c r="I517" s="131" t="n"/>
      <c r="J517" s="131">
        <f>IF(COUNTIF(B517:E517,"*")=0,"",IF(T517=1,"Invalid Service",IF(AND(V517=1,F517=""),"Add Session Mins",IF(AND(E517&gt;0,H517="",T517=""),"Enter Contract Rate",IF(AND(E517="IEP mtg, prep, rept",F517&gt;0),(G517*H517),IF(AND(E517&gt;0,F517&gt;0,H517&gt;0,I517=""),"Enter Travel",IF(AND(F517&gt;0,I517="Y"),(G517*H517)+$M$10,IF(AND(F517&gt;0,I517="N"),(G517*H517),H517))))))))</f>
        <v/>
      </c>
      <c r="K517" s="132">
        <f>J517</f>
        <v/>
      </c>
      <c r="L517" s="148" t="n"/>
      <c r="M517" s="148" t="n"/>
      <c r="N517" s="148" t="n"/>
      <c r="O517" s="87" t="n"/>
      <c r="P517" s="81" t="n"/>
      <c r="Q517" s="81" t="n"/>
      <c r="R517" s="81" t="n"/>
      <c r="S517" s="81" t="n"/>
      <c r="T517" s="136">
        <f>IF(AND(E517&gt;0,U517=0),1,"")</f>
        <v/>
      </c>
      <c r="U517" s="136">
        <f>SUM(X517:AR517)</f>
        <v/>
      </c>
      <c r="V517" s="136">
        <f>IF(E517=$Q$16,0,SUM(X517:AI517))</f>
        <v/>
      </c>
      <c r="W517" s="136">
        <f>SUM(AK517:AR517)</f>
        <v/>
      </c>
      <c r="X517" s="136">
        <f>IF(E517=$X$6,1,"")</f>
        <v/>
      </c>
      <c r="Y517" s="136">
        <f>IF(E517=$Y$6,1,"")</f>
        <v/>
      </c>
      <c r="Z517" s="136">
        <f>IF(E517=$Z$6,1,"")</f>
        <v/>
      </c>
      <c r="AA517" s="136">
        <f>IF(E517=$AA$6,1,"")</f>
        <v/>
      </c>
      <c r="AB517" s="136">
        <f>IF(E517=$AB$6,1,"")</f>
        <v/>
      </c>
      <c r="AC517" s="136">
        <f>IF(E517=$AC$6,1,"")</f>
        <v/>
      </c>
      <c r="AD517" s="136">
        <f>IF(E517=$AD$6,1,"")</f>
        <v/>
      </c>
      <c r="AE517" s="136">
        <f>IF(E517=$AE$6,1,"")</f>
        <v/>
      </c>
      <c r="AF517" s="136">
        <f>IF(E517=$AF$6,1,"")</f>
        <v/>
      </c>
      <c r="AG517" s="136">
        <f>IF(E517=$AG$6,1,"")</f>
        <v/>
      </c>
      <c r="AH517" s="136">
        <f>IF(E517=$AH$6,1,"")</f>
        <v/>
      </c>
      <c r="AI517" s="136">
        <f>IF(E517=$AI$6,1,"")</f>
        <v/>
      </c>
      <c r="AJ517" s="136">
        <f>IF(E517=$AJ$6,1,"")</f>
        <v/>
      </c>
      <c r="AK517" s="81">
        <f>IF(E517=$AK$6,1,"")</f>
        <v/>
      </c>
      <c r="AL517" s="81">
        <f>IF(E517=$AL$6,1,"")</f>
        <v/>
      </c>
      <c r="AM517" s="81">
        <f>IF(E517=$AM$6,1,"")</f>
        <v/>
      </c>
      <c r="AN517" s="81">
        <f>IF(E517=$AN$6,1,"")</f>
        <v/>
      </c>
      <c r="AO517" s="81">
        <f>IF(E517=$AO$6,1,"")</f>
        <v/>
      </c>
      <c r="AP517" s="81">
        <f>IF(E517=$AP$6,1,"")</f>
        <v/>
      </c>
      <c r="AQ517" s="81">
        <f>IF(E517=$AQ$6,1,"")</f>
        <v/>
      </c>
      <c r="AR517" s="81">
        <f>IF(E517=$AR$6,1,"")</f>
        <v/>
      </c>
      <c r="AS517" s="81" t="n"/>
    </row>
    <row r="518" ht="15.75" customHeight="1" s="80">
      <c r="A518" s="157" t="n"/>
      <c r="B518" s="124" t="n"/>
      <c r="C518" s="125" t="n"/>
      <c r="D518" s="126" t="n"/>
      <c r="E518" s="127" t="n"/>
      <c r="F518" s="128" t="n"/>
      <c r="G518" s="129">
        <f>IF(F518="","",ROUND(F518/60,2))</f>
        <v/>
      </c>
      <c r="H518" s="130" t="n"/>
      <c r="I518" s="131" t="n"/>
      <c r="J518" s="131">
        <f>IF(COUNTIF(B518:E518,"*")=0,"",IF(T518=1,"Invalid Service",IF(AND(V518=1,F518=""),"Add Session Mins",IF(AND(E518&gt;0,H518="",T518=""),"Enter Contract Rate",IF(AND(E518="IEP mtg, prep, rept",F518&gt;0),(G518*H518),IF(AND(E518&gt;0,F518&gt;0,H518&gt;0,I518=""),"Enter Travel",IF(AND(F518&gt;0,I518="Y"),(G518*H518)+$M$10,IF(AND(F518&gt;0,I518="N"),(G518*H518),H518))))))))</f>
        <v/>
      </c>
      <c r="K518" s="132">
        <f>J518</f>
        <v/>
      </c>
      <c r="L518" s="148" t="n"/>
      <c r="M518" s="148" t="n"/>
      <c r="N518" s="148" t="n"/>
      <c r="O518" s="87" t="n"/>
      <c r="P518" s="81" t="n"/>
      <c r="Q518" s="81" t="n"/>
      <c r="R518" s="81" t="n"/>
      <c r="S518" s="81" t="n"/>
      <c r="T518" s="136">
        <f>IF(AND(E518&gt;0,U518=0),1,"")</f>
        <v/>
      </c>
      <c r="U518" s="136">
        <f>SUM(X518:AR518)</f>
        <v/>
      </c>
      <c r="V518" s="136">
        <f>IF(E518=$Q$16,0,SUM(X518:AI518))</f>
        <v/>
      </c>
      <c r="W518" s="136">
        <f>SUM(AK518:AR518)</f>
        <v/>
      </c>
      <c r="X518" s="136">
        <f>IF(E518=$X$6,1,"")</f>
        <v/>
      </c>
      <c r="Y518" s="136">
        <f>IF(E518=$Y$6,1,"")</f>
        <v/>
      </c>
      <c r="Z518" s="136">
        <f>IF(E518=$Z$6,1,"")</f>
        <v/>
      </c>
      <c r="AA518" s="136">
        <f>IF(E518=$AA$6,1,"")</f>
        <v/>
      </c>
      <c r="AB518" s="136">
        <f>IF(E518=$AB$6,1,"")</f>
        <v/>
      </c>
      <c r="AC518" s="136">
        <f>IF(E518=$AC$6,1,"")</f>
        <v/>
      </c>
      <c r="AD518" s="136">
        <f>IF(E518=$AD$6,1,"")</f>
        <v/>
      </c>
      <c r="AE518" s="136">
        <f>IF(E518=$AE$6,1,"")</f>
        <v/>
      </c>
      <c r="AF518" s="136">
        <f>IF(E518=$AF$6,1,"")</f>
        <v/>
      </c>
      <c r="AG518" s="136">
        <f>IF(E518=$AG$6,1,"")</f>
        <v/>
      </c>
      <c r="AH518" s="136">
        <f>IF(E518=$AH$6,1,"")</f>
        <v/>
      </c>
      <c r="AI518" s="136">
        <f>IF(E518=$AI$6,1,"")</f>
        <v/>
      </c>
      <c r="AJ518" s="136">
        <f>IF(E518=$AJ$6,1,"")</f>
        <v/>
      </c>
      <c r="AK518" s="81">
        <f>IF(E518=$AK$6,1,"")</f>
        <v/>
      </c>
      <c r="AL518" s="81">
        <f>IF(E518=$AL$6,1,"")</f>
        <v/>
      </c>
      <c r="AM518" s="81">
        <f>IF(E518=$AM$6,1,"")</f>
        <v/>
      </c>
      <c r="AN518" s="81">
        <f>IF(E518=$AN$6,1,"")</f>
        <v/>
      </c>
      <c r="AO518" s="81">
        <f>IF(E518=$AO$6,1,"")</f>
        <v/>
      </c>
      <c r="AP518" s="81">
        <f>IF(E518=$AP$6,1,"")</f>
        <v/>
      </c>
      <c r="AQ518" s="81">
        <f>IF(E518=$AQ$6,1,"")</f>
        <v/>
      </c>
      <c r="AR518" s="81">
        <f>IF(E518=$AR$6,1,"")</f>
        <v/>
      </c>
      <c r="AS518" s="81" t="n"/>
    </row>
    <row r="519" ht="15.75" customHeight="1" s="80">
      <c r="A519" s="157" t="n"/>
      <c r="B519" s="124" t="n"/>
      <c r="C519" s="125" t="n"/>
      <c r="D519" s="126" t="n"/>
      <c r="E519" s="127" t="n"/>
      <c r="F519" s="128" t="n"/>
      <c r="G519" s="129">
        <f>IF(F519="","",ROUND(F519/60,2))</f>
        <v/>
      </c>
      <c r="H519" s="130" t="n"/>
      <c r="I519" s="131" t="n"/>
      <c r="J519" s="131">
        <f>IF(COUNTIF(B519:E519,"*")=0,"",IF(T519=1,"Invalid Service",IF(AND(V519=1,F519=""),"Add Session Mins",IF(AND(E519&gt;0,H519="",T519=""),"Enter Contract Rate",IF(AND(E519="IEP mtg, prep, rept",F519&gt;0),(G519*H519),IF(AND(E519&gt;0,F519&gt;0,H519&gt;0,I519=""),"Enter Travel",IF(AND(F519&gt;0,I519="Y"),(G519*H519)+$M$10,IF(AND(F519&gt;0,I519="N"),(G519*H519),H519))))))))</f>
        <v/>
      </c>
      <c r="K519" s="132">
        <f>J519</f>
        <v/>
      </c>
      <c r="L519" s="148" t="n"/>
      <c r="M519" s="148" t="n"/>
      <c r="N519" s="148" t="n"/>
      <c r="O519" s="87" t="n"/>
      <c r="P519" s="81" t="n"/>
      <c r="Q519" s="81" t="n"/>
      <c r="R519" s="81" t="n"/>
      <c r="S519" s="81" t="n"/>
      <c r="T519" s="136">
        <f>IF(AND(E519&gt;0,U519=0),1,"")</f>
        <v/>
      </c>
      <c r="U519" s="136">
        <f>SUM(X519:AR519)</f>
        <v/>
      </c>
      <c r="V519" s="136">
        <f>IF(E519=$Q$16,0,SUM(X519:AI519))</f>
        <v/>
      </c>
      <c r="W519" s="136">
        <f>SUM(AK519:AR519)</f>
        <v/>
      </c>
      <c r="X519" s="136">
        <f>IF(E519=$X$6,1,"")</f>
        <v/>
      </c>
      <c r="Y519" s="136">
        <f>IF(E519=$Y$6,1,"")</f>
        <v/>
      </c>
      <c r="Z519" s="136">
        <f>IF(E519=$Z$6,1,"")</f>
        <v/>
      </c>
      <c r="AA519" s="136">
        <f>IF(E519=$AA$6,1,"")</f>
        <v/>
      </c>
      <c r="AB519" s="136">
        <f>IF(E519=$AB$6,1,"")</f>
        <v/>
      </c>
      <c r="AC519" s="136">
        <f>IF(E519=$AC$6,1,"")</f>
        <v/>
      </c>
      <c r="AD519" s="136">
        <f>IF(E519=$AD$6,1,"")</f>
        <v/>
      </c>
      <c r="AE519" s="136">
        <f>IF(E519=$AE$6,1,"")</f>
        <v/>
      </c>
      <c r="AF519" s="136">
        <f>IF(E519=$AF$6,1,"")</f>
        <v/>
      </c>
      <c r="AG519" s="136">
        <f>IF(E519=$AG$6,1,"")</f>
        <v/>
      </c>
      <c r="AH519" s="136">
        <f>IF(E519=$AH$6,1,"")</f>
        <v/>
      </c>
      <c r="AI519" s="136">
        <f>IF(E519=$AI$6,1,"")</f>
        <v/>
      </c>
      <c r="AJ519" s="136">
        <f>IF(E519=$AJ$6,1,"")</f>
        <v/>
      </c>
      <c r="AK519" s="81">
        <f>IF(E519=$AK$6,1,"")</f>
        <v/>
      </c>
      <c r="AL519" s="81">
        <f>IF(E519=$AL$6,1,"")</f>
        <v/>
      </c>
      <c r="AM519" s="81">
        <f>IF(E519=$AM$6,1,"")</f>
        <v/>
      </c>
      <c r="AN519" s="81">
        <f>IF(E519=$AN$6,1,"")</f>
        <v/>
      </c>
      <c r="AO519" s="81">
        <f>IF(E519=$AO$6,1,"")</f>
        <v/>
      </c>
      <c r="AP519" s="81">
        <f>IF(E519=$AP$6,1,"")</f>
        <v/>
      </c>
      <c r="AQ519" s="81">
        <f>IF(E519=$AQ$6,1,"")</f>
        <v/>
      </c>
      <c r="AR519" s="81">
        <f>IF(E519=$AR$6,1,"")</f>
        <v/>
      </c>
      <c r="AS519" s="81" t="n"/>
    </row>
    <row r="520" ht="15.75" customHeight="1" s="80">
      <c r="A520" s="157" t="n"/>
      <c r="B520" s="124" t="n"/>
      <c r="C520" s="125" t="n"/>
      <c r="D520" s="126" t="n"/>
      <c r="E520" s="127" t="n"/>
      <c r="F520" s="128" t="n"/>
      <c r="G520" s="129">
        <f>IF(F520="","",ROUND(F520/60,2))</f>
        <v/>
      </c>
      <c r="H520" s="130" t="n"/>
      <c r="I520" s="131" t="n"/>
      <c r="J520" s="131">
        <f>IF(COUNTIF(B520:E520,"*")=0,"",IF(T520=1,"Invalid Service",IF(AND(V520=1,F520=""),"Add Session Mins",IF(AND(E520&gt;0,H520="",T520=""),"Enter Contract Rate",IF(AND(E520="IEP mtg, prep, rept",F520&gt;0),(G520*H520),IF(AND(E520&gt;0,F520&gt;0,H520&gt;0,I520=""),"Enter Travel",IF(AND(F520&gt;0,I520="Y"),(G520*H520)+$M$10,IF(AND(F520&gt;0,I520="N"),(G520*H520),H520))))))))</f>
        <v/>
      </c>
      <c r="K520" s="132">
        <f>J520</f>
        <v/>
      </c>
      <c r="L520" s="148" t="n"/>
      <c r="M520" s="148" t="n"/>
      <c r="N520" s="148" t="n"/>
      <c r="O520" s="87" t="n"/>
      <c r="P520" s="81" t="n"/>
      <c r="Q520" s="81" t="n"/>
      <c r="R520" s="81" t="n"/>
      <c r="S520" s="81" t="n"/>
      <c r="T520" s="136">
        <f>IF(AND(E520&gt;0,U520=0),1,"")</f>
        <v/>
      </c>
      <c r="U520" s="136">
        <f>SUM(X520:AR520)</f>
        <v/>
      </c>
      <c r="V520" s="136">
        <f>IF(E520=$Q$16,0,SUM(X520:AI520))</f>
        <v/>
      </c>
      <c r="W520" s="136">
        <f>SUM(AK520:AR520)</f>
        <v/>
      </c>
      <c r="X520" s="136">
        <f>IF(E520=$X$6,1,"")</f>
        <v/>
      </c>
      <c r="Y520" s="136">
        <f>IF(E520=$Y$6,1,"")</f>
        <v/>
      </c>
      <c r="Z520" s="136">
        <f>IF(E520=$Z$6,1,"")</f>
        <v/>
      </c>
      <c r="AA520" s="136">
        <f>IF(E520=$AA$6,1,"")</f>
        <v/>
      </c>
      <c r="AB520" s="136">
        <f>IF(E520=$AB$6,1,"")</f>
        <v/>
      </c>
      <c r="AC520" s="136">
        <f>IF(E520=$AC$6,1,"")</f>
        <v/>
      </c>
      <c r="AD520" s="136">
        <f>IF(E520=$AD$6,1,"")</f>
        <v/>
      </c>
      <c r="AE520" s="136">
        <f>IF(E520=$AE$6,1,"")</f>
        <v/>
      </c>
      <c r="AF520" s="136">
        <f>IF(E520=$AF$6,1,"")</f>
        <v/>
      </c>
      <c r="AG520" s="136">
        <f>IF(E520=$AG$6,1,"")</f>
        <v/>
      </c>
      <c r="AH520" s="136">
        <f>IF(E520=$AH$6,1,"")</f>
        <v/>
      </c>
      <c r="AI520" s="136">
        <f>IF(E520=$AI$6,1,"")</f>
        <v/>
      </c>
      <c r="AJ520" s="136">
        <f>IF(E520=$AJ$6,1,"")</f>
        <v/>
      </c>
      <c r="AK520" s="81">
        <f>IF(E520=$AK$6,1,"")</f>
        <v/>
      </c>
      <c r="AL520" s="81">
        <f>IF(E520=$AL$6,1,"")</f>
        <v/>
      </c>
      <c r="AM520" s="81">
        <f>IF(E520=$AM$6,1,"")</f>
        <v/>
      </c>
      <c r="AN520" s="81">
        <f>IF(E520=$AN$6,1,"")</f>
        <v/>
      </c>
      <c r="AO520" s="81">
        <f>IF(E520=$AO$6,1,"")</f>
        <v/>
      </c>
      <c r="AP520" s="81">
        <f>IF(E520=$AP$6,1,"")</f>
        <v/>
      </c>
      <c r="AQ520" s="81">
        <f>IF(E520=$AQ$6,1,"")</f>
        <v/>
      </c>
      <c r="AR520" s="81">
        <f>IF(E520=$AR$6,1,"")</f>
        <v/>
      </c>
      <c r="AS520" s="81" t="n"/>
    </row>
    <row r="521" ht="15.75" customHeight="1" s="80">
      <c r="A521" s="157" t="n"/>
      <c r="B521" s="124" t="n"/>
      <c r="C521" s="125" t="n"/>
      <c r="D521" s="126" t="n"/>
      <c r="E521" s="127" t="n"/>
      <c r="F521" s="128" t="n"/>
      <c r="G521" s="129">
        <f>IF(F521="","",ROUND(F521/60,2))</f>
        <v/>
      </c>
      <c r="H521" s="130" t="n"/>
      <c r="I521" s="131" t="n"/>
      <c r="J521" s="131">
        <f>IF(COUNTIF(B521:E521,"*")=0,"",IF(T521=1,"Invalid Service",IF(AND(V521=1,F521=""),"Add Session Mins",IF(AND(E521&gt;0,H521="",T521=""),"Enter Contract Rate",IF(AND(E521="IEP mtg, prep, rept",F521&gt;0),(G521*H521),IF(AND(E521&gt;0,F521&gt;0,H521&gt;0,I521=""),"Enter Travel",IF(AND(F521&gt;0,I521="Y"),(G521*H521)+$M$10,IF(AND(F521&gt;0,I521="N"),(G521*H521),H521))))))))</f>
        <v/>
      </c>
      <c r="K521" s="132">
        <f>J521</f>
        <v/>
      </c>
      <c r="L521" s="148" t="n"/>
      <c r="M521" s="148" t="n"/>
      <c r="N521" s="148" t="n"/>
      <c r="O521" s="87" t="n"/>
      <c r="P521" s="81" t="n"/>
      <c r="Q521" s="81" t="n"/>
      <c r="R521" s="81" t="n"/>
      <c r="S521" s="81" t="n"/>
      <c r="T521" s="136">
        <f>IF(AND(E521&gt;0,U521=0),1,"")</f>
        <v/>
      </c>
      <c r="U521" s="136">
        <f>SUM(X521:AR521)</f>
        <v/>
      </c>
      <c r="V521" s="136">
        <f>IF(E521=$Q$16,0,SUM(X521:AI521))</f>
        <v/>
      </c>
      <c r="W521" s="136">
        <f>SUM(AK521:AR521)</f>
        <v/>
      </c>
      <c r="X521" s="136">
        <f>IF(E521=$X$6,1,"")</f>
        <v/>
      </c>
      <c r="Y521" s="136">
        <f>IF(E521=$Y$6,1,"")</f>
        <v/>
      </c>
      <c r="Z521" s="136">
        <f>IF(E521=$Z$6,1,"")</f>
        <v/>
      </c>
      <c r="AA521" s="136">
        <f>IF(E521=$AA$6,1,"")</f>
        <v/>
      </c>
      <c r="AB521" s="136">
        <f>IF(E521=$AB$6,1,"")</f>
        <v/>
      </c>
      <c r="AC521" s="136">
        <f>IF(E521=$AC$6,1,"")</f>
        <v/>
      </c>
      <c r="AD521" s="136">
        <f>IF(E521=$AD$6,1,"")</f>
        <v/>
      </c>
      <c r="AE521" s="136">
        <f>IF(E521=$AE$6,1,"")</f>
        <v/>
      </c>
      <c r="AF521" s="136">
        <f>IF(E521=$AF$6,1,"")</f>
        <v/>
      </c>
      <c r="AG521" s="136">
        <f>IF(E521=$AG$6,1,"")</f>
        <v/>
      </c>
      <c r="AH521" s="136">
        <f>IF(E521=$AH$6,1,"")</f>
        <v/>
      </c>
      <c r="AI521" s="136">
        <f>IF(E521=$AI$6,1,"")</f>
        <v/>
      </c>
      <c r="AJ521" s="136">
        <f>IF(E521=$AJ$6,1,"")</f>
        <v/>
      </c>
      <c r="AK521" s="81">
        <f>IF(E521=$AK$6,1,"")</f>
        <v/>
      </c>
      <c r="AL521" s="81">
        <f>IF(E521=$AL$6,1,"")</f>
        <v/>
      </c>
      <c r="AM521" s="81">
        <f>IF(E521=$AM$6,1,"")</f>
        <v/>
      </c>
      <c r="AN521" s="81">
        <f>IF(E521=$AN$6,1,"")</f>
        <v/>
      </c>
      <c r="AO521" s="81">
        <f>IF(E521=$AO$6,1,"")</f>
        <v/>
      </c>
      <c r="AP521" s="81">
        <f>IF(E521=$AP$6,1,"")</f>
        <v/>
      </c>
      <c r="AQ521" s="81">
        <f>IF(E521=$AQ$6,1,"")</f>
        <v/>
      </c>
      <c r="AR521" s="81">
        <f>IF(E521=$AR$6,1,"")</f>
        <v/>
      </c>
      <c r="AS521" s="81" t="n"/>
    </row>
    <row r="522" ht="15.75" customHeight="1" s="80">
      <c r="A522" s="157" t="n"/>
      <c r="B522" s="124" t="n"/>
      <c r="C522" s="125" t="n"/>
      <c r="D522" s="126" t="n"/>
      <c r="E522" s="127" t="n"/>
      <c r="F522" s="128" t="n"/>
      <c r="G522" s="129">
        <f>IF(F522="","",ROUND(F522/60,2))</f>
        <v/>
      </c>
      <c r="H522" s="130" t="n"/>
      <c r="I522" s="131" t="n"/>
      <c r="J522" s="131">
        <f>IF(COUNTIF(B522:E522,"*")=0,"",IF(T522=1,"Invalid Service",IF(AND(V522=1,F522=""),"Add Session Mins",IF(AND(E522&gt;0,H522="",T522=""),"Enter Contract Rate",IF(AND(E522="IEP mtg, prep, rept",F522&gt;0),(G522*H522),IF(AND(E522&gt;0,F522&gt;0,H522&gt;0,I522=""),"Enter Travel",IF(AND(F522&gt;0,I522="Y"),(G522*H522)+$M$10,IF(AND(F522&gt;0,I522="N"),(G522*H522),H522))))))))</f>
        <v/>
      </c>
      <c r="K522" s="132">
        <f>J522</f>
        <v/>
      </c>
      <c r="L522" s="148" t="n"/>
      <c r="M522" s="148" t="n"/>
      <c r="N522" s="148" t="n"/>
      <c r="O522" s="87" t="n"/>
      <c r="P522" s="81" t="n"/>
      <c r="Q522" s="81" t="n"/>
      <c r="R522" s="81" t="n"/>
      <c r="S522" s="81" t="n"/>
      <c r="T522" s="136">
        <f>IF(AND(E522&gt;0,U522=0),1,"")</f>
        <v/>
      </c>
      <c r="U522" s="136">
        <f>SUM(X522:AR522)</f>
        <v/>
      </c>
      <c r="V522" s="136">
        <f>IF(E522=$Q$16,0,SUM(X522:AI522))</f>
        <v/>
      </c>
      <c r="W522" s="136">
        <f>SUM(AK522:AR522)</f>
        <v/>
      </c>
      <c r="X522" s="136">
        <f>IF(E522=$X$6,1,"")</f>
        <v/>
      </c>
      <c r="Y522" s="136">
        <f>IF(E522=$Y$6,1,"")</f>
        <v/>
      </c>
      <c r="Z522" s="136">
        <f>IF(E522=$Z$6,1,"")</f>
        <v/>
      </c>
      <c r="AA522" s="136">
        <f>IF(E522=$AA$6,1,"")</f>
        <v/>
      </c>
      <c r="AB522" s="136">
        <f>IF(E522=$AB$6,1,"")</f>
        <v/>
      </c>
      <c r="AC522" s="136">
        <f>IF(E522=$AC$6,1,"")</f>
        <v/>
      </c>
      <c r="AD522" s="136">
        <f>IF(E522=$AD$6,1,"")</f>
        <v/>
      </c>
      <c r="AE522" s="136">
        <f>IF(E522=$AE$6,1,"")</f>
        <v/>
      </c>
      <c r="AF522" s="136">
        <f>IF(E522=$AF$6,1,"")</f>
        <v/>
      </c>
      <c r="AG522" s="136">
        <f>IF(E522=$AG$6,1,"")</f>
        <v/>
      </c>
      <c r="AH522" s="136">
        <f>IF(E522=$AH$6,1,"")</f>
        <v/>
      </c>
      <c r="AI522" s="136">
        <f>IF(E522=$AI$6,1,"")</f>
        <v/>
      </c>
      <c r="AJ522" s="136">
        <f>IF(E522=$AJ$6,1,"")</f>
        <v/>
      </c>
      <c r="AK522" s="81">
        <f>IF(E522=$AK$6,1,"")</f>
        <v/>
      </c>
      <c r="AL522" s="81">
        <f>IF(E522=$AL$6,1,"")</f>
        <v/>
      </c>
      <c r="AM522" s="81">
        <f>IF(E522=$AM$6,1,"")</f>
        <v/>
      </c>
      <c r="AN522" s="81">
        <f>IF(E522=$AN$6,1,"")</f>
        <v/>
      </c>
      <c r="AO522" s="81">
        <f>IF(E522=$AO$6,1,"")</f>
        <v/>
      </c>
      <c r="AP522" s="81">
        <f>IF(E522=$AP$6,1,"")</f>
        <v/>
      </c>
      <c r="AQ522" s="81">
        <f>IF(E522=$AQ$6,1,"")</f>
        <v/>
      </c>
      <c r="AR522" s="81">
        <f>IF(E522=$AR$6,1,"")</f>
        <v/>
      </c>
      <c r="AS522" s="81" t="n"/>
    </row>
    <row r="523" ht="15.75" customHeight="1" s="80">
      <c r="A523" s="157" t="n"/>
      <c r="B523" s="124" t="n"/>
      <c r="C523" s="125" t="n"/>
      <c r="D523" s="126" t="n"/>
      <c r="E523" s="127" t="n"/>
      <c r="F523" s="128" t="n"/>
      <c r="G523" s="129">
        <f>IF(F523="","",ROUND(F523/60,2))</f>
        <v/>
      </c>
      <c r="H523" s="130" t="n"/>
      <c r="I523" s="131" t="n"/>
      <c r="J523" s="131">
        <f>IF(COUNTIF(B523:E523,"*")=0,"",IF(T523=1,"Invalid Service",IF(AND(V523=1,F523=""),"Add Session Mins",IF(AND(E523&gt;0,H523="",T523=""),"Enter Contract Rate",IF(AND(E523="IEP mtg, prep, rept",F523&gt;0),(G523*H523),IF(AND(E523&gt;0,F523&gt;0,H523&gt;0,I523=""),"Enter Travel",IF(AND(F523&gt;0,I523="Y"),(G523*H523)+$M$10,IF(AND(F523&gt;0,I523="N"),(G523*H523),H523))))))))</f>
        <v/>
      </c>
      <c r="K523" s="132">
        <f>J523</f>
        <v/>
      </c>
      <c r="L523" s="148" t="n"/>
      <c r="M523" s="148" t="n"/>
      <c r="N523" s="148" t="n"/>
      <c r="O523" s="87" t="n"/>
      <c r="P523" s="81" t="n"/>
      <c r="Q523" s="81" t="n"/>
      <c r="R523" s="81" t="n"/>
      <c r="S523" s="81" t="n"/>
      <c r="T523" s="136">
        <f>IF(AND(E523&gt;0,U523=0),1,"")</f>
        <v/>
      </c>
      <c r="U523" s="136">
        <f>SUM(X523:AR523)</f>
        <v/>
      </c>
      <c r="V523" s="136">
        <f>IF(E523=$Q$16,0,SUM(X523:AI523))</f>
        <v/>
      </c>
      <c r="W523" s="136">
        <f>SUM(AK523:AR523)</f>
        <v/>
      </c>
      <c r="X523" s="136">
        <f>IF(E523=$X$6,1,"")</f>
        <v/>
      </c>
      <c r="Y523" s="136">
        <f>IF(E523=$Y$6,1,"")</f>
        <v/>
      </c>
      <c r="Z523" s="136">
        <f>IF(E523=$Z$6,1,"")</f>
        <v/>
      </c>
      <c r="AA523" s="136">
        <f>IF(E523=$AA$6,1,"")</f>
        <v/>
      </c>
      <c r="AB523" s="136">
        <f>IF(E523=$AB$6,1,"")</f>
        <v/>
      </c>
      <c r="AC523" s="136">
        <f>IF(E523=$AC$6,1,"")</f>
        <v/>
      </c>
      <c r="AD523" s="136">
        <f>IF(E523=$AD$6,1,"")</f>
        <v/>
      </c>
      <c r="AE523" s="136">
        <f>IF(E523=$AE$6,1,"")</f>
        <v/>
      </c>
      <c r="AF523" s="136">
        <f>IF(E523=$AF$6,1,"")</f>
        <v/>
      </c>
      <c r="AG523" s="136">
        <f>IF(E523=$AG$6,1,"")</f>
        <v/>
      </c>
      <c r="AH523" s="136">
        <f>IF(E523=$AH$6,1,"")</f>
        <v/>
      </c>
      <c r="AI523" s="136">
        <f>IF(E523=$AI$6,1,"")</f>
        <v/>
      </c>
      <c r="AJ523" s="136">
        <f>IF(E523=$AJ$6,1,"")</f>
        <v/>
      </c>
      <c r="AK523" s="81">
        <f>IF(E523=$AK$6,1,"")</f>
        <v/>
      </c>
      <c r="AL523" s="81">
        <f>IF(E523=$AL$6,1,"")</f>
        <v/>
      </c>
      <c r="AM523" s="81">
        <f>IF(E523=$AM$6,1,"")</f>
        <v/>
      </c>
      <c r="AN523" s="81">
        <f>IF(E523=$AN$6,1,"")</f>
        <v/>
      </c>
      <c r="AO523" s="81">
        <f>IF(E523=$AO$6,1,"")</f>
        <v/>
      </c>
      <c r="AP523" s="81">
        <f>IF(E523=$AP$6,1,"")</f>
        <v/>
      </c>
      <c r="AQ523" s="81">
        <f>IF(E523=$AQ$6,1,"")</f>
        <v/>
      </c>
      <c r="AR523" s="81">
        <f>IF(E523=$AR$6,1,"")</f>
        <v/>
      </c>
      <c r="AS523" s="81" t="n"/>
    </row>
    <row r="524" ht="15.75" customHeight="1" s="80">
      <c r="A524" s="157" t="n"/>
      <c r="B524" s="124" t="n"/>
      <c r="C524" s="125" t="n"/>
      <c r="D524" s="126" t="n"/>
      <c r="E524" s="127" t="n"/>
      <c r="F524" s="128" t="n"/>
      <c r="G524" s="129">
        <f>IF(F524="","",ROUND(F524/60,2))</f>
        <v/>
      </c>
      <c r="H524" s="130" t="n"/>
      <c r="I524" s="131" t="n"/>
      <c r="J524" s="131">
        <f>IF(COUNTIF(B524:E524,"*")=0,"",IF(T524=1,"Invalid Service",IF(AND(V524=1,F524=""),"Add Session Mins",IF(AND(E524&gt;0,H524="",T524=""),"Enter Contract Rate",IF(AND(E524="IEP mtg, prep, rept",F524&gt;0),(G524*H524),IF(AND(E524&gt;0,F524&gt;0,H524&gt;0,I524=""),"Enter Travel",IF(AND(F524&gt;0,I524="Y"),(G524*H524)+$M$10,IF(AND(F524&gt;0,I524="N"),(G524*H524),H524))))))))</f>
        <v/>
      </c>
      <c r="K524" s="132">
        <f>J524</f>
        <v/>
      </c>
      <c r="L524" s="148" t="n"/>
      <c r="M524" s="148" t="n"/>
      <c r="N524" s="148" t="n"/>
      <c r="O524" s="87" t="n"/>
      <c r="P524" s="81" t="n"/>
      <c r="Q524" s="81" t="n"/>
      <c r="R524" s="81" t="n"/>
      <c r="S524" s="81" t="n"/>
      <c r="T524" s="136">
        <f>IF(AND(E524&gt;0,U524=0),1,"")</f>
        <v/>
      </c>
      <c r="U524" s="136">
        <f>SUM(X524:AR524)</f>
        <v/>
      </c>
      <c r="V524" s="136">
        <f>IF(E524=$Q$16,0,SUM(X524:AI524))</f>
        <v/>
      </c>
      <c r="W524" s="136">
        <f>SUM(AK524:AR524)</f>
        <v/>
      </c>
      <c r="X524" s="136">
        <f>IF(E524=$X$6,1,"")</f>
        <v/>
      </c>
      <c r="Y524" s="136">
        <f>IF(E524=$Y$6,1,"")</f>
        <v/>
      </c>
      <c r="Z524" s="136">
        <f>IF(E524=$Z$6,1,"")</f>
        <v/>
      </c>
      <c r="AA524" s="136">
        <f>IF(E524=$AA$6,1,"")</f>
        <v/>
      </c>
      <c r="AB524" s="136">
        <f>IF(E524=$AB$6,1,"")</f>
        <v/>
      </c>
      <c r="AC524" s="136">
        <f>IF(E524=$AC$6,1,"")</f>
        <v/>
      </c>
      <c r="AD524" s="136">
        <f>IF(E524=$AD$6,1,"")</f>
        <v/>
      </c>
      <c r="AE524" s="136">
        <f>IF(E524=$AE$6,1,"")</f>
        <v/>
      </c>
      <c r="AF524" s="136">
        <f>IF(E524=$AF$6,1,"")</f>
        <v/>
      </c>
      <c r="AG524" s="136">
        <f>IF(E524=$AG$6,1,"")</f>
        <v/>
      </c>
      <c r="AH524" s="136">
        <f>IF(E524=$AH$6,1,"")</f>
        <v/>
      </c>
      <c r="AI524" s="136">
        <f>IF(E524=$AI$6,1,"")</f>
        <v/>
      </c>
      <c r="AJ524" s="136">
        <f>IF(E524=$AJ$6,1,"")</f>
        <v/>
      </c>
      <c r="AK524" s="81">
        <f>IF(E524=$AK$6,1,"")</f>
        <v/>
      </c>
      <c r="AL524" s="81">
        <f>IF(E524=$AL$6,1,"")</f>
        <v/>
      </c>
      <c r="AM524" s="81">
        <f>IF(E524=$AM$6,1,"")</f>
        <v/>
      </c>
      <c r="AN524" s="81">
        <f>IF(E524=$AN$6,1,"")</f>
        <v/>
      </c>
      <c r="AO524" s="81">
        <f>IF(E524=$AO$6,1,"")</f>
        <v/>
      </c>
      <c r="AP524" s="81">
        <f>IF(E524=$AP$6,1,"")</f>
        <v/>
      </c>
      <c r="AQ524" s="81">
        <f>IF(E524=$AQ$6,1,"")</f>
        <v/>
      </c>
      <c r="AR524" s="81">
        <f>IF(E524=$AR$6,1,"")</f>
        <v/>
      </c>
      <c r="AS524" s="81" t="n"/>
    </row>
    <row r="525" ht="15.75" customHeight="1" s="80">
      <c r="A525" s="157" t="n"/>
      <c r="B525" s="124" t="n"/>
      <c r="C525" s="125" t="n"/>
      <c r="D525" s="126" t="n"/>
      <c r="E525" s="127" t="n"/>
      <c r="F525" s="128" t="n"/>
      <c r="G525" s="129">
        <f>IF(F525="","",ROUND(F525/60,2))</f>
        <v/>
      </c>
      <c r="H525" s="130" t="n"/>
      <c r="I525" s="131" t="n"/>
      <c r="J525" s="131">
        <f>IF(COUNTIF(B525:E525,"*")=0,"",IF(T525=1,"Invalid Service",IF(AND(V525=1,F525=""),"Add Session Mins",IF(AND(E525&gt;0,H525="",T525=""),"Enter Contract Rate",IF(AND(E525="IEP mtg, prep, rept",F525&gt;0),(G525*H525),IF(AND(E525&gt;0,F525&gt;0,H525&gt;0,I525=""),"Enter Travel",IF(AND(F525&gt;0,I525="Y"),(G525*H525)+$M$10,IF(AND(F525&gt;0,I525="N"),(G525*H525),H525))))))))</f>
        <v/>
      </c>
      <c r="K525" s="132">
        <f>J525</f>
        <v/>
      </c>
      <c r="L525" s="148" t="n"/>
      <c r="M525" s="148" t="n"/>
      <c r="N525" s="148" t="n"/>
      <c r="O525" s="87" t="n"/>
      <c r="P525" s="81" t="n"/>
      <c r="Q525" s="81" t="n"/>
      <c r="R525" s="81" t="n"/>
      <c r="S525" s="81" t="n"/>
      <c r="T525" s="136">
        <f>IF(AND(E525&gt;0,U525=0),1,"")</f>
        <v/>
      </c>
      <c r="U525" s="136">
        <f>SUM(X525:AR525)</f>
        <v/>
      </c>
      <c r="V525" s="136">
        <f>IF(E525=$Q$16,0,SUM(X525:AI525))</f>
        <v/>
      </c>
      <c r="W525" s="136">
        <f>SUM(AK525:AR525)</f>
        <v/>
      </c>
      <c r="X525" s="136">
        <f>IF(E525=$X$6,1,"")</f>
        <v/>
      </c>
      <c r="Y525" s="136">
        <f>IF(E525=$Y$6,1,"")</f>
        <v/>
      </c>
      <c r="Z525" s="136">
        <f>IF(E525=$Z$6,1,"")</f>
        <v/>
      </c>
      <c r="AA525" s="136">
        <f>IF(E525=$AA$6,1,"")</f>
        <v/>
      </c>
      <c r="AB525" s="136">
        <f>IF(E525=$AB$6,1,"")</f>
        <v/>
      </c>
      <c r="AC525" s="136">
        <f>IF(E525=$AC$6,1,"")</f>
        <v/>
      </c>
      <c r="AD525" s="136">
        <f>IF(E525=$AD$6,1,"")</f>
        <v/>
      </c>
      <c r="AE525" s="136">
        <f>IF(E525=$AE$6,1,"")</f>
        <v/>
      </c>
      <c r="AF525" s="136">
        <f>IF(E525=$AF$6,1,"")</f>
        <v/>
      </c>
      <c r="AG525" s="136">
        <f>IF(E525=$AG$6,1,"")</f>
        <v/>
      </c>
      <c r="AH525" s="136">
        <f>IF(E525=$AH$6,1,"")</f>
        <v/>
      </c>
      <c r="AI525" s="136">
        <f>IF(E525=$AI$6,1,"")</f>
        <v/>
      </c>
      <c r="AJ525" s="136">
        <f>IF(E525=$AJ$6,1,"")</f>
        <v/>
      </c>
      <c r="AK525" s="81">
        <f>IF(E525=$AK$6,1,"")</f>
        <v/>
      </c>
      <c r="AL525" s="81">
        <f>IF(E525=$AL$6,1,"")</f>
        <v/>
      </c>
      <c r="AM525" s="81">
        <f>IF(E525=$AM$6,1,"")</f>
        <v/>
      </c>
      <c r="AN525" s="81">
        <f>IF(E525=$AN$6,1,"")</f>
        <v/>
      </c>
      <c r="AO525" s="81">
        <f>IF(E525=$AO$6,1,"")</f>
        <v/>
      </c>
      <c r="AP525" s="81">
        <f>IF(E525=$AP$6,1,"")</f>
        <v/>
      </c>
      <c r="AQ525" s="81">
        <f>IF(E525=$AQ$6,1,"")</f>
        <v/>
      </c>
      <c r="AR525" s="81">
        <f>IF(E525=$AR$6,1,"")</f>
        <v/>
      </c>
      <c r="AS525" s="81" t="n"/>
    </row>
    <row r="526" ht="15.75" customHeight="1" s="80">
      <c r="A526" s="157" t="n"/>
      <c r="B526" s="124" t="n"/>
      <c r="C526" s="125" t="n"/>
      <c r="D526" s="126" t="n"/>
      <c r="E526" s="127" t="n"/>
      <c r="F526" s="128" t="n"/>
      <c r="G526" s="129">
        <f>IF(F526="","",ROUND(F526/60,2))</f>
        <v/>
      </c>
      <c r="H526" s="130" t="n"/>
      <c r="I526" s="131" t="n"/>
      <c r="J526" s="131">
        <f>IF(COUNTIF(B526:E526,"*")=0,"",IF(T526=1,"Invalid Service",IF(AND(V526=1,F526=""),"Add Session Mins",IF(AND(E526&gt;0,H526="",T526=""),"Enter Contract Rate",IF(AND(E526="IEP mtg, prep, rept",F526&gt;0),(G526*H526),IF(AND(E526&gt;0,F526&gt;0,H526&gt;0,I526=""),"Enter Travel",IF(AND(F526&gt;0,I526="Y"),(G526*H526)+$M$10,IF(AND(F526&gt;0,I526="N"),(G526*H526),H526))))))))</f>
        <v/>
      </c>
      <c r="K526" s="132">
        <f>J526</f>
        <v/>
      </c>
      <c r="L526" s="148" t="n"/>
      <c r="M526" s="148" t="n"/>
      <c r="N526" s="148" t="n"/>
      <c r="O526" s="87" t="n"/>
      <c r="P526" s="81" t="n"/>
      <c r="Q526" s="81" t="n"/>
      <c r="R526" s="81" t="n"/>
      <c r="S526" s="81" t="n"/>
      <c r="T526" s="136">
        <f>IF(AND(E526&gt;0,U526=0),1,"")</f>
        <v/>
      </c>
      <c r="U526" s="136">
        <f>SUM(X526:AR526)</f>
        <v/>
      </c>
      <c r="V526" s="136">
        <f>IF(E526=$Q$16,0,SUM(X526:AI526))</f>
        <v/>
      </c>
      <c r="W526" s="136">
        <f>SUM(AK526:AR526)</f>
        <v/>
      </c>
      <c r="X526" s="136">
        <f>IF(E526=$X$6,1,"")</f>
        <v/>
      </c>
      <c r="Y526" s="136">
        <f>IF(E526=$Y$6,1,"")</f>
        <v/>
      </c>
      <c r="Z526" s="136">
        <f>IF(E526=$Z$6,1,"")</f>
        <v/>
      </c>
      <c r="AA526" s="136">
        <f>IF(E526=$AA$6,1,"")</f>
        <v/>
      </c>
      <c r="AB526" s="136">
        <f>IF(E526=$AB$6,1,"")</f>
        <v/>
      </c>
      <c r="AC526" s="136">
        <f>IF(E526=$AC$6,1,"")</f>
        <v/>
      </c>
      <c r="AD526" s="136">
        <f>IF(E526=$AD$6,1,"")</f>
        <v/>
      </c>
      <c r="AE526" s="136">
        <f>IF(E526=$AE$6,1,"")</f>
        <v/>
      </c>
      <c r="AF526" s="136">
        <f>IF(E526=$AF$6,1,"")</f>
        <v/>
      </c>
      <c r="AG526" s="136">
        <f>IF(E526=$AG$6,1,"")</f>
        <v/>
      </c>
      <c r="AH526" s="136">
        <f>IF(E526=$AH$6,1,"")</f>
        <v/>
      </c>
      <c r="AI526" s="136">
        <f>IF(E526=$AI$6,1,"")</f>
        <v/>
      </c>
      <c r="AJ526" s="136">
        <f>IF(E526=$AJ$6,1,"")</f>
        <v/>
      </c>
      <c r="AK526" s="81">
        <f>IF(E526=$AK$6,1,"")</f>
        <v/>
      </c>
      <c r="AL526" s="81">
        <f>IF(E526=$AL$6,1,"")</f>
        <v/>
      </c>
      <c r="AM526" s="81">
        <f>IF(E526=$AM$6,1,"")</f>
        <v/>
      </c>
      <c r="AN526" s="81">
        <f>IF(E526=$AN$6,1,"")</f>
        <v/>
      </c>
      <c r="AO526" s="81">
        <f>IF(E526=$AO$6,1,"")</f>
        <v/>
      </c>
      <c r="AP526" s="81">
        <f>IF(E526=$AP$6,1,"")</f>
        <v/>
      </c>
      <c r="AQ526" s="81">
        <f>IF(E526=$AQ$6,1,"")</f>
        <v/>
      </c>
      <c r="AR526" s="81">
        <f>IF(E526=$AR$6,1,"")</f>
        <v/>
      </c>
      <c r="AS526" s="81" t="n"/>
    </row>
    <row r="527" ht="15.75" customHeight="1" s="80">
      <c r="A527" s="157" t="n"/>
      <c r="B527" s="124" t="n"/>
      <c r="C527" s="125" t="n"/>
      <c r="D527" s="126" t="n"/>
      <c r="E527" s="127" t="n"/>
      <c r="F527" s="128" t="n"/>
      <c r="G527" s="129">
        <f>IF(F527="","",ROUND(F527/60,2))</f>
        <v/>
      </c>
      <c r="H527" s="130" t="n"/>
      <c r="I527" s="131" t="n"/>
      <c r="J527" s="131">
        <f>IF(COUNTIF(B527:E527,"*")=0,"",IF(T527=1,"Invalid Service",IF(AND(V527=1,F527=""),"Add Session Mins",IF(AND(E527&gt;0,H527="",T527=""),"Enter Contract Rate",IF(AND(E527="IEP mtg, prep, rept",F527&gt;0),(G527*H527),IF(AND(E527&gt;0,F527&gt;0,H527&gt;0,I527=""),"Enter Travel",IF(AND(F527&gt;0,I527="Y"),(G527*H527)+$M$10,IF(AND(F527&gt;0,I527="N"),(G527*H527),H527))))))))</f>
        <v/>
      </c>
      <c r="K527" s="132">
        <f>J527</f>
        <v/>
      </c>
      <c r="L527" s="148" t="n"/>
      <c r="M527" s="148" t="n"/>
      <c r="N527" s="148" t="n"/>
      <c r="O527" s="87" t="n"/>
      <c r="P527" s="81" t="n"/>
      <c r="Q527" s="81" t="n"/>
      <c r="R527" s="81" t="n"/>
      <c r="S527" s="81" t="n"/>
      <c r="T527" s="136">
        <f>IF(AND(E527&gt;0,U527=0),1,"")</f>
        <v/>
      </c>
      <c r="U527" s="136">
        <f>SUM(X527:AR527)</f>
        <v/>
      </c>
      <c r="V527" s="136">
        <f>IF(E527=$Q$16,0,SUM(X527:AI527))</f>
        <v/>
      </c>
      <c r="W527" s="136">
        <f>SUM(AK527:AR527)</f>
        <v/>
      </c>
      <c r="X527" s="136">
        <f>IF(E527=$X$6,1,"")</f>
        <v/>
      </c>
      <c r="Y527" s="136">
        <f>IF(E527=$Y$6,1,"")</f>
        <v/>
      </c>
      <c r="Z527" s="136">
        <f>IF(E527=$Z$6,1,"")</f>
        <v/>
      </c>
      <c r="AA527" s="136">
        <f>IF(E527=$AA$6,1,"")</f>
        <v/>
      </c>
      <c r="AB527" s="136">
        <f>IF(E527=$AB$6,1,"")</f>
        <v/>
      </c>
      <c r="AC527" s="136">
        <f>IF(E527=$AC$6,1,"")</f>
        <v/>
      </c>
      <c r="AD527" s="136">
        <f>IF(E527=$AD$6,1,"")</f>
        <v/>
      </c>
      <c r="AE527" s="136">
        <f>IF(E527=$AE$6,1,"")</f>
        <v/>
      </c>
      <c r="AF527" s="136">
        <f>IF(E527=$AF$6,1,"")</f>
        <v/>
      </c>
      <c r="AG527" s="136">
        <f>IF(E527=$AG$6,1,"")</f>
        <v/>
      </c>
      <c r="AH527" s="136">
        <f>IF(E527=$AH$6,1,"")</f>
        <v/>
      </c>
      <c r="AI527" s="136">
        <f>IF(E527=$AI$6,1,"")</f>
        <v/>
      </c>
      <c r="AJ527" s="136">
        <f>IF(E527=$AJ$6,1,"")</f>
        <v/>
      </c>
      <c r="AK527" s="81">
        <f>IF(E527=$AK$6,1,"")</f>
        <v/>
      </c>
      <c r="AL527" s="81">
        <f>IF(E527=$AL$6,1,"")</f>
        <v/>
      </c>
      <c r="AM527" s="81">
        <f>IF(E527=$AM$6,1,"")</f>
        <v/>
      </c>
      <c r="AN527" s="81">
        <f>IF(E527=$AN$6,1,"")</f>
        <v/>
      </c>
      <c r="AO527" s="81">
        <f>IF(E527=$AO$6,1,"")</f>
        <v/>
      </c>
      <c r="AP527" s="81">
        <f>IF(E527=$AP$6,1,"")</f>
        <v/>
      </c>
      <c r="AQ527" s="81">
        <f>IF(E527=$AQ$6,1,"")</f>
        <v/>
      </c>
      <c r="AR527" s="81">
        <f>IF(E527=$AR$6,1,"")</f>
        <v/>
      </c>
      <c r="AS527" s="81" t="n"/>
    </row>
    <row r="528" ht="15.75" customHeight="1" s="80">
      <c r="A528" s="157" t="n"/>
      <c r="B528" s="124" t="n"/>
      <c r="C528" s="125" t="n"/>
      <c r="D528" s="126" t="n"/>
      <c r="E528" s="127" t="n"/>
      <c r="F528" s="128" t="n"/>
      <c r="G528" s="129">
        <f>IF(F528="","",ROUND(F528/60,2))</f>
        <v/>
      </c>
      <c r="H528" s="130" t="n"/>
      <c r="I528" s="131" t="n"/>
      <c r="J528" s="131">
        <f>IF(COUNTIF(B528:E528,"*")=0,"",IF(T528=1,"Invalid Service",IF(AND(V528=1,F528=""),"Add Session Mins",IF(AND(E528&gt;0,H528="",T528=""),"Enter Contract Rate",IF(AND(E528="IEP mtg, prep, rept",F528&gt;0),(G528*H528),IF(AND(E528&gt;0,F528&gt;0,H528&gt;0,I528=""),"Enter Travel",IF(AND(F528&gt;0,I528="Y"),(G528*H528)+$M$10,IF(AND(F528&gt;0,I528="N"),(G528*H528),H528))))))))</f>
        <v/>
      </c>
      <c r="K528" s="132">
        <f>J528</f>
        <v/>
      </c>
      <c r="L528" s="148" t="n"/>
      <c r="M528" s="148" t="n"/>
      <c r="N528" s="148" t="n"/>
      <c r="O528" s="87" t="n"/>
      <c r="P528" s="81" t="n"/>
      <c r="Q528" s="81" t="n"/>
      <c r="R528" s="81" t="n"/>
      <c r="S528" s="81" t="n"/>
      <c r="T528" s="136">
        <f>IF(AND(E528&gt;0,U528=0),1,"")</f>
        <v/>
      </c>
      <c r="U528" s="136">
        <f>SUM(X528:AR528)</f>
        <v/>
      </c>
      <c r="V528" s="136">
        <f>IF(E528=$Q$16,0,SUM(X528:AI528))</f>
        <v/>
      </c>
      <c r="W528" s="136">
        <f>SUM(AK528:AR528)</f>
        <v/>
      </c>
      <c r="X528" s="136">
        <f>IF(E528=$X$6,1,"")</f>
        <v/>
      </c>
      <c r="Y528" s="136">
        <f>IF(E528=$Y$6,1,"")</f>
        <v/>
      </c>
      <c r="Z528" s="136">
        <f>IF(E528=$Z$6,1,"")</f>
        <v/>
      </c>
      <c r="AA528" s="136">
        <f>IF(E528=$AA$6,1,"")</f>
        <v/>
      </c>
      <c r="AB528" s="136">
        <f>IF(E528=$AB$6,1,"")</f>
        <v/>
      </c>
      <c r="AC528" s="136">
        <f>IF(E528=$AC$6,1,"")</f>
        <v/>
      </c>
      <c r="AD528" s="136">
        <f>IF(E528=$AD$6,1,"")</f>
        <v/>
      </c>
      <c r="AE528" s="136">
        <f>IF(E528=$AE$6,1,"")</f>
        <v/>
      </c>
      <c r="AF528" s="136">
        <f>IF(E528=$AF$6,1,"")</f>
        <v/>
      </c>
      <c r="AG528" s="136">
        <f>IF(E528=$AG$6,1,"")</f>
        <v/>
      </c>
      <c r="AH528" s="136">
        <f>IF(E528=$AH$6,1,"")</f>
        <v/>
      </c>
      <c r="AI528" s="136">
        <f>IF(E528=$AI$6,1,"")</f>
        <v/>
      </c>
      <c r="AJ528" s="136">
        <f>IF(E528=$AJ$6,1,"")</f>
        <v/>
      </c>
      <c r="AK528" s="81">
        <f>IF(E528=$AK$6,1,"")</f>
        <v/>
      </c>
      <c r="AL528" s="81">
        <f>IF(E528=$AL$6,1,"")</f>
        <v/>
      </c>
      <c r="AM528" s="81">
        <f>IF(E528=$AM$6,1,"")</f>
        <v/>
      </c>
      <c r="AN528" s="81">
        <f>IF(E528=$AN$6,1,"")</f>
        <v/>
      </c>
      <c r="AO528" s="81">
        <f>IF(E528=$AO$6,1,"")</f>
        <v/>
      </c>
      <c r="AP528" s="81">
        <f>IF(E528=$AP$6,1,"")</f>
        <v/>
      </c>
      <c r="AQ528" s="81">
        <f>IF(E528=$AQ$6,1,"")</f>
        <v/>
      </c>
      <c r="AR528" s="81">
        <f>IF(E528=$AR$6,1,"")</f>
        <v/>
      </c>
      <c r="AS528" s="81" t="n"/>
    </row>
    <row r="529" ht="15.75" customHeight="1" s="80">
      <c r="A529" s="157" t="n"/>
      <c r="B529" s="124" t="n"/>
      <c r="C529" s="125" t="n"/>
      <c r="D529" s="126" t="n"/>
      <c r="E529" s="127" t="n"/>
      <c r="F529" s="128" t="n"/>
      <c r="G529" s="129">
        <f>IF(F529="","",ROUND(F529/60,2))</f>
        <v/>
      </c>
      <c r="H529" s="130" t="n"/>
      <c r="I529" s="131" t="n"/>
      <c r="J529" s="131">
        <f>IF(COUNTIF(B529:E529,"*")=0,"",IF(T529=1,"Invalid Service",IF(AND(V529=1,F529=""),"Add Session Mins",IF(AND(E529&gt;0,H529="",T529=""),"Enter Contract Rate",IF(AND(E529="IEP mtg, prep, rept",F529&gt;0),(G529*H529),IF(AND(E529&gt;0,F529&gt;0,H529&gt;0,I529=""),"Enter Travel",IF(AND(F529&gt;0,I529="Y"),(G529*H529)+$M$10,IF(AND(F529&gt;0,I529="N"),(G529*H529),H529))))))))</f>
        <v/>
      </c>
      <c r="K529" s="132">
        <f>J529</f>
        <v/>
      </c>
      <c r="L529" s="148" t="n"/>
      <c r="M529" s="148" t="n"/>
      <c r="N529" s="148" t="n"/>
      <c r="O529" s="87" t="n"/>
      <c r="P529" s="81" t="n"/>
      <c r="Q529" s="81" t="n"/>
      <c r="R529" s="81" t="n"/>
      <c r="S529" s="81" t="n"/>
      <c r="T529" s="136">
        <f>IF(AND(E529&gt;0,U529=0),1,"")</f>
        <v/>
      </c>
      <c r="U529" s="136">
        <f>SUM(X529:AR529)</f>
        <v/>
      </c>
      <c r="V529" s="136">
        <f>IF(E529=$Q$16,0,SUM(X529:AI529))</f>
        <v/>
      </c>
      <c r="W529" s="136">
        <f>SUM(AK529:AR529)</f>
        <v/>
      </c>
      <c r="X529" s="136">
        <f>IF(E529=$X$6,1,"")</f>
        <v/>
      </c>
      <c r="Y529" s="136">
        <f>IF(E529=$Y$6,1,"")</f>
        <v/>
      </c>
      <c r="Z529" s="136">
        <f>IF(E529=$Z$6,1,"")</f>
        <v/>
      </c>
      <c r="AA529" s="136">
        <f>IF(E529=$AA$6,1,"")</f>
        <v/>
      </c>
      <c r="AB529" s="136">
        <f>IF(E529=$AB$6,1,"")</f>
        <v/>
      </c>
      <c r="AC529" s="136">
        <f>IF(E529=$AC$6,1,"")</f>
        <v/>
      </c>
      <c r="AD529" s="136">
        <f>IF(E529=$AD$6,1,"")</f>
        <v/>
      </c>
      <c r="AE529" s="136">
        <f>IF(E529=$AE$6,1,"")</f>
        <v/>
      </c>
      <c r="AF529" s="136">
        <f>IF(E529=$AF$6,1,"")</f>
        <v/>
      </c>
      <c r="AG529" s="136">
        <f>IF(E529=$AG$6,1,"")</f>
        <v/>
      </c>
      <c r="AH529" s="136">
        <f>IF(E529=$AH$6,1,"")</f>
        <v/>
      </c>
      <c r="AI529" s="136">
        <f>IF(E529=$AI$6,1,"")</f>
        <v/>
      </c>
      <c r="AJ529" s="136">
        <f>IF(E529=$AJ$6,1,"")</f>
        <v/>
      </c>
      <c r="AK529" s="81">
        <f>IF(E529=$AK$6,1,"")</f>
        <v/>
      </c>
      <c r="AL529" s="81">
        <f>IF(E529=$AL$6,1,"")</f>
        <v/>
      </c>
      <c r="AM529" s="81">
        <f>IF(E529=$AM$6,1,"")</f>
        <v/>
      </c>
      <c r="AN529" s="81">
        <f>IF(E529=$AN$6,1,"")</f>
        <v/>
      </c>
      <c r="AO529" s="81">
        <f>IF(E529=$AO$6,1,"")</f>
        <v/>
      </c>
      <c r="AP529" s="81">
        <f>IF(E529=$AP$6,1,"")</f>
        <v/>
      </c>
      <c r="AQ529" s="81">
        <f>IF(E529=$AQ$6,1,"")</f>
        <v/>
      </c>
      <c r="AR529" s="81">
        <f>IF(E529=$AR$6,1,"")</f>
        <v/>
      </c>
      <c r="AS529" s="81" t="n"/>
    </row>
    <row r="530" ht="15.75" customHeight="1" s="80">
      <c r="A530" s="157" t="n"/>
      <c r="B530" s="124" t="n"/>
      <c r="C530" s="125" t="n"/>
      <c r="D530" s="126" t="n"/>
      <c r="E530" s="127" t="n"/>
      <c r="F530" s="128" t="n"/>
      <c r="G530" s="129">
        <f>IF(F530="","",ROUND(F530/60,2))</f>
        <v/>
      </c>
      <c r="H530" s="130" t="n"/>
      <c r="I530" s="131" t="n"/>
      <c r="J530" s="131">
        <f>IF(COUNTIF(B530:E530,"*")=0,"",IF(T530=1,"Invalid Service",IF(AND(V530=1,F530=""),"Add Session Mins",IF(AND(E530&gt;0,H530="",T530=""),"Enter Contract Rate",IF(AND(E530="IEP mtg, prep, rept",F530&gt;0),(G530*H530),IF(AND(E530&gt;0,F530&gt;0,H530&gt;0,I530=""),"Enter Travel",IF(AND(F530&gt;0,I530="Y"),(G530*H530)+$M$10,IF(AND(F530&gt;0,I530="N"),(G530*H530),H530))))))))</f>
        <v/>
      </c>
      <c r="K530" s="132">
        <f>J530</f>
        <v/>
      </c>
      <c r="L530" s="148" t="n"/>
      <c r="M530" s="148" t="n"/>
      <c r="N530" s="148" t="n"/>
      <c r="O530" s="87" t="n"/>
      <c r="P530" s="81" t="n"/>
      <c r="Q530" s="81" t="n"/>
      <c r="R530" s="81" t="n"/>
      <c r="S530" s="81" t="n"/>
      <c r="T530" s="136">
        <f>IF(AND(E530&gt;0,U530=0),1,"")</f>
        <v/>
      </c>
      <c r="U530" s="136">
        <f>SUM(X530:AR530)</f>
        <v/>
      </c>
      <c r="V530" s="136">
        <f>IF(E530=$Q$16,0,SUM(X530:AI530))</f>
        <v/>
      </c>
      <c r="W530" s="136">
        <f>SUM(AK530:AR530)</f>
        <v/>
      </c>
      <c r="X530" s="136">
        <f>IF(E530=$X$6,1,"")</f>
        <v/>
      </c>
      <c r="Y530" s="136">
        <f>IF(E530=$Y$6,1,"")</f>
        <v/>
      </c>
      <c r="Z530" s="136">
        <f>IF(E530=$Z$6,1,"")</f>
        <v/>
      </c>
      <c r="AA530" s="136">
        <f>IF(E530=$AA$6,1,"")</f>
        <v/>
      </c>
      <c r="AB530" s="136">
        <f>IF(E530=$AB$6,1,"")</f>
        <v/>
      </c>
      <c r="AC530" s="136">
        <f>IF(E530=$AC$6,1,"")</f>
        <v/>
      </c>
      <c r="AD530" s="136">
        <f>IF(E530=$AD$6,1,"")</f>
        <v/>
      </c>
      <c r="AE530" s="136">
        <f>IF(E530=$AE$6,1,"")</f>
        <v/>
      </c>
      <c r="AF530" s="136">
        <f>IF(E530=$AF$6,1,"")</f>
        <v/>
      </c>
      <c r="AG530" s="136">
        <f>IF(E530=$AG$6,1,"")</f>
        <v/>
      </c>
      <c r="AH530" s="136">
        <f>IF(E530=$AH$6,1,"")</f>
        <v/>
      </c>
      <c r="AI530" s="136">
        <f>IF(E530=$AI$6,1,"")</f>
        <v/>
      </c>
      <c r="AJ530" s="136">
        <f>IF(E530=$AJ$6,1,"")</f>
        <v/>
      </c>
      <c r="AK530" s="81">
        <f>IF(E530=$AK$6,1,"")</f>
        <v/>
      </c>
      <c r="AL530" s="81">
        <f>IF(E530=$AL$6,1,"")</f>
        <v/>
      </c>
      <c r="AM530" s="81">
        <f>IF(E530=$AM$6,1,"")</f>
        <v/>
      </c>
      <c r="AN530" s="81">
        <f>IF(E530=$AN$6,1,"")</f>
        <v/>
      </c>
      <c r="AO530" s="81">
        <f>IF(E530=$AO$6,1,"")</f>
        <v/>
      </c>
      <c r="AP530" s="81">
        <f>IF(E530=$AP$6,1,"")</f>
        <v/>
      </c>
      <c r="AQ530" s="81">
        <f>IF(E530=$AQ$6,1,"")</f>
        <v/>
      </c>
      <c r="AR530" s="81">
        <f>IF(E530=$AR$6,1,"")</f>
        <v/>
      </c>
      <c r="AS530" s="81" t="n"/>
    </row>
    <row r="531" ht="15.75" customHeight="1" s="80">
      <c r="A531" s="157" t="n"/>
      <c r="B531" s="124" t="n"/>
      <c r="C531" s="125" t="n"/>
      <c r="D531" s="126" t="n"/>
      <c r="E531" s="127" t="n"/>
      <c r="F531" s="128" t="n"/>
      <c r="G531" s="129">
        <f>IF(F531="","",ROUND(F531/60,2))</f>
        <v/>
      </c>
      <c r="H531" s="130" t="n"/>
      <c r="I531" s="131" t="n"/>
      <c r="J531" s="131">
        <f>IF(COUNTIF(B531:E531,"*")=0,"",IF(T531=1,"Invalid Service",IF(AND(V531=1,F531=""),"Add Session Mins",IF(AND(E531&gt;0,H531="",T531=""),"Enter Contract Rate",IF(AND(E531="IEP mtg, prep, rept",F531&gt;0),(G531*H531),IF(AND(E531&gt;0,F531&gt;0,H531&gt;0,I531=""),"Enter Travel",IF(AND(F531&gt;0,I531="Y"),(G531*H531)+$M$10,IF(AND(F531&gt;0,I531="N"),(G531*H531),H531))))))))</f>
        <v/>
      </c>
      <c r="K531" s="132">
        <f>J531</f>
        <v/>
      </c>
      <c r="L531" s="148" t="n"/>
      <c r="M531" s="148" t="n"/>
      <c r="N531" s="148" t="n"/>
      <c r="O531" s="87" t="n"/>
      <c r="P531" s="81" t="n"/>
      <c r="Q531" s="81" t="n"/>
      <c r="R531" s="81" t="n"/>
      <c r="S531" s="81" t="n"/>
      <c r="T531" s="136">
        <f>IF(AND(E531&gt;0,U531=0),1,"")</f>
        <v/>
      </c>
      <c r="U531" s="136">
        <f>SUM(X531:AR531)</f>
        <v/>
      </c>
      <c r="V531" s="136">
        <f>IF(E531=$Q$16,0,SUM(X531:AI531))</f>
        <v/>
      </c>
      <c r="W531" s="136">
        <f>SUM(AK531:AR531)</f>
        <v/>
      </c>
      <c r="X531" s="136">
        <f>IF(E531=$X$6,1,"")</f>
        <v/>
      </c>
      <c r="Y531" s="136">
        <f>IF(E531=$Y$6,1,"")</f>
        <v/>
      </c>
      <c r="Z531" s="136">
        <f>IF(E531=$Z$6,1,"")</f>
        <v/>
      </c>
      <c r="AA531" s="136">
        <f>IF(E531=$AA$6,1,"")</f>
        <v/>
      </c>
      <c r="AB531" s="136">
        <f>IF(E531=$AB$6,1,"")</f>
        <v/>
      </c>
      <c r="AC531" s="136">
        <f>IF(E531=$AC$6,1,"")</f>
        <v/>
      </c>
      <c r="AD531" s="136">
        <f>IF(E531=$AD$6,1,"")</f>
        <v/>
      </c>
      <c r="AE531" s="136">
        <f>IF(E531=$AE$6,1,"")</f>
        <v/>
      </c>
      <c r="AF531" s="136">
        <f>IF(E531=$AF$6,1,"")</f>
        <v/>
      </c>
      <c r="AG531" s="136">
        <f>IF(E531=$AG$6,1,"")</f>
        <v/>
      </c>
      <c r="AH531" s="136">
        <f>IF(E531=$AH$6,1,"")</f>
        <v/>
      </c>
      <c r="AI531" s="136">
        <f>IF(E531=$AI$6,1,"")</f>
        <v/>
      </c>
      <c r="AJ531" s="136">
        <f>IF(E531=$AJ$6,1,"")</f>
        <v/>
      </c>
      <c r="AK531" s="81">
        <f>IF(E531=$AK$6,1,"")</f>
        <v/>
      </c>
      <c r="AL531" s="81">
        <f>IF(E531=$AL$6,1,"")</f>
        <v/>
      </c>
      <c r="AM531" s="81">
        <f>IF(E531=$AM$6,1,"")</f>
        <v/>
      </c>
      <c r="AN531" s="81">
        <f>IF(E531=$AN$6,1,"")</f>
        <v/>
      </c>
      <c r="AO531" s="81">
        <f>IF(E531=$AO$6,1,"")</f>
        <v/>
      </c>
      <c r="AP531" s="81">
        <f>IF(E531=$AP$6,1,"")</f>
        <v/>
      </c>
      <c r="AQ531" s="81">
        <f>IF(E531=$AQ$6,1,"")</f>
        <v/>
      </c>
      <c r="AR531" s="81">
        <f>IF(E531=$AR$6,1,"")</f>
        <v/>
      </c>
      <c r="AS531" s="81" t="n"/>
    </row>
    <row r="532" ht="15.75" customHeight="1" s="80">
      <c r="A532" s="157" t="n"/>
      <c r="B532" s="124" t="n"/>
      <c r="C532" s="125" t="n"/>
      <c r="D532" s="126" t="n"/>
      <c r="E532" s="127" t="n"/>
      <c r="F532" s="128" t="n"/>
      <c r="G532" s="129">
        <f>IF(F532="","",ROUND(F532/60,2))</f>
        <v/>
      </c>
      <c r="H532" s="130" t="n"/>
      <c r="I532" s="131" t="n"/>
      <c r="J532" s="131">
        <f>IF(COUNTIF(B532:E532,"*")=0,"",IF(T532=1,"Invalid Service",IF(AND(V532=1,F532=""),"Add Session Mins",IF(AND(E532&gt;0,H532="",T532=""),"Enter Contract Rate",IF(AND(E532="IEP mtg, prep, rept",F532&gt;0),(G532*H532),IF(AND(E532&gt;0,F532&gt;0,H532&gt;0,I532=""),"Enter Travel",IF(AND(F532&gt;0,I532="Y"),(G532*H532)+$M$10,IF(AND(F532&gt;0,I532="N"),(G532*H532),H532))))))))</f>
        <v/>
      </c>
      <c r="K532" s="132">
        <f>J532</f>
        <v/>
      </c>
      <c r="L532" s="148" t="n"/>
      <c r="M532" s="148" t="n"/>
      <c r="N532" s="148" t="n"/>
      <c r="O532" s="87" t="n"/>
      <c r="P532" s="81" t="n"/>
      <c r="Q532" s="81" t="n"/>
      <c r="R532" s="81" t="n"/>
      <c r="S532" s="81" t="n"/>
      <c r="T532" s="136">
        <f>IF(AND(E532&gt;0,U532=0),1,"")</f>
        <v/>
      </c>
      <c r="U532" s="136">
        <f>SUM(X532:AR532)</f>
        <v/>
      </c>
      <c r="V532" s="136">
        <f>IF(E532=$Q$16,0,SUM(X532:AI532))</f>
        <v/>
      </c>
      <c r="W532" s="136">
        <f>SUM(AK532:AR532)</f>
        <v/>
      </c>
      <c r="X532" s="136">
        <f>IF(E532=$X$6,1,"")</f>
        <v/>
      </c>
      <c r="Y532" s="136">
        <f>IF(E532=$Y$6,1,"")</f>
        <v/>
      </c>
      <c r="Z532" s="136">
        <f>IF(E532=$Z$6,1,"")</f>
        <v/>
      </c>
      <c r="AA532" s="136">
        <f>IF(E532=$AA$6,1,"")</f>
        <v/>
      </c>
      <c r="AB532" s="136">
        <f>IF(E532=$AB$6,1,"")</f>
        <v/>
      </c>
      <c r="AC532" s="136">
        <f>IF(E532=$AC$6,1,"")</f>
        <v/>
      </c>
      <c r="AD532" s="136">
        <f>IF(E532=$AD$6,1,"")</f>
        <v/>
      </c>
      <c r="AE532" s="136">
        <f>IF(E532=$AE$6,1,"")</f>
        <v/>
      </c>
      <c r="AF532" s="136">
        <f>IF(E532=$AF$6,1,"")</f>
        <v/>
      </c>
      <c r="AG532" s="136">
        <f>IF(E532=$AG$6,1,"")</f>
        <v/>
      </c>
      <c r="AH532" s="136">
        <f>IF(E532=$AH$6,1,"")</f>
        <v/>
      </c>
      <c r="AI532" s="136">
        <f>IF(E532=$AI$6,1,"")</f>
        <v/>
      </c>
      <c r="AJ532" s="136">
        <f>IF(E532=$AJ$6,1,"")</f>
        <v/>
      </c>
      <c r="AK532" s="81">
        <f>IF(E532=$AK$6,1,"")</f>
        <v/>
      </c>
      <c r="AL532" s="81">
        <f>IF(E532=$AL$6,1,"")</f>
        <v/>
      </c>
      <c r="AM532" s="81">
        <f>IF(E532=$AM$6,1,"")</f>
        <v/>
      </c>
      <c r="AN532" s="81">
        <f>IF(E532=$AN$6,1,"")</f>
        <v/>
      </c>
      <c r="AO532" s="81">
        <f>IF(E532=$AO$6,1,"")</f>
        <v/>
      </c>
      <c r="AP532" s="81">
        <f>IF(E532=$AP$6,1,"")</f>
        <v/>
      </c>
      <c r="AQ532" s="81">
        <f>IF(E532=$AQ$6,1,"")</f>
        <v/>
      </c>
      <c r="AR532" s="81">
        <f>IF(E532=$AR$6,1,"")</f>
        <v/>
      </c>
      <c r="AS532" s="81" t="n"/>
    </row>
    <row r="533" ht="15.75" customHeight="1" s="80">
      <c r="A533" s="157" t="n"/>
      <c r="B533" s="124" t="n"/>
      <c r="C533" s="125" t="n"/>
      <c r="D533" s="126" t="n"/>
      <c r="E533" s="127" t="n"/>
      <c r="F533" s="128" t="n"/>
      <c r="G533" s="129">
        <f>IF(F533="","",ROUND(F533/60,2))</f>
        <v/>
      </c>
      <c r="H533" s="130" t="n"/>
      <c r="I533" s="131" t="n"/>
      <c r="J533" s="131">
        <f>IF(COUNTIF(B533:E533,"*")=0,"",IF(T533=1,"Invalid Service",IF(AND(V533=1,F533=""),"Add Session Mins",IF(AND(E533&gt;0,H533="",T533=""),"Enter Contract Rate",IF(AND(E533="IEP mtg, prep, rept",F533&gt;0),(G533*H533),IF(AND(E533&gt;0,F533&gt;0,H533&gt;0,I533=""),"Enter Travel",IF(AND(F533&gt;0,I533="Y"),(G533*H533)+$M$10,IF(AND(F533&gt;0,I533="N"),(G533*H533),H533))))))))</f>
        <v/>
      </c>
      <c r="K533" s="132">
        <f>J533</f>
        <v/>
      </c>
      <c r="L533" s="148" t="n"/>
      <c r="M533" s="148" t="n"/>
      <c r="N533" s="148" t="n"/>
      <c r="O533" s="87" t="n"/>
      <c r="P533" s="81" t="n"/>
      <c r="Q533" s="81" t="n"/>
      <c r="R533" s="81" t="n"/>
      <c r="S533" s="81" t="n"/>
      <c r="T533" s="136">
        <f>IF(AND(E533&gt;0,U533=0),1,"")</f>
        <v/>
      </c>
      <c r="U533" s="136">
        <f>SUM(X533:AR533)</f>
        <v/>
      </c>
      <c r="V533" s="136">
        <f>IF(E533=$Q$16,0,SUM(X533:AI533))</f>
        <v/>
      </c>
      <c r="W533" s="136">
        <f>SUM(AK533:AR533)</f>
        <v/>
      </c>
      <c r="X533" s="136">
        <f>IF(E533=$X$6,1,"")</f>
        <v/>
      </c>
      <c r="Y533" s="136">
        <f>IF(E533=$Y$6,1,"")</f>
        <v/>
      </c>
      <c r="Z533" s="136">
        <f>IF(E533=$Z$6,1,"")</f>
        <v/>
      </c>
      <c r="AA533" s="136">
        <f>IF(E533=$AA$6,1,"")</f>
        <v/>
      </c>
      <c r="AB533" s="136">
        <f>IF(E533=$AB$6,1,"")</f>
        <v/>
      </c>
      <c r="AC533" s="136">
        <f>IF(E533=$AC$6,1,"")</f>
        <v/>
      </c>
      <c r="AD533" s="136">
        <f>IF(E533=$AD$6,1,"")</f>
        <v/>
      </c>
      <c r="AE533" s="136">
        <f>IF(E533=$AE$6,1,"")</f>
        <v/>
      </c>
      <c r="AF533" s="136">
        <f>IF(E533=$AF$6,1,"")</f>
        <v/>
      </c>
      <c r="AG533" s="136">
        <f>IF(E533=$AG$6,1,"")</f>
        <v/>
      </c>
      <c r="AH533" s="136">
        <f>IF(E533=$AH$6,1,"")</f>
        <v/>
      </c>
      <c r="AI533" s="136">
        <f>IF(E533=$AI$6,1,"")</f>
        <v/>
      </c>
      <c r="AJ533" s="136">
        <f>IF(E533=$AJ$6,1,"")</f>
        <v/>
      </c>
      <c r="AK533" s="81">
        <f>IF(E533=$AK$6,1,"")</f>
        <v/>
      </c>
      <c r="AL533" s="81">
        <f>IF(E533=$AL$6,1,"")</f>
        <v/>
      </c>
      <c r="AM533" s="81">
        <f>IF(E533=$AM$6,1,"")</f>
        <v/>
      </c>
      <c r="AN533" s="81">
        <f>IF(E533=$AN$6,1,"")</f>
        <v/>
      </c>
      <c r="AO533" s="81">
        <f>IF(E533=$AO$6,1,"")</f>
        <v/>
      </c>
      <c r="AP533" s="81">
        <f>IF(E533=$AP$6,1,"")</f>
        <v/>
      </c>
      <c r="AQ533" s="81">
        <f>IF(E533=$AQ$6,1,"")</f>
        <v/>
      </c>
      <c r="AR533" s="81">
        <f>IF(E533=$AR$6,1,"")</f>
        <v/>
      </c>
      <c r="AS533" s="81" t="n"/>
    </row>
    <row r="534" ht="15.75" customHeight="1" s="80">
      <c r="A534" s="157" t="n"/>
      <c r="B534" s="124" t="n"/>
      <c r="C534" s="125" t="n"/>
      <c r="D534" s="126" t="n"/>
      <c r="E534" s="127" t="n"/>
      <c r="F534" s="128" t="n"/>
      <c r="G534" s="129">
        <f>IF(F534="","",ROUND(F534/60,2))</f>
        <v/>
      </c>
      <c r="H534" s="130" t="n"/>
      <c r="I534" s="131" t="n"/>
      <c r="J534" s="131">
        <f>IF(COUNTIF(B534:E534,"*")=0,"",IF(T534=1,"Invalid Service",IF(AND(V534=1,F534=""),"Add Session Mins",IF(AND(E534&gt;0,H534="",T534=""),"Enter Contract Rate",IF(AND(E534="IEP mtg, prep, rept",F534&gt;0),(G534*H534),IF(AND(E534&gt;0,F534&gt;0,H534&gt;0,I534=""),"Enter Travel",IF(AND(F534&gt;0,I534="Y"),(G534*H534)+$M$10,IF(AND(F534&gt;0,I534="N"),(G534*H534),H534))))))))</f>
        <v/>
      </c>
      <c r="K534" s="132">
        <f>J534</f>
        <v/>
      </c>
      <c r="L534" s="148" t="n"/>
      <c r="M534" s="148" t="n"/>
      <c r="N534" s="148" t="n"/>
      <c r="O534" s="87" t="n"/>
      <c r="P534" s="81" t="n"/>
      <c r="Q534" s="81" t="n"/>
      <c r="R534" s="81" t="n"/>
      <c r="S534" s="81" t="n"/>
      <c r="T534" s="136">
        <f>IF(AND(E534&gt;0,U534=0),1,"")</f>
        <v/>
      </c>
      <c r="U534" s="136">
        <f>SUM(X534:AR534)</f>
        <v/>
      </c>
      <c r="V534" s="136">
        <f>IF(E534=$Q$16,0,SUM(X534:AI534))</f>
        <v/>
      </c>
      <c r="W534" s="136">
        <f>SUM(AK534:AR534)</f>
        <v/>
      </c>
      <c r="X534" s="136">
        <f>IF(E534=$X$6,1,"")</f>
        <v/>
      </c>
      <c r="Y534" s="136">
        <f>IF(E534=$Y$6,1,"")</f>
        <v/>
      </c>
      <c r="Z534" s="136">
        <f>IF(E534=$Z$6,1,"")</f>
        <v/>
      </c>
      <c r="AA534" s="136">
        <f>IF(E534=$AA$6,1,"")</f>
        <v/>
      </c>
      <c r="AB534" s="136">
        <f>IF(E534=$AB$6,1,"")</f>
        <v/>
      </c>
      <c r="AC534" s="136">
        <f>IF(E534=$AC$6,1,"")</f>
        <v/>
      </c>
      <c r="AD534" s="136">
        <f>IF(E534=$AD$6,1,"")</f>
        <v/>
      </c>
      <c r="AE534" s="136">
        <f>IF(E534=$AE$6,1,"")</f>
        <v/>
      </c>
      <c r="AF534" s="136">
        <f>IF(E534=$AF$6,1,"")</f>
        <v/>
      </c>
      <c r="AG534" s="136">
        <f>IF(E534=$AG$6,1,"")</f>
        <v/>
      </c>
      <c r="AH534" s="136">
        <f>IF(E534=$AH$6,1,"")</f>
        <v/>
      </c>
      <c r="AI534" s="136">
        <f>IF(E534=$AI$6,1,"")</f>
        <v/>
      </c>
      <c r="AJ534" s="136">
        <f>IF(E534=$AJ$6,1,"")</f>
        <v/>
      </c>
      <c r="AK534" s="81">
        <f>IF(E534=$AK$6,1,"")</f>
        <v/>
      </c>
      <c r="AL534" s="81">
        <f>IF(E534=$AL$6,1,"")</f>
        <v/>
      </c>
      <c r="AM534" s="81">
        <f>IF(E534=$AM$6,1,"")</f>
        <v/>
      </c>
      <c r="AN534" s="81">
        <f>IF(E534=$AN$6,1,"")</f>
        <v/>
      </c>
      <c r="AO534" s="81">
        <f>IF(E534=$AO$6,1,"")</f>
        <v/>
      </c>
      <c r="AP534" s="81">
        <f>IF(E534=$AP$6,1,"")</f>
        <v/>
      </c>
      <c r="AQ534" s="81">
        <f>IF(E534=$AQ$6,1,"")</f>
        <v/>
      </c>
      <c r="AR534" s="81">
        <f>IF(E534=$AR$6,1,"")</f>
        <v/>
      </c>
      <c r="AS534" s="81" t="n"/>
    </row>
    <row r="535" ht="15.75" customHeight="1" s="80">
      <c r="A535" s="157" t="n"/>
      <c r="B535" s="124" t="n"/>
      <c r="C535" s="125" t="n"/>
      <c r="D535" s="126" t="n"/>
      <c r="E535" s="127" t="n"/>
      <c r="F535" s="128" t="n"/>
      <c r="G535" s="129">
        <f>IF(F535="","",ROUND(F535/60,2))</f>
        <v/>
      </c>
      <c r="H535" s="130" t="n"/>
      <c r="I535" s="131" t="n"/>
      <c r="J535" s="131">
        <f>IF(COUNTIF(B535:E535,"*")=0,"",IF(T535=1,"Invalid Service",IF(AND(V535=1,F535=""),"Add Session Mins",IF(AND(E535&gt;0,H535="",T535=""),"Enter Contract Rate",IF(AND(E535="IEP mtg, prep, rept",F535&gt;0),(G535*H535),IF(AND(E535&gt;0,F535&gt;0,H535&gt;0,I535=""),"Enter Travel",IF(AND(F535&gt;0,I535="Y"),(G535*H535)+$M$10,IF(AND(F535&gt;0,I535="N"),(G535*H535),H535))))))))</f>
        <v/>
      </c>
      <c r="K535" s="132">
        <f>J535</f>
        <v/>
      </c>
      <c r="L535" s="148" t="n"/>
      <c r="M535" s="148" t="n"/>
      <c r="N535" s="148" t="n"/>
      <c r="O535" s="87" t="n"/>
      <c r="P535" s="81" t="n"/>
      <c r="Q535" s="81" t="n"/>
      <c r="R535" s="81" t="n"/>
      <c r="S535" s="81" t="n"/>
      <c r="T535" s="136">
        <f>IF(AND(E535&gt;0,U535=0),1,"")</f>
        <v/>
      </c>
      <c r="U535" s="136">
        <f>SUM(X535:AR535)</f>
        <v/>
      </c>
      <c r="V535" s="136">
        <f>IF(E535=$Q$16,0,SUM(X535:AI535))</f>
        <v/>
      </c>
      <c r="W535" s="136">
        <f>SUM(AK535:AR535)</f>
        <v/>
      </c>
      <c r="X535" s="136">
        <f>IF(E535=$X$6,1,"")</f>
        <v/>
      </c>
      <c r="Y535" s="136">
        <f>IF(E535=$Y$6,1,"")</f>
        <v/>
      </c>
      <c r="Z535" s="136">
        <f>IF(E535=$Z$6,1,"")</f>
        <v/>
      </c>
      <c r="AA535" s="136">
        <f>IF(E535=$AA$6,1,"")</f>
        <v/>
      </c>
      <c r="AB535" s="136">
        <f>IF(E535=$AB$6,1,"")</f>
        <v/>
      </c>
      <c r="AC535" s="136">
        <f>IF(E535=$AC$6,1,"")</f>
        <v/>
      </c>
      <c r="AD535" s="136">
        <f>IF(E535=$AD$6,1,"")</f>
        <v/>
      </c>
      <c r="AE535" s="136">
        <f>IF(E535=$AE$6,1,"")</f>
        <v/>
      </c>
      <c r="AF535" s="136">
        <f>IF(E535=$AF$6,1,"")</f>
        <v/>
      </c>
      <c r="AG535" s="136">
        <f>IF(E535=$AG$6,1,"")</f>
        <v/>
      </c>
      <c r="AH535" s="136">
        <f>IF(E535=$AH$6,1,"")</f>
        <v/>
      </c>
      <c r="AI535" s="136">
        <f>IF(E535=$AI$6,1,"")</f>
        <v/>
      </c>
      <c r="AJ535" s="136">
        <f>IF(E535=$AJ$6,1,"")</f>
        <v/>
      </c>
      <c r="AK535" s="81">
        <f>IF(E535=$AK$6,1,"")</f>
        <v/>
      </c>
      <c r="AL535" s="81">
        <f>IF(E535=$AL$6,1,"")</f>
        <v/>
      </c>
      <c r="AM535" s="81">
        <f>IF(E535=$AM$6,1,"")</f>
        <v/>
      </c>
      <c r="AN535" s="81">
        <f>IF(E535=$AN$6,1,"")</f>
        <v/>
      </c>
      <c r="AO535" s="81">
        <f>IF(E535=$AO$6,1,"")</f>
        <v/>
      </c>
      <c r="AP535" s="81">
        <f>IF(E535=$AP$6,1,"")</f>
        <v/>
      </c>
      <c r="AQ535" s="81">
        <f>IF(E535=$AQ$6,1,"")</f>
        <v/>
      </c>
      <c r="AR535" s="81">
        <f>IF(E535=$AR$6,1,"")</f>
        <v/>
      </c>
      <c r="AS535" s="81" t="n"/>
    </row>
    <row r="536" ht="15.75" customHeight="1" s="80">
      <c r="A536" s="157" t="n"/>
      <c r="B536" s="124" t="n"/>
      <c r="C536" s="125" t="n"/>
      <c r="D536" s="126" t="n"/>
      <c r="E536" s="127" t="n"/>
      <c r="F536" s="128" t="n"/>
      <c r="G536" s="129">
        <f>IF(F536="","",ROUND(F536/60,2))</f>
        <v/>
      </c>
      <c r="H536" s="130" t="n"/>
      <c r="I536" s="131" t="n"/>
      <c r="J536" s="131">
        <f>IF(COUNTIF(B536:E536,"*")=0,"",IF(T536=1,"Invalid Service",IF(AND(V536=1,F536=""),"Add Session Mins",IF(AND(E536&gt;0,H536="",T536=""),"Enter Contract Rate",IF(AND(E536="IEP mtg, prep, rept",F536&gt;0),(G536*H536),IF(AND(E536&gt;0,F536&gt;0,H536&gt;0,I536=""),"Enter Travel",IF(AND(F536&gt;0,I536="Y"),(G536*H536)+$M$10,IF(AND(F536&gt;0,I536="N"),(G536*H536),H536))))))))</f>
        <v/>
      </c>
      <c r="K536" s="132">
        <f>J536</f>
        <v/>
      </c>
      <c r="L536" s="148" t="n"/>
      <c r="M536" s="148" t="n"/>
      <c r="N536" s="148" t="n"/>
      <c r="O536" s="87" t="n"/>
      <c r="P536" s="81" t="n"/>
      <c r="Q536" s="81" t="n"/>
      <c r="R536" s="81" t="n"/>
      <c r="S536" s="81" t="n"/>
      <c r="T536" s="136">
        <f>IF(AND(E536&gt;0,U536=0),1,"")</f>
        <v/>
      </c>
      <c r="U536" s="136">
        <f>SUM(X536:AR536)</f>
        <v/>
      </c>
      <c r="V536" s="136">
        <f>IF(E536=$Q$16,0,SUM(X536:AI536))</f>
        <v/>
      </c>
      <c r="W536" s="136">
        <f>SUM(AK536:AR536)</f>
        <v/>
      </c>
      <c r="X536" s="136">
        <f>IF(E536=$X$6,1,"")</f>
        <v/>
      </c>
      <c r="Y536" s="136">
        <f>IF(E536=$Y$6,1,"")</f>
        <v/>
      </c>
      <c r="Z536" s="136">
        <f>IF(E536=$Z$6,1,"")</f>
        <v/>
      </c>
      <c r="AA536" s="136">
        <f>IF(E536=$AA$6,1,"")</f>
        <v/>
      </c>
      <c r="AB536" s="136">
        <f>IF(E536=$AB$6,1,"")</f>
        <v/>
      </c>
      <c r="AC536" s="136">
        <f>IF(E536=$AC$6,1,"")</f>
        <v/>
      </c>
      <c r="AD536" s="136">
        <f>IF(E536=$AD$6,1,"")</f>
        <v/>
      </c>
      <c r="AE536" s="136">
        <f>IF(E536=$AE$6,1,"")</f>
        <v/>
      </c>
      <c r="AF536" s="136">
        <f>IF(E536=$AF$6,1,"")</f>
        <v/>
      </c>
      <c r="AG536" s="136">
        <f>IF(E536=$AG$6,1,"")</f>
        <v/>
      </c>
      <c r="AH536" s="136">
        <f>IF(E536=$AH$6,1,"")</f>
        <v/>
      </c>
      <c r="AI536" s="136">
        <f>IF(E536=$AI$6,1,"")</f>
        <v/>
      </c>
      <c r="AJ536" s="136">
        <f>IF(E536=$AJ$6,1,"")</f>
        <v/>
      </c>
      <c r="AK536" s="81">
        <f>IF(E536=$AK$6,1,"")</f>
        <v/>
      </c>
      <c r="AL536" s="81">
        <f>IF(E536=$AL$6,1,"")</f>
        <v/>
      </c>
      <c r="AM536" s="81">
        <f>IF(E536=$AM$6,1,"")</f>
        <v/>
      </c>
      <c r="AN536" s="81">
        <f>IF(E536=$AN$6,1,"")</f>
        <v/>
      </c>
      <c r="AO536" s="81">
        <f>IF(E536=$AO$6,1,"")</f>
        <v/>
      </c>
      <c r="AP536" s="81">
        <f>IF(E536=$AP$6,1,"")</f>
        <v/>
      </c>
      <c r="AQ536" s="81">
        <f>IF(E536=$AQ$6,1,"")</f>
        <v/>
      </c>
      <c r="AR536" s="81">
        <f>IF(E536=$AR$6,1,"")</f>
        <v/>
      </c>
      <c r="AS536" s="81" t="n"/>
    </row>
    <row r="537" ht="15.75" customHeight="1" s="80">
      <c r="A537" s="157" t="n"/>
      <c r="B537" s="124" t="n"/>
      <c r="C537" s="125" t="n"/>
      <c r="D537" s="126" t="n"/>
      <c r="E537" s="127" t="n"/>
      <c r="F537" s="128" t="n"/>
      <c r="G537" s="129">
        <f>IF(F537="","",ROUND(F537/60,2))</f>
        <v/>
      </c>
      <c r="H537" s="130" t="n"/>
      <c r="I537" s="131" t="n"/>
      <c r="J537" s="131">
        <f>IF(COUNTIF(B537:E537,"*")=0,"",IF(T537=1,"Invalid Service",IF(AND(V537=1,F537=""),"Add Session Mins",IF(AND(E537&gt;0,H537="",T537=""),"Enter Contract Rate",IF(AND(E537="IEP mtg, prep, rept",F537&gt;0),(G537*H537),IF(AND(E537&gt;0,F537&gt;0,H537&gt;0,I537=""),"Enter Travel",IF(AND(F537&gt;0,I537="Y"),(G537*H537)+$M$10,IF(AND(F537&gt;0,I537="N"),(G537*H537),H537))))))))</f>
        <v/>
      </c>
      <c r="K537" s="132">
        <f>J537</f>
        <v/>
      </c>
      <c r="L537" s="148" t="n"/>
      <c r="M537" s="148" t="n"/>
      <c r="N537" s="148" t="n"/>
      <c r="O537" s="87" t="n"/>
      <c r="P537" s="81" t="n"/>
      <c r="Q537" s="81" t="n"/>
      <c r="R537" s="81" t="n"/>
      <c r="S537" s="81" t="n"/>
      <c r="T537" s="136">
        <f>IF(AND(E537&gt;0,U537=0),1,"")</f>
        <v/>
      </c>
      <c r="U537" s="136">
        <f>SUM(X537:AR537)</f>
        <v/>
      </c>
      <c r="V537" s="136">
        <f>IF(E537=$Q$16,0,SUM(X537:AI537))</f>
        <v/>
      </c>
      <c r="W537" s="136">
        <f>SUM(AK537:AR537)</f>
        <v/>
      </c>
      <c r="X537" s="136">
        <f>IF(E537=$X$6,1,"")</f>
        <v/>
      </c>
      <c r="Y537" s="136">
        <f>IF(E537=$Y$6,1,"")</f>
        <v/>
      </c>
      <c r="Z537" s="136">
        <f>IF(E537=$Z$6,1,"")</f>
        <v/>
      </c>
      <c r="AA537" s="136">
        <f>IF(E537=$AA$6,1,"")</f>
        <v/>
      </c>
      <c r="AB537" s="136">
        <f>IF(E537=$AB$6,1,"")</f>
        <v/>
      </c>
      <c r="AC537" s="136">
        <f>IF(E537=$AC$6,1,"")</f>
        <v/>
      </c>
      <c r="AD537" s="136">
        <f>IF(E537=$AD$6,1,"")</f>
        <v/>
      </c>
      <c r="AE537" s="136">
        <f>IF(E537=$AE$6,1,"")</f>
        <v/>
      </c>
      <c r="AF537" s="136">
        <f>IF(E537=$AF$6,1,"")</f>
        <v/>
      </c>
      <c r="AG537" s="136">
        <f>IF(E537=$AG$6,1,"")</f>
        <v/>
      </c>
      <c r="AH537" s="136">
        <f>IF(E537=$AH$6,1,"")</f>
        <v/>
      </c>
      <c r="AI537" s="136">
        <f>IF(E537=$AI$6,1,"")</f>
        <v/>
      </c>
      <c r="AJ537" s="136">
        <f>IF(E537=$AJ$6,1,"")</f>
        <v/>
      </c>
      <c r="AK537" s="81">
        <f>IF(E537=$AK$6,1,"")</f>
        <v/>
      </c>
      <c r="AL537" s="81">
        <f>IF(E537=$AL$6,1,"")</f>
        <v/>
      </c>
      <c r="AM537" s="81">
        <f>IF(E537=$AM$6,1,"")</f>
        <v/>
      </c>
      <c r="AN537" s="81">
        <f>IF(E537=$AN$6,1,"")</f>
        <v/>
      </c>
      <c r="AO537" s="81">
        <f>IF(E537=$AO$6,1,"")</f>
        <v/>
      </c>
      <c r="AP537" s="81">
        <f>IF(E537=$AP$6,1,"")</f>
        <v/>
      </c>
      <c r="AQ537" s="81">
        <f>IF(E537=$AQ$6,1,"")</f>
        <v/>
      </c>
      <c r="AR537" s="81">
        <f>IF(E537=$AR$6,1,"")</f>
        <v/>
      </c>
      <c r="AS537" s="81" t="n"/>
    </row>
    <row r="538" ht="15.75" customHeight="1" s="80">
      <c r="A538" s="157" t="n"/>
      <c r="B538" s="124" t="n"/>
      <c r="C538" s="125" t="n"/>
      <c r="D538" s="126" t="n"/>
      <c r="E538" s="127" t="n"/>
      <c r="F538" s="128" t="n"/>
      <c r="G538" s="129">
        <f>IF(F538="","",ROUND(F538/60,2))</f>
        <v/>
      </c>
      <c r="H538" s="130" t="n"/>
      <c r="I538" s="131" t="n"/>
      <c r="J538" s="131">
        <f>IF(COUNTIF(B538:E538,"*")=0,"",IF(T538=1,"Invalid Service",IF(AND(V538=1,F538=""),"Add Session Mins",IF(AND(E538&gt;0,H538="",T538=""),"Enter Contract Rate",IF(AND(E538="IEP mtg, prep, rept",F538&gt;0),(G538*H538),IF(AND(E538&gt;0,F538&gt;0,H538&gt;0,I538=""),"Enter Travel",IF(AND(F538&gt;0,I538="Y"),(G538*H538)+$M$10,IF(AND(F538&gt;0,I538="N"),(G538*H538),H538))))))))</f>
        <v/>
      </c>
      <c r="K538" s="132">
        <f>J538</f>
        <v/>
      </c>
      <c r="L538" s="148" t="n"/>
      <c r="M538" s="148" t="n"/>
      <c r="N538" s="148" t="n"/>
      <c r="O538" s="87" t="n"/>
      <c r="P538" s="81" t="n"/>
      <c r="Q538" s="81" t="n"/>
      <c r="R538" s="81" t="n"/>
      <c r="S538" s="81" t="n"/>
      <c r="T538" s="136">
        <f>IF(AND(E538&gt;0,U538=0),1,"")</f>
        <v/>
      </c>
      <c r="U538" s="136">
        <f>SUM(X538:AR538)</f>
        <v/>
      </c>
      <c r="V538" s="136">
        <f>IF(E538=$Q$16,0,SUM(X538:AI538))</f>
        <v/>
      </c>
      <c r="W538" s="136">
        <f>SUM(AK538:AR538)</f>
        <v/>
      </c>
      <c r="X538" s="136">
        <f>IF(E538=$X$6,1,"")</f>
        <v/>
      </c>
      <c r="Y538" s="136">
        <f>IF(E538=$Y$6,1,"")</f>
        <v/>
      </c>
      <c r="Z538" s="136">
        <f>IF(E538=$Z$6,1,"")</f>
        <v/>
      </c>
      <c r="AA538" s="136">
        <f>IF(E538=$AA$6,1,"")</f>
        <v/>
      </c>
      <c r="AB538" s="136">
        <f>IF(E538=$AB$6,1,"")</f>
        <v/>
      </c>
      <c r="AC538" s="136">
        <f>IF(E538=$AC$6,1,"")</f>
        <v/>
      </c>
      <c r="AD538" s="136">
        <f>IF(E538=$AD$6,1,"")</f>
        <v/>
      </c>
      <c r="AE538" s="136">
        <f>IF(E538=$AE$6,1,"")</f>
        <v/>
      </c>
      <c r="AF538" s="136">
        <f>IF(E538=$AF$6,1,"")</f>
        <v/>
      </c>
      <c r="AG538" s="136">
        <f>IF(E538=$AG$6,1,"")</f>
        <v/>
      </c>
      <c r="AH538" s="136">
        <f>IF(E538=$AH$6,1,"")</f>
        <v/>
      </c>
      <c r="AI538" s="136">
        <f>IF(E538=$AI$6,1,"")</f>
        <v/>
      </c>
      <c r="AJ538" s="136">
        <f>IF(E538=$AJ$6,1,"")</f>
        <v/>
      </c>
      <c r="AK538" s="81">
        <f>IF(E538=$AK$6,1,"")</f>
        <v/>
      </c>
      <c r="AL538" s="81">
        <f>IF(E538=$AL$6,1,"")</f>
        <v/>
      </c>
      <c r="AM538" s="81">
        <f>IF(E538=$AM$6,1,"")</f>
        <v/>
      </c>
      <c r="AN538" s="81">
        <f>IF(E538=$AN$6,1,"")</f>
        <v/>
      </c>
      <c r="AO538" s="81">
        <f>IF(E538=$AO$6,1,"")</f>
        <v/>
      </c>
      <c r="AP538" s="81">
        <f>IF(E538=$AP$6,1,"")</f>
        <v/>
      </c>
      <c r="AQ538" s="81">
        <f>IF(E538=$AQ$6,1,"")</f>
        <v/>
      </c>
      <c r="AR538" s="81">
        <f>IF(E538=$AR$6,1,"")</f>
        <v/>
      </c>
      <c r="AS538" s="81" t="n"/>
    </row>
    <row r="539" ht="15.75" customHeight="1" s="80">
      <c r="A539" s="157" t="n"/>
      <c r="B539" s="124" t="n"/>
      <c r="C539" s="125" t="n"/>
      <c r="D539" s="126" t="n"/>
      <c r="E539" s="127" t="n"/>
      <c r="F539" s="128" t="n"/>
      <c r="G539" s="129">
        <f>IF(F539="","",ROUND(F539/60,2))</f>
        <v/>
      </c>
      <c r="H539" s="130" t="n"/>
      <c r="I539" s="131" t="n"/>
      <c r="J539" s="131">
        <f>IF(COUNTIF(B539:E539,"*")=0,"",IF(T539=1,"Invalid Service",IF(AND(V539=1,F539=""),"Add Session Mins",IF(AND(E539&gt;0,H539="",T539=""),"Enter Contract Rate",IF(AND(E539="IEP mtg, prep, rept",F539&gt;0),(G539*H539),IF(AND(E539&gt;0,F539&gt;0,H539&gt;0,I539=""),"Enter Travel",IF(AND(F539&gt;0,I539="Y"),(G539*H539)+$M$10,IF(AND(F539&gt;0,I539="N"),(G539*H539),H539))))))))</f>
        <v/>
      </c>
      <c r="K539" s="132">
        <f>J539</f>
        <v/>
      </c>
      <c r="L539" s="148" t="n"/>
      <c r="M539" s="148" t="n"/>
      <c r="N539" s="148" t="n"/>
      <c r="O539" s="87" t="n"/>
      <c r="P539" s="81" t="n"/>
      <c r="Q539" s="81" t="n"/>
      <c r="R539" s="81" t="n"/>
      <c r="S539" s="81" t="n"/>
      <c r="T539" s="136">
        <f>IF(AND(E539&gt;0,U539=0),1,"")</f>
        <v/>
      </c>
      <c r="U539" s="136">
        <f>SUM(X539:AR539)</f>
        <v/>
      </c>
      <c r="V539" s="136">
        <f>IF(E539=$Q$16,0,SUM(X539:AI539))</f>
        <v/>
      </c>
      <c r="W539" s="136">
        <f>SUM(AK539:AR539)</f>
        <v/>
      </c>
      <c r="X539" s="136">
        <f>IF(E539=$X$6,1,"")</f>
        <v/>
      </c>
      <c r="Y539" s="136">
        <f>IF(E539=$Y$6,1,"")</f>
        <v/>
      </c>
      <c r="Z539" s="136">
        <f>IF(E539=$Z$6,1,"")</f>
        <v/>
      </c>
      <c r="AA539" s="136">
        <f>IF(E539=$AA$6,1,"")</f>
        <v/>
      </c>
      <c r="AB539" s="136">
        <f>IF(E539=$AB$6,1,"")</f>
        <v/>
      </c>
      <c r="AC539" s="136">
        <f>IF(E539=$AC$6,1,"")</f>
        <v/>
      </c>
      <c r="AD539" s="136">
        <f>IF(E539=$AD$6,1,"")</f>
        <v/>
      </c>
      <c r="AE539" s="136">
        <f>IF(E539=$AE$6,1,"")</f>
        <v/>
      </c>
      <c r="AF539" s="136">
        <f>IF(E539=$AF$6,1,"")</f>
        <v/>
      </c>
      <c r="AG539" s="136">
        <f>IF(E539=$AG$6,1,"")</f>
        <v/>
      </c>
      <c r="AH539" s="136">
        <f>IF(E539=$AH$6,1,"")</f>
        <v/>
      </c>
      <c r="AI539" s="136">
        <f>IF(E539=$AI$6,1,"")</f>
        <v/>
      </c>
      <c r="AJ539" s="136">
        <f>IF(E539=$AJ$6,1,"")</f>
        <v/>
      </c>
      <c r="AK539" s="81">
        <f>IF(E539=$AK$6,1,"")</f>
        <v/>
      </c>
      <c r="AL539" s="81">
        <f>IF(E539=$AL$6,1,"")</f>
        <v/>
      </c>
      <c r="AM539" s="81">
        <f>IF(E539=$AM$6,1,"")</f>
        <v/>
      </c>
      <c r="AN539" s="81">
        <f>IF(E539=$AN$6,1,"")</f>
        <v/>
      </c>
      <c r="AO539" s="81">
        <f>IF(E539=$AO$6,1,"")</f>
        <v/>
      </c>
      <c r="AP539" s="81">
        <f>IF(E539=$AP$6,1,"")</f>
        <v/>
      </c>
      <c r="AQ539" s="81">
        <f>IF(E539=$AQ$6,1,"")</f>
        <v/>
      </c>
      <c r="AR539" s="81">
        <f>IF(E539=$AR$6,1,"")</f>
        <v/>
      </c>
      <c r="AS539" s="81" t="n"/>
    </row>
    <row r="540" ht="15.75" customHeight="1" s="80">
      <c r="A540" s="157" t="n"/>
      <c r="B540" s="124" t="n"/>
      <c r="C540" s="125" t="n"/>
      <c r="D540" s="126" t="n"/>
      <c r="E540" s="127" t="n"/>
      <c r="F540" s="128" t="n"/>
      <c r="G540" s="129">
        <f>IF(F540="","",ROUND(F540/60,2))</f>
        <v/>
      </c>
      <c r="H540" s="130" t="n"/>
      <c r="I540" s="131" t="n"/>
      <c r="J540" s="131">
        <f>IF(COUNTIF(B540:E540,"*")=0,"",IF(T540=1,"Invalid Service",IF(AND(V540=1,F540=""),"Add Session Mins",IF(AND(E540&gt;0,H540="",T540=""),"Enter Contract Rate",IF(AND(E540="IEP mtg, prep, rept",F540&gt;0),(G540*H540),IF(AND(E540&gt;0,F540&gt;0,H540&gt;0,I540=""),"Enter Travel",IF(AND(F540&gt;0,I540="Y"),(G540*H540)+$M$10,IF(AND(F540&gt;0,I540="N"),(G540*H540),H540))))))))</f>
        <v/>
      </c>
      <c r="K540" s="132">
        <f>J540</f>
        <v/>
      </c>
      <c r="L540" s="148" t="n"/>
      <c r="M540" s="148" t="n"/>
      <c r="N540" s="148" t="n"/>
      <c r="O540" s="87" t="n"/>
      <c r="P540" s="81" t="n"/>
      <c r="Q540" s="81" t="n"/>
      <c r="R540" s="81" t="n"/>
      <c r="S540" s="81" t="n"/>
      <c r="T540" s="136">
        <f>IF(AND(E540&gt;0,U540=0),1,"")</f>
        <v/>
      </c>
      <c r="U540" s="136">
        <f>SUM(X540:AR540)</f>
        <v/>
      </c>
      <c r="V540" s="136">
        <f>IF(E540=$Q$16,0,SUM(X540:AI540))</f>
        <v/>
      </c>
      <c r="W540" s="136">
        <f>SUM(AK540:AR540)</f>
        <v/>
      </c>
      <c r="X540" s="136">
        <f>IF(E540=$X$6,1,"")</f>
        <v/>
      </c>
      <c r="Y540" s="136">
        <f>IF(E540=$Y$6,1,"")</f>
        <v/>
      </c>
      <c r="Z540" s="136">
        <f>IF(E540=$Z$6,1,"")</f>
        <v/>
      </c>
      <c r="AA540" s="136">
        <f>IF(E540=$AA$6,1,"")</f>
        <v/>
      </c>
      <c r="AB540" s="136">
        <f>IF(E540=$AB$6,1,"")</f>
        <v/>
      </c>
      <c r="AC540" s="136">
        <f>IF(E540=$AC$6,1,"")</f>
        <v/>
      </c>
      <c r="AD540" s="136">
        <f>IF(E540=$AD$6,1,"")</f>
        <v/>
      </c>
      <c r="AE540" s="136">
        <f>IF(E540=$AE$6,1,"")</f>
        <v/>
      </c>
      <c r="AF540" s="136">
        <f>IF(E540=$AF$6,1,"")</f>
        <v/>
      </c>
      <c r="AG540" s="136">
        <f>IF(E540=$AG$6,1,"")</f>
        <v/>
      </c>
      <c r="AH540" s="136">
        <f>IF(E540=$AH$6,1,"")</f>
        <v/>
      </c>
      <c r="AI540" s="136">
        <f>IF(E540=$AI$6,1,"")</f>
        <v/>
      </c>
      <c r="AJ540" s="136">
        <f>IF(E540=$AJ$6,1,"")</f>
        <v/>
      </c>
      <c r="AK540" s="81">
        <f>IF(E540=$AK$6,1,"")</f>
        <v/>
      </c>
      <c r="AL540" s="81">
        <f>IF(E540=$AL$6,1,"")</f>
        <v/>
      </c>
      <c r="AM540" s="81">
        <f>IF(E540=$AM$6,1,"")</f>
        <v/>
      </c>
      <c r="AN540" s="81">
        <f>IF(E540=$AN$6,1,"")</f>
        <v/>
      </c>
      <c r="AO540" s="81">
        <f>IF(E540=$AO$6,1,"")</f>
        <v/>
      </c>
      <c r="AP540" s="81">
        <f>IF(E540=$AP$6,1,"")</f>
        <v/>
      </c>
      <c r="AQ540" s="81">
        <f>IF(E540=$AQ$6,1,"")</f>
        <v/>
      </c>
      <c r="AR540" s="81">
        <f>IF(E540=$AR$6,1,"")</f>
        <v/>
      </c>
      <c r="AS540" s="81" t="n"/>
    </row>
    <row r="541" ht="15.75" customHeight="1" s="80">
      <c r="A541" s="157" t="n"/>
      <c r="B541" s="124" t="n"/>
      <c r="C541" s="125" t="n"/>
      <c r="D541" s="126" t="n"/>
      <c r="E541" s="127" t="n"/>
      <c r="F541" s="128" t="n"/>
      <c r="G541" s="129">
        <f>IF(F541="","",ROUND(F541/60,2))</f>
        <v/>
      </c>
      <c r="H541" s="130" t="n"/>
      <c r="I541" s="131" t="n"/>
      <c r="J541" s="131">
        <f>IF(COUNTIF(B541:E541,"*")=0,"",IF(T541=1,"Invalid Service",IF(AND(V541=1,F541=""),"Add Session Mins",IF(AND(E541&gt;0,H541="",T541=""),"Enter Contract Rate",IF(AND(E541="IEP mtg, prep, rept",F541&gt;0),(G541*H541),IF(AND(E541&gt;0,F541&gt;0,H541&gt;0,I541=""),"Enter Travel",IF(AND(F541&gt;0,I541="Y"),(G541*H541)+$M$10,IF(AND(F541&gt;0,I541="N"),(G541*H541),H541))))))))</f>
        <v/>
      </c>
      <c r="K541" s="132">
        <f>J541</f>
        <v/>
      </c>
      <c r="L541" s="148" t="n"/>
      <c r="M541" s="148" t="n"/>
      <c r="N541" s="148" t="n"/>
      <c r="O541" s="87" t="n"/>
      <c r="P541" s="81" t="n"/>
      <c r="Q541" s="81" t="n"/>
      <c r="R541" s="81" t="n"/>
      <c r="S541" s="81" t="n"/>
      <c r="T541" s="136">
        <f>IF(AND(E541&gt;0,U541=0),1,"")</f>
        <v/>
      </c>
      <c r="U541" s="136">
        <f>SUM(X541:AR541)</f>
        <v/>
      </c>
      <c r="V541" s="136">
        <f>IF(E541=$Q$16,0,SUM(X541:AI541))</f>
        <v/>
      </c>
      <c r="W541" s="136">
        <f>SUM(AK541:AR541)</f>
        <v/>
      </c>
      <c r="X541" s="136">
        <f>IF(E541=$X$6,1,"")</f>
        <v/>
      </c>
      <c r="Y541" s="136">
        <f>IF(E541=$Y$6,1,"")</f>
        <v/>
      </c>
      <c r="Z541" s="136">
        <f>IF(E541=$Z$6,1,"")</f>
        <v/>
      </c>
      <c r="AA541" s="136">
        <f>IF(E541=$AA$6,1,"")</f>
        <v/>
      </c>
      <c r="AB541" s="136">
        <f>IF(E541=$AB$6,1,"")</f>
        <v/>
      </c>
      <c r="AC541" s="136">
        <f>IF(E541=$AC$6,1,"")</f>
        <v/>
      </c>
      <c r="AD541" s="136">
        <f>IF(E541=$AD$6,1,"")</f>
        <v/>
      </c>
      <c r="AE541" s="136">
        <f>IF(E541=$AE$6,1,"")</f>
        <v/>
      </c>
      <c r="AF541" s="136">
        <f>IF(E541=$AF$6,1,"")</f>
        <v/>
      </c>
      <c r="AG541" s="136">
        <f>IF(E541=$AG$6,1,"")</f>
        <v/>
      </c>
      <c r="AH541" s="136">
        <f>IF(E541=$AH$6,1,"")</f>
        <v/>
      </c>
      <c r="AI541" s="136">
        <f>IF(E541=$AI$6,1,"")</f>
        <v/>
      </c>
      <c r="AJ541" s="136">
        <f>IF(E541=$AJ$6,1,"")</f>
        <v/>
      </c>
      <c r="AK541" s="81">
        <f>IF(E541=$AK$6,1,"")</f>
        <v/>
      </c>
      <c r="AL541" s="81">
        <f>IF(E541=$AL$6,1,"")</f>
        <v/>
      </c>
      <c r="AM541" s="81">
        <f>IF(E541=$AM$6,1,"")</f>
        <v/>
      </c>
      <c r="AN541" s="81">
        <f>IF(E541=$AN$6,1,"")</f>
        <v/>
      </c>
      <c r="AO541" s="81">
        <f>IF(E541=$AO$6,1,"")</f>
        <v/>
      </c>
      <c r="AP541" s="81">
        <f>IF(E541=$AP$6,1,"")</f>
        <v/>
      </c>
      <c r="AQ541" s="81">
        <f>IF(E541=$AQ$6,1,"")</f>
        <v/>
      </c>
      <c r="AR541" s="81">
        <f>IF(E541=$AR$6,1,"")</f>
        <v/>
      </c>
      <c r="AS541" s="81" t="n"/>
    </row>
    <row r="542" ht="15.75" customHeight="1" s="80">
      <c r="A542" s="157" t="n"/>
      <c r="B542" s="124" t="n"/>
      <c r="C542" s="125" t="n"/>
      <c r="D542" s="126" t="n"/>
      <c r="E542" s="127" t="n"/>
      <c r="F542" s="128" t="n"/>
      <c r="G542" s="129">
        <f>IF(F542="","",ROUND(F542/60,2))</f>
        <v/>
      </c>
      <c r="H542" s="130" t="n"/>
      <c r="I542" s="131" t="n"/>
      <c r="J542" s="131">
        <f>IF(COUNTIF(B542:E542,"*")=0,"",IF(T542=1,"Invalid Service",IF(AND(V542=1,F542=""),"Add Session Mins",IF(AND(E542&gt;0,H542="",T542=""),"Enter Contract Rate",IF(AND(E542="IEP mtg, prep, rept",F542&gt;0),(G542*H542),IF(AND(E542&gt;0,F542&gt;0,H542&gt;0,I542=""),"Enter Travel",IF(AND(F542&gt;0,I542="Y"),(G542*H542)+$M$10,IF(AND(F542&gt;0,I542="N"),(G542*H542),H542))))))))</f>
        <v/>
      </c>
      <c r="K542" s="132">
        <f>J542</f>
        <v/>
      </c>
      <c r="L542" s="148" t="n"/>
      <c r="M542" s="148" t="n"/>
      <c r="N542" s="148" t="n"/>
      <c r="O542" s="87" t="n"/>
      <c r="P542" s="81" t="n"/>
      <c r="Q542" s="81" t="n"/>
      <c r="R542" s="81" t="n"/>
      <c r="S542" s="81" t="n"/>
      <c r="T542" s="136">
        <f>IF(AND(E542&gt;0,U542=0),1,"")</f>
        <v/>
      </c>
      <c r="U542" s="136">
        <f>SUM(X542:AR542)</f>
        <v/>
      </c>
      <c r="V542" s="136">
        <f>IF(E542=$Q$16,0,SUM(X542:AI542))</f>
        <v/>
      </c>
      <c r="W542" s="136">
        <f>SUM(AK542:AR542)</f>
        <v/>
      </c>
      <c r="X542" s="136">
        <f>IF(E542=$X$6,1,"")</f>
        <v/>
      </c>
      <c r="Y542" s="136">
        <f>IF(E542=$Y$6,1,"")</f>
        <v/>
      </c>
      <c r="Z542" s="136">
        <f>IF(E542=$Z$6,1,"")</f>
        <v/>
      </c>
      <c r="AA542" s="136">
        <f>IF(E542=$AA$6,1,"")</f>
        <v/>
      </c>
      <c r="AB542" s="136">
        <f>IF(E542=$AB$6,1,"")</f>
        <v/>
      </c>
      <c r="AC542" s="136">
        <f>IF(E542=$AC$6,1,"")</f>
        <v/>
      </c>
      <c r="AD542" s="136">
        <f>IF(E542=$AD$6,1,"")</f>
        <v/>
      </c>
      <c r="AE542" s="136">
        <f>IF(E542=$AE$6,1,"")</f>
        <v/>
      </c>
      <c r="AF542" s="136">
        <f>IF(E542=$AF$6,1,"")</f>
        <v/>
      </c>
      <c r="AG542" s="136">
        <f>IF(E542=$AG$6,1,"")</f>
        <v/>
      </c>
      <c r="AH542" s="136">
        <f>IF(E542=$AH$6,1,"")</f>
        <v/>
      </c>
      <c r="AI542" s="136">
        <f>IF(E542=$AI$6,1,"")</f>
        <v/>
      </c>
      <c r="AJ542" s="136">
        <f>IF(E542=$AJ$6,1,"")</f>
        <v/>
      </c>
      <c r="AK542" s="81">
        <f>IF(E542=$AK$6,1,"")</f>
        <v/>
      </c>
      <c r="AL542" s="81">
        <f>IF(E542=$AL$6,1,"")</f>
        <v/>
      </c>
      <c r="AM542" s="81">
        <f>IF(E542=$AM$6,1,"")</f>
        <v/>
      </c>
      <c r="AN542" s="81">
        <f>IF(E542=$AN$6,1,"")</f>
        <v/>
      </c>
      <c r="AO542" s="81">
        <f>IF(E542=$AO$6,1,"")</f>
        <v/>
      </c>
      <c r="AP542" s="81">
        <f>IF(E542=$AP$6,1,"")</f>
        <v/>
      </c>
      <c r="AQ542" s="81">
        <f>IF(E542=$AQ$6,1,"")</f>
        <v/>
      </c>
      <c r="AR542" s="81">
        <f>IF(E542=$AR$6,1,"")</f>
        <v/>
      </c>
      <c r="AS542" s="81" t="n"/>
    </row>
    <row r="543" ht="15.75" customHeight="1" s="80">
      <c r="A543" s="157" t="n"/>
      <c r="B543" s="124" t="n"/>
      <c r="C543" s="125" t="n"/>
      <c r="D543" s="126" t="n"/>
      <c r="E543" s="127" t="n"/>
      <c r="F543" s="128" t="n"/>
      <c r="G543" s="129">
        <f>IF(F543="","",ROUND(F543/60,2))</f>
        <v/>
      </c>
      <c r="H543" s="130" t="n"/>
      <c r="I543" s="131" t="n"/>
      <c r="J543" s="131">
        <f>IF(COUNTIF(B543:E543,"*")=0,"",IF(T543=1,"Invalid Service",IF(AND(V543=1,F543=""),"Add Session Mins",IF(AND(E543&gt;0,H543="",T543=""),"Enter Contract Rate",IF(AND(E543="IEP mtg, prep, rept",F543&gt;0),(G543*H543),IF(AND(E543&gt;0,F543&gt;0,H543&gt;0,I543=""),"Enter Travel",IF(AND(F543&gt;0,I543="Y"),(G543*H543)+$M$10,IF(AND(F543&gt;0,I543="N"),(G543*H543),H543))))))))</f>
        <v/>
      </c>
      <c r="K543" s="132">
        <f>J543</f>
        <v/>
      </c>
      <c r="L543" s="148" t="n"/>
      <c r="M543" s="148" t="n"/>
      <c r="N543" s="148" t="n"/>
      <c r="O543" s="87" t="n"/>
      <c r="P543" s="81" t="n"/>
      <c r="Q543" s="81" t="n"/>
      <c r="R543" s="81" t="n"/>
      <c r="S543" s="81" t="n"/>
      <c r="T543" s="136">
        <f>IF(AND(E543&gt;0,U543=0),1,"")</f>
        <v/>
      </c>
      <c r="U543" s="136">
        <f>SUM(X543:AR543)</f>
        <v/>
      </c>
      <c r="V543" s="136">
        <f>IF(E543=$Q$16,0,SUM(X543:AI543))</f>
        <v/>
      </c>
      <c r="W543" s="136">
        <f>SUM(AK543:AR543)</f>
        <v/>
      </c>
      <c r="X543" s="136">
        <f>IF(E543=$X$6,1,"")</f>
        <v/>
      </c>
      <c r="Y543" s="136">
        <f>IF(E543=$Y$6,1,"")</f>
        <v/>
      </c>
      <c r="Z543" s="136">
        <f>IF(E543=$Z$6,1,"")</f>
        <v/>
      </c>
      <c r="AA543" s="136">
        <f>IF(E543=$AA$6,1,"")</f>
        <v/>
      </c>
      <c r="AB543" s="136">
        <f>IF(E543=$AB$6,1,"")</f>
        <v/>
      </c>
      <c r="AC543" s="136">
        <f>IF(E543=$AC$6,1,"")</f>
        <v/>
      </c>
      <c r="AD543" s="136">
        <f>IF(E543=$AD$6,1,"")</f>
        <v/>
      </c>
      <c r="AE543" s="136">
        <f>IF(E543=$AE$6,1,"")</f>
        <v/>
      </c>
      <c r="AF543" s="136">
        <f>IF(E543=$AF$6,1,"")</f>
        <v/>
      </c>
      <c r="AG543" s="136">
        <f>IF(E543=$AG$6,1,"")</f>
        <v/>
      </c>
      <c r="AH543" s="136">
        <f>IF(E543=$AH$6,1,"")</f>
        <v/>
      </c>
      <c r="AI543" s="136">
        <f>IF(E543=$AI$6,1,"")</f>
        <v/>
      </c>
      <c r="AJ543" s="136">
        <f>IF(E543=$AJ$6,1,"")</f>
        <v/>
      </c>
      <c r="AK543" s="81">
        <f>IF(E543=$AK$6,1,"")</f>
        <v/>
      </c>
      <c r="AL543" s="81">
        <f>IF(E543=$AL$6,1,"")</f>
        <v/>
      </c>
      <c r="AM543" s="81">
        <f>IF(E543=$AM$6,1,"")</f>
        <v/>
      </c>
      <c r="AN543" s="81">
        <f>IF(E543=$AN$6,1,"")</f>
        <v/>
      </c>
      <c r="AO543" s="81">
        <f>IF(E543=$AO$6,1,"")</f>
        <v/>
      </c>
      <c r="AP543" s="81">
        <f>IF(E543=$AP$6,1,"")</f>
        <v/>
      </c>
      <c r="AQ543" s="81">
        <f>IF(E543=$AQ$6,1,"")</f>
        <v/>
      </c>
      <c r="AR543" s="81">
        <f>IF(E543=$AR$6,1,"")</f>
        <v/>
      </c>
      <c r="AS543" s="81" t="n"/>
    </row>
    <row r="544" ht="15.75" customHeight="1" s="80">
      <c r="A544" s="157" t="n"/>
      <c r="B544" s="124" t="n"/>
      <c r="C544" s="125" t="n"/>
      <c r="D544" s="126" t="n"/>
      <c r="E544" s="127" t="n"/>
      <c r="F544" s="128" t="n"/>
      <c r="G544" s="129">
        <f>IF(F544="","",ROUND(F544/60,2))</f>
        <v/>
      </c>
      <c r="H544" s="130" t="n"/>
      <c r="I544" s="131" t="n"/>
      <c r="J544" s="131">
        <f>IF(COUNTIF(B544:E544,"*")=0,"",IF(T544=1,"Invalid Service",IF(AND(V544=1,F544=""),"Add Session Mins",IF(AND(E544&gt;0,H544="",T544=""),"Enter Contract Rate",IF(AND(E544="IEP mtg, prep, rept",F544&gt;0),(G544*H544),IF(AND(E544&gt;0,F544&gt;0,H544&gt;0,I544=""),"Enter Travel",IF(AND(F544&gt;0,I544="Y"),(G544*H544)+$M$10,IF(AND(F544&gt;0,I544="N"),(G544*H544),H544))))))))</f>
        <v/>
      </c>
      <c r="K544" s="132">
        <f>J544</f>
        <v/>
      </c>
      <c r="L544" s="148" t="n"/>
      <c r="M544" s="148" t="n"/>
      <c r="N544" s="148" t="n"/>
      <c r="O544" s="87" t="n"/>
      <c r="P544" s="81" t="n"/>
      <c r="Q544" s="81" t="n"/>
      <c r="R544" s="81" t="n"/>
      <c r="S544" s="81" t="n"/>
      <c r="T544" s="136">
        <f>IF(AND(E544&gt;0,U544=0),1,"")</f>
        <v/>
      </c>
      <c r="U544" s="136">
        <f>SUM(X544:AR544)</f>
        <v/>
      </c>
      <c r="V544" s="136">
        <f>IF(E544=$Q$16,0,SUM(X544:AI544))</f>
        <v/>
      </c>
      <c r="W544" s="136">
        <f>SUM(AK544:AR544)</f>
        <v/>
      </c>
      <c r="X544" s="136">
        <f>IF(E544=$X$6,1,"")</f>
        <v/>
      </c>
      <c r="Y544" s="136">
        <f>IF(E544=$Y$6,1,"")</f>
        <v/>
      </c>
      <c r="Z544" s="136">
        <f>IF(E544=$Z$6,1,"")</f>
        <v/>
      </c>
      <c r="AA544" s="136">
        <f>IF(E544=$AA$6,1,"")</f>
        <v/>
      </c>
      <c r="AB544" s="136">
        <f>IF(E544=$AB$6,1,"")</f>
        <v/>
      </c>
      <c r="AC544" s="136">
        <f>IF(E544=$AC$6,1,"")</f>
        <v/>
      </c>
      <c r="AD544" s="136">
        <f>IF(E544=$AD$6,1,"")</f>
        <v/>
      </c>
      <c r="AE544" s="136">
        <f>IF(E544=$AE$6,1,"")</f>
        <v/>
      </c>
      <c r="AF544" s="136">
        <f>IF(E544=$AF$6,1,"")</f>
        <v/>
      </c>
      <c r="AG544" s="136">
        <f>IF(E544=$AG$6,1,"")</f>
        <v/>
      </c>
      <c r="AH544" s="136">
        <f>IF(E544=$AH$6,1,"")</f>
        <v/>
      </c>
      <c r="AI544" s="136">
        <f>IF(E544=$AI$6,1,"")</f>
        <v/>
      </c>
      <c r="AJ544" s="136">
        <f>IF(E544=$AJ$6,1,"")</f>
        <v/>
      </c>
      <c r="AK544" s="81">
        <f>IF(E544=$AK$6,1,"")</f>
        <v/>
      </c>
      <c r="AL544" s="81">
        <f>IF(E544=$AL$6,1,"")</f>
        <v/>
      </c>
      <c r="AM544" s="81">
        <f>IF(E544=$AM$6,1,"")</f>
        <v/>
      </c>
      <c r="AN544" s="81">
        <f>IF(E544=$AN$6,1,"")</f>
        <v/>
      </c>
      <c r="AO544" s="81">
        <f>IF(E544=$AO$6,1,"")</f>
        <v/>
      </c>
      <c r="AP544" s="81">
        <f>IF(E544=$AP$6,1,"")</f>
        <v/>
      </c>
      <c r="AQ544" s="81">
        <f>IF(E544=$AQ$6,1,"")</f>
        <v/>
      </c>
      <c r="AR544" s="81">
        <f>IF(E544=$AR$6,1,"")</f>
        <v/>
      </c>
      <c r="AS544" s="81" t="n"/>
    </row>
    <row r="545" ht="15.75" customHeight="1" s="80">
      <c r="A545" s="157" t="n"/>
      <c r="B545" s="124" t="n"/>
      <c r="C545" s="125" t="n"/>
      <c r="D545" s="126" t="n"/>
      <c r="E545" s="127" t="n"/>
      <c r="F545" s="128" t="n"/>
      <c r="G545" s="129">
        <f>IF(F545="","",ROUND(F545/60,2))</f>
        <v/>
      </c>
      <c r="H545" s="130" t="n"/>
      <c r="I545" s="131" t="n"/>
      <c r="J545" s="131">
        <f>IF(COUNTIF(B545:E545,"*")=0,"",IF(T545=1,"Invalid Service",IF(AND(V545=1,F545=""),"Add Session Mins",IF(AND(E545&gt;0,H545="",T545=""),"Enter Contract Rate",IF(AND(E545="IEP mtg, prep, rept",F545&gt;0),(G545*H545),IF(AND(E545&gt;0,F545&gt;0,H545&gt;0,I545=""),"Enter Travel",IF(AND(F545&gt;0,I545="Y"),(G545*H545)+$M$10,IF(AND(F545&gt;0,I545="N"),(G545*H545),H545))))))))</f>
        <v/>
      </c>
      <c r="K545" s="132">
        <f>J545</f>
        <v/>
      </c>
      <c r="L545" s="148" t="n"/>
      <c r="M545" s="148" t="n"/>
      <c r="N545" s="148" t="n"/>
      <c r="O545" s="87" t="n"/>
      <c r="P545" s="81" t="n"/>
      <c r="Q545" s="81" t="n"/>
      <c r="R545" s="81" t="n"/>
      <c r="S545" s="81" t="n"/>
      <c r="T545" s="136">
        <f>IF(AND(E545&gt;0,U545=0),1,"")</f>
        <v/>
      </c>
      <c r="U545" s="136">
        <f>SUM(X545:AR545)</f>
        <v/>
      </c>
      <c r="V545" s="136">
        <f>IF(E545=$Q$16,0,SUM(X545:AI545))</f>
        <v/>
      </c>
      <c r="W545" s="136">
        <f>SUM(AK545:AR545)</f>
        <v/>
      </c>
      <c r="X545" s="136">
        <f>IF(E545=$X$6,1,"")</f>
        <v/>
      </c>
      <c r="Y545" s="136">
        <f>IF(E545=$Y$6,1,"")</f>
        <v/>
      </c>
      <c r="Z545" s="136">
        <f>IF(E545=$Z$6,1,"")</f>
        <v/>
      </c>
      <c r="AA545" s="136">
        <f>IF(E545=$AA$6,1,"")</f>
        <v/>
      </c>
      <c r="AB545" s="136">
        <f>IF(E545=$AB$6,1,"")</f>
        <v/>
      </c>
      <c r="AC545" s="136">
        <f>IF(E545=$AC$6,1,"")</f>
        <v/>
      </c>
      <c r="AD545" s="136">
        <f>IF(E545=$AD$6,1,"")</f>
        <v/>
      </c>
      <c r="AE545" s="136">
        <f>IF(E545=$AE$6,1,"")</f>
        <v/>
      </c>
      <c r="AF545" s="136">
        <f>IF(E545=$AF$6,1,"")</f>
        <v/>
      </c>
      <c r="AG545" s="136">
        <f>IF(E545=$AG$6,1,"")</f>
        <v/>
      </c>
      <c r="AH545" s="136">
        <f>IF(E545=$AH$6,1,"")</f>
        <v/>
      </c>
      <c r="AI545" s="136">
        <f>IF(E545=$AI$6,1,"")</f>
        <v/>
      </c>
      <c r="AJ545" s="136">
        <f>IF(E545=$AJ$6,1,"")</f>
        <v/>
      </c>
      <c r="AK545" s="81">
        <f>IF(E545=$AK$6,1,"")</f>
        <v/>
      </c>
      <c r="AL545" s="81">
        <f>IF(E545=$AL$6,1,"")</f>
        <v/>
      </c>
      <c r="AM545" s="81">
        <f>IF(E545=$AM$6,1,"")</f>
        <v/>
      </c>
      <c r="AN545" s="81">
        <f>IF(E545=$AN$6,1,"")</f>
        <v/>
      </c>
      <c r="AO545" s="81">
        <f>IF(E545=$AO$6,1,"")</f>
        <v/>
      </c>
      <c r="AP545" s="81">
        <f>IF(E545=$AP$6,1,"")</f>
        <v/>
      </c>
      <c r="AQ545" s="81">
        <f>IF(E545=$AQ$6,1,"")</f>
        <v/>
      </c>
      <c r="AR545" s="81">
        <f>IF(E545=$AR$6,1,"")</f>
        <v/>
      </c>
      <c r="AS545" s="81" t="n"/>
    </row>
    <row r="546" ht="15.75" customHeight="1" s="80">
      <c r="A546" s="157" t="n"/>
      <c r="B546" s="124" t="n"/>
      <c r="C546" s="125" t="n"/>
      <c r="D546" s="126" t="n"/>
      <c r="E546" s="127" t="n"/>
      <c r="F546" s="128" t="n"/>
      <c r="G546" s="129">
        <f>IF(F546="","",ROUND(F546/60,2))</f>
        <v/>
      </c>
      <c r="H546" s="130" t="n"/>
      <c r="I546" s="131" t="n"/>
      <c r="J546" s="131">
        <f>IF(COUNTIF(B546:E546,"*")=0,"",IF(T546=1,"Invalid Service",IF(AND(V546=1,F546=""),"Add Session Mins",IF(AND(E546&gt;0,H546="",T546=""),"Enter Contract Rate",IF(AND(E546="IEP mtg, prep, rept",F546&gt;0),(G546*H546),IF(AND(E546&gt;0,F546&gt;0,H546&gt;0,I546=""),"Enter Travel",IF(AND(F546&gt;0,I546="Y"),(G546*H546)+$M$10,IF(AND(F546&gt;0,I546="N"),(G546*H546),H546))))))))</f>
        <v/>
      </c>
      <c r="K546" s="132">
        <f>J546</f>
        <v/>
      </c>
      <c r="L546" s="148" t="n"/>
      <c r="M546" s="148" t="n"/>
      <c r="N546" s="148" t="n"/>
      <c r="O546" s="87" t="n"/>
      <c r="P546" s="81" t="n"/>
      <c r="Q546" s="81" t="n"/>
      <c r="R546" s="81" t="n"/>
      <c r="S546" s="81" t="n"/>
      <c r="T546" s="136">
        <f>IF(AND(E546&gt;0,U546=0),1,"")</f>
        <v/>
      </c>
      <c r="U546" s="136">
        <f>SUM(X546:AR546)</f>
        <v/>
      </c>
      <c r="V546" s="136">
        <f>IF(E546=$Q$16,0,SUM(X546:AI546))</f>
        <v/>
      </c>
      <c r="W546" s="136">
        <f>SUM(AK546:AR546)</f>
        <v/>
      </c>
      <c r="X546" s="136">
        <f>IF(E546=$X$6,1,"")</f>
        <v/>
      </c>
      <c r="Y546" s="136">
        <f>IF(E546=$Y$6,1,"")</f>
        <v/>
      </c>
      <c r="Z546" s="136">
        <f>IF(E546=$Z$6,1,"")</f>
        <v/>
      </c>
      <c r="AA546" s="136">
        <f>IF(E546=$AA$6,1,"")</f>
        <v/>
      </c>
      <c r="AB546" s="136">
        <f>IF(E546=$AB$6,1,"")</f>
        <v/>
      </c>
      <c r="AC546" s="136">
        <f>IF(E546=$AC$6,1,"")</f>
        <v/>
      </c>
      <c r="AD546" s="136">
        <f>IF(E546=$AD$6,1,"")</f>
        <v/>
      </c>
      <c r="AE546" s="136">
        <f>IF(E546=$AE$6,1,"")</f>
        <v/>
      </c>
      <c r="AF546" s="136">
        <f>IF(E546=$AF$6,1,"")</f>
        <v/>
      </c>
      <c r="AG546" s="136">
        <f>IF(E546=$AG$6,1,"")</f>
        <v/>
      </c>
      <c r="AH546" s="136">
        <f>IF(E546=$AH$6,1,"")</f>
        <v/>
      </c>
      <c r="AI546" s="136">
        <f>IF(E546=$AI$6,1,"")</f>
        <v/>
      </c>
      <c r="AJ546" s="136">
        <f>IF(E546=$AJ$6,1,"")</f>
        <v/>
      </c>
      <c r="AK546" s="81">
        <f>IF(E546=$AK$6,1,"")</f>
        <v/>
      </c>
      <c r="AL546" s="81">
        <f>IF(E546=$AL$6,1,"")</f>
        <v/>
      </c>
      <c r="AM546" s="81">
        <f>IF(E546=$AM$6,1,"")</f>
        <v/>
      </c>
      <c r="AN546" s="81">
        <f>IF(E546=$AN$6,1,"")</f>
        <v/>
      </c>
      <c r="AO546" s="81">
        <f>IF(E546=$AO$6,1,"")</f>
        <v/>
      </c>
      <c r="AP546" s="81">
        <f>IF(E546=$AP$6,1,"")</f>
        <v/>
      </c>
      <c r="AQ546" s="81">
        <f>IF(E546=$AQ$6,1,"")</f>
        <v/>
      </c>
      <c r="AR546" s="81">
        <f>IF(E546=$AR$6,1,"")</f>
        <v/>
      </c>
      <c r="AS546" s="81" t="n"/>
    </row>
    <row r="547" ht="15.75" customHeight="1" s="80">
      <c r="A547" s="157" t="n"/>
      <c r="B547" s="124" t="n"/>
      <c r="C547" s="125" t="n"/>
      <c r="D547" s="126" t="n"/>
      <c r="E547" s="127" t="n"/>
      <c r="F547" s="128" t="n"/>
      <c r="G547" s="129">
        <f>IF(F547="","",ROUND(F547/60,2))</f>
        <v/>
      </c>
      <c r="H547" s="130" t="n"/>
      <c r="I547" s="131" t="n"/>
      <c r="J547" s="131">
        <f>IF(COUNTIF(B547:E547,"*")=0,"",IF(T547=1,"Invalid Service",IF(AND(V547=1,F547=""),"Add Session Mins",IF(AND(E547&gt;0,H547="",T547=""),"Enter Contract Rate",IF(AND(E547="IEP mtg, prep, rept",F547&gt;0),(G547*H547),IF(AND(E547&gt;0,F547&gt;0,H547&gt;0,I547=""),"Enter Travel",IF(AND(F547&gt;0,I547="Y"),(G547*H547)+$M$10,IF(AND(F547&gt;0,I547="N"),(G547*H547),H547))))))))</f>
        <v/>
      </c>
      <c r="K547" s="132">
        <f>J547</f>
        <v/>
      </c>
      <c r="L547" s="148" t="n"/>
      <c r="M547" s="148" t="n"/>
      <c r="N547" s="148" t="n"/>
      <c r="O547" s="87" t="n"/>
      <c r="P547" s="81" t="n"/>
      <c r="Q547" s="81" t="n"/>
      <c r="R547" s="81" t="n"/>
      <c r="S547" s="81" t="n"/>
      <c r="T547" s="136">
        <f>IF(AND(E547&gt;0,U547=0),1,"")</f>
        <v/>
      </c>
      <c r="U547" s="136">
        <f>SUM(X547:AR547)</f>
        <v/>
      </c>
      <c r="V547" s="136">
        <f>IF(E547=$Q$16,0,SUM(X547:AI547))</f>
        <v/>
      </c>
      <c r="W547" s="136">
        <f>SUM(AK547:AR547)</f>
        <v/>
      </c>
      <c r="X547" s="136">
        <f>IF(E547=$X$6,1,"")</f>
        <v/>
      </c>
      <c r="Y547" s="136">
        <f>IF(E547=$Y$6,1,"")</f>
        <v/>
      </c>
      <c r="Z547" s="136">
        <f>IF(E547=$Z$6,1,"")</f>
        <v/>
      </c>
      <c r="AA547" s="136">
        <f>IF(E547=$AA$6,1,"")</f>
        <v/>
      </c>
      <c r="AB547" s="136">
        <f>IF(E547=$AB$6,1,"")</f>
        <v/>
      </c>
      <c r="AC547" s="136">
        <f>IF(E547=$AC$6,1,"")</f>
        <v/>
      </c>
      <c r="AD547" s="136">
        <f>IF(E547=$AD$6,1,"")</f>
        <v/>
      </c>
      <c r="AE547" s="136">
        <f>IF(E547=$AE$6,1,"")</f>
        <v/>
      </c>
      <c r="AF547" s="136">
        <f>IF(E547=$AF$6,1,"")</f>
        <v/>
      </c>
      <c r="AG547" s="136">
        <f>IF(E547=$AG$6,1,"")</f>
        <v/>
      </c>
      <c r="AH547" s="136">
        <f>IF(E547=$AH$6,1,"")</f>
        <v/>
      </c>
      <c r="AI547" s="136">
        <f>IF(E547=$AI$6,1,"")</f>
        <v/>
      </c>
      <c r="AJ547" s="136">
        <f>IF(E547=$AJ$6,1,"")</f>
        <v/>
      </c>
      <c r="AK547" s="81">
        <f>IF(E547=$AK$6,1,"")</f>
        <v/>
      </c>
      <c r="AL547" s="81">
        <f>IF(E547=$AL$6,1,"")</f>
        <v/>
      </c>
      <c r="AM547" s="81">
        <f>IF(E547=$AM$6,1,"")</f>
        <v/>
      </c>
      <c r="AN547" s="81">
        <f>IF(E547=$AN$6,1,"")</f>
        <v/>
      </c>
      <c r="AO547" s="81">
        <f>IF(E547=$AO$6,1,"")</f>
        <v/>
      </c>
      <c r="AP547" s="81">
        <f>IF(E547=$AP$6,1,"")</f>
        <v/>
      </c>
      <c r="AQ547" s="81">
        <f>IF(E547=$AQ$6,1,"")</f>
        <v/>
      </c>
      <c r="AR547" s="81">
        <f>IF(E547=$AR$6,1,"")</f>
        <v/>
      </c>
      <c r="AS547" s="81" t="n"/>
    </row>
    <row r="548" ht="15.75" customHeight="1" s="80">
      <c r="A548" s="157" t="n"/>
      <c r="B548" s="124" t="n"/>
      <c r="C548" s="125" t="n"/>
      <c r="D548" s="126" t="n"/>
      <c r="E548" s="127" t="n"/>
      <c r="F548" s="128" t="n"/>
      <c r="G548" s="129">
        <f>IF(F548="","",ROUND(F548/60,2))</f>
        <v/>
      </c>
      <c r="H548" s="130" t="n"/>
      <c r="I548" s="131" t="n"/>
      <c r="J548" s="131">
        <f>IF(COUNTIF(B548:E548,"*")=0,"",IF(T548=1,"Invalid Service",IF(AND(V548=1,F548=""),"Add Session Mins",IF(AND(E548&gt;0,H548="",T548=""),"Enter Contract Rate",IF(AND(E548="IEP mtg, prep, rept",F548&gt;0),(G548*H548),IF(AND(E548&gt;0,F548&gt;0,H548&gt;0,I548=""),"Enter Travel",IF(AND(F548&gt;0,I548="Y"),(G548*H548)+$M$10,IF(AND(F548&gt;0,I548="N"),(G548*H548),H548))))))))</f>
        <v/>
      </c>
      <c r="K548" s="132">
        <f>J548</f>
        <v/>
      </c>
      <c r="L548" s="148" t="n"/>
      <c r="M548" s="148" t="n"/>
      <c r="N548" s="148" t="n"/>
      <c r="O548" s="87" t="n"/>
      <c r="P548" s="81" t="n"/>
      <c r="Q548" s="81" t="n"/>
      <c r="R548" s="81" t="n"/>
      <c r="S548" s="81" t="n"/>
      <c r="T548" s="136">
        <f>IF(AND(E548&gt;0,U548=0),1,"")</f>
        <v/>
      </c>
      <c r="U548" s="136">
        <f>SUM(X548:AR548)</f>
        <v/>
      </c>
      <c r="V548" s="136">
        <f>IF(E548=$Q$16,0,SUM(X548:AI548))</f>
        <v/>
      </c>
      <c r="W548" s="136">
        <f>SUM(AK548:AR548)</f>
        <v/>
      </c>
      <c r="X548" s="136">
        <f>IF(E548=$X$6,1,"")</f>
        <v/>
      </c>
      <c r="Y548" s="136">
        <f>IF(E548=$Y$6,1,"")</f>
        <v/>
      </c>
      <c r="Z548" s="136">
        <f>IF(E548=$Z$6,1,"")</f>
        <v/>
      </c>
      <c r="AA548" s="136">
        <f>IF(E548=$AA$6,1,"")</f>
        <v/>
      </c>
      <c r="AB548" s="136">
        <f>IF(E548=$AB$6,1,"")</f>
        <v/>
      </c>
      <c r="AC548" s="136">
        <f>IF(E548=$AC$6,1,"")</f>
        <v/>
      </c>
      <c r="AD548" s="136">
        <f>IF(E548=$AD$6,1,"")</f>
        <v/>
      </c>
      <c r="AE548" s="136">
        <f>IF(E548=$AE$6,1,"")</f>
        <v/>
      </c>
      <c r="AF548" s="136">
        <f>IF(E548=$AF$6,1,"")</f>
        <v/>
      </c>
      <c r="AG548" s="136">
        <f>IF(E548=$AG$6,1,"")</f>
        <v/>
      </c>
      <c r="AH548" s="136">
        <f>IF(E548=$AH$6,1,"")</f>
        <v/>
      </c>
      <c r="AI548" s="136">
        <f>IF(E548=$AI$6,1,"")</f>
        <v/>
      </c>
      <c r="AJ548" s="136">
        <f>IF(E548=$AJ$6,1,"")</f>
        <v/>
      </c>
      <c r="AK548" s="81">
        <f>IF(E548=$AK$6,1,"")</f>
        <v/>
      </c>
      <c r="AL548" s="81">
        <f>IF(E548=$AL$6,1,"")</f>
        <v/>
      </c>
      <c r="AM548" s="81">
        <f>IF(E548=$AM$6,1,"")</f>
        <v/>
      </c>
      <c r="AN548" s="81">
        <f>IF(E548=$AN$6,1,"")</f>
        <v/>
      </c>
      <c r="AO548" s="81">
        <f>IF(E548=$AO$6,1,"")</f>
        <v/>
      </c>
      <c r="AP548" s="81">
        <f>IF(E548=$AP$6,1,"")</f>
        <v/>
      </c>
      <c r="AQ548" s="81">
        <f>IF(E548=$AQ$6,1,"")</f>
        <v/>
      </c>
      <c r="AR548" s="81">
        <f>IF(E548=$AR$6,1,"")</f>
        <v/>
      </c>
      <c r="AS548" s="81" t="n"/>
    </row>
    <row r="549" ht="15.75" customHeight="1" s="80">
      <c r="A549" s="157" t="n"/>
      <c r="B549" s="124" t="n"/>
      <c r="C549" s="125" t="n"/>
      <c r="D549" s="126" t="n"/>
      <c r="E549" s="127" t="n"/>
      <c r="F549" s="128" t="n"/>
      <c r="G549" s="129">
        <f>IF(F549="","",ROUND(F549/60,2))</f>
        <v/>
      </c>
      <c r="H549" s="130" t="n"/>
      <c r="I549" s="131" t="n"/>
      <c r="J549" s="131">
        <f>IF(COUNTIF(B549:E549,"*")=0,"",IF(T549=1,"Invalid Service",IF(AND(V549=1,F549=""),"Add Session Mins",IF(AND(E549&gt;0,H549="",T549=""),"Enter Contract Rate",IF(AND(E549="IEP mtg, prep, rept",F549&gt;0),(G549*H549),IF(AND(E549&gt;0,F549&gt;0,H549&gt;0,I549=""),"Enter Travel",IF(AND(F549&gt;0,I549="Y"),(G549*H549)+$M$10,IF(AND(F549&gt;0,I549="N"),(G549*H549),H549))))))))</f>
        <v/>
      </c>
      <c r="K549" s="132">
        <f>J549</f>
        <v/>
      </c>
      <c r="L549" s="148" t="n"/>
      <c r="M549" s="148" t="n"/>
      <c r="N549" s="148" t="n"/>
      <c r="O549" s="87" t="n"/>
      <c r="P549" s="81" t="n"/>
      <c r="Q549" s="81" t="n"/>
      <c r="R549" s="81" t="n"/>
      <c r="S549" s="81" t="n"/>
      <c r="T549" s="136">
        <f>IF(AND(E549&gt;0,U549=0),1,"")</f>
        <v/>
      </c>
      <c r="U549" s="136">
        <f>SUM(X549:AR549)</f>
        <v/>
      </c>
      <c r="V549" s="136">
        <f>IF(E549=$Q$16,0,SUM(X549:AI549))</f>
        <v/>
      </c>
      <c r="W549" s="136">
        <f>SUM(AK549:AR549)</f>
        <v/>
      </c>
      <c r="X549" s="136">
        <f>IF(E549=$X$6,1,"")</f>
        <v/>
      </c>
      <c r="Y549" s="136">
        <f>IF(E549=$Y$6,1,"")</f>
        <v/>
      </c>
      <c r="Z549" s="136">
        <f>IF(E549=$Z$6,1,"")</f>
        <v/>
      </c>
      <c r="AA549" s="136">
        <f>IF(E549=$AA$6,1,"")</f>
        <v/>
      </c>
      <c r="AB549" s="136">
        <f>IF(E549=$AB$6,1,"")</f>
        <v/>
      </c>
      <c r="AC549" s="136">
        <f>IF(E549=$AC$6,1,"")</f>
        <v/>
      </c>
      <c r="AD549" s="136">
        <f>IF(E549=$AD$6,1,"")</f>
        <v/>
      </c>
      <c r="AE549" s="136">
        <f>IF(E549=$AE$6,1,"")</f>
        <v/>
      </c>
      <c r="AF549" s="136">
        <f>IF(E549=$AF$6,1,"")</f>
        <v/>
      </c>
      <c r="AG549" s="136">
        <f>IF(E549=$AG$6,1,"")</f>
        <v/>
      </c>
      <c r="AH549" s="136">
        <f>IF(E549=$AH$6,1,"")</f>
        <v/>
      </c>
      <c r="AI549" s="136">
        <f>IF(E549=$AI$6,1,"")</f>
        <v/>
      </c>
      <c r="AJ549" s="136">
        <f>IF(E549=$AJ$6,1,"")</f>
        <v/>
      </c>
      <c r="AK549" s="81">
        <f>IF(E549=$AK$6,1,"")</f>
        <v/>
      </c>
      <c r="AL549" s="81">
        <f>IF(E549=$AL$6,1,"")</f>
        <v/>
      </c>
      <c r="AM549" s="81">
        <f>IF(E549=$AM$6,1,"")</f>
        <v/>
      </c>
      <c r="AN549" s="81">
        <f>IF(E549=$AN$6,1,"")</f>
        <v/>
      </c>
      <c r="AO549" s="81">
        <f>IF(E549=$AO$6,1,"")</f>
        <v/>
      </c>
      <c r="AP549" s="81">
        <f>IF(E549=$AP$6,1,"")</f>
        <v/>
      </c>
      <c r="AQ549" s="81">
        <f>IF(E549=$AQ$6,1,"")</f>
        <v/>
      </c>
      <c r="AR549" s="81">
        <f>IF(E549=$AR$6,1,"")</f>
        <v/>
      </c>
      <c r="AS549" s="81" t="n"/>
    </row>
    <row r="550" ht="15.75" customHeight="1" s="80">
      <c r="A550" s="157" t="n"/>
      <c r="B550" s="124" t="n"/>
      <c r="C550" s="125" t="n"/>
      <c r="D550" s="126" t="n"/>
      <c r="E550" s="127" t="n"/>
      <c r="F550" s="128" t="n"/>
      <c r="G550" s="129">
        <f>IF(F550="","",ROUND(F550/60,2))</f>
        <v/>
      </c>
      <c r="H550" s="130" t="n"/>
      <c r="I550" s="131" t="n"/>
      <c r="J550" s="131">
        <f>IF(COUNTIF(B550:E550,"*")=0,"",IF(T550=1,"Invalid Service",IF(AND(V550=1,F550=""),"Add Session Mins",IF(AND(E550&gt;0,H550="",T550=""),"Enter Contract Rate",IF(AND(E550="IEP mtg, prep, rept",F550&gt;0),(G550*H550),IF(AND(E550&gt;0,F550&gt;0,H550&gt;0,I550=""),"Enter Travel",IF(AND(F550&gt;0,I550="Y"),(G550*H550)+$M$10,IF(AND(F550&gt;0,I550="N"),(G550*H550),H550))))))))</f>
        <v/>
      </c>
      <c r="K550" s="132">
        <f>J550</f>
        <v/>
      </c>
      <c r="L550" s="148" t="n"/>
      <c r="M550" s="148" t="n"/>
      <c r="N550" s="148" t="n"/>
      <c r="O550" s="87" t="n"/>
      <c r="P550" s="81" t="n"/>
      <c r="Q550" s="81" t="n"/>
      <c r="R550" s="81" t="n"/>
      <c r="S550" s="81" t="n"/>
      <c r="T550" s="136">
        <f>IF(AND(E550&gt;0,U550=0),1,"")</f>
        <v/>
      </c>
      <c r="U550" s="136">
        <f>SUM(X550:AR550)</f>
        <v/>
      </c>
      <c r="V550" s="136">
        <f>IF(E550=$Q$16,0,SUM(X550:AI550))</f>
        <v/>
      </c>
      <c r="W550" s="136">
        <f>SUM(AK550:AR550)</f>
        <v/>
      </c>
      <c r="X550" s="136">
        <f>IF(E550=$X$6,1,"")</f>
        <v/>
      </c>
      <c r="Y550" s="136">
        <f>IF(E550=$Y$6,1,"")</f>
        <v/>
      </c>
      <c r="Z550" s="136">
        <f>IF(E550=$Z$6,1,"")</f>
        <v/>
      </c>
      <c r="AA550" s="136">
        <f>IF(E550=$AA$6,1,"")</f>
        <v/>
      </c>
      <c r="AB550" s="136">
        <f>IF(E550=$AB$6,1,"")</f>
        <v/>
      </c>
      <c r="AC550" s="136">
        <f>IF(E550=$AC$6,1,"")</f>
        <v/>
      </c>
      <c r="AD550" s="136">
        <f>IF(E550=$AD$6,1,"")</f>
        <v/>
      </c>
      <c r="AE550" s="136">
        <f>IF(E550=$AE$6,1,"")</f>
        <v/>
      </c>
      <c r="AF550" s="136">
        <f>IF(E550=$AF$6,1,"")</f>
        <v/>
      </c>
      <c r="AG550" s="136">
        <f>IF(E550=$AG$6,1,"")</f>
        <v/>
      </c>
      <c r="AH550" s="136">
        <f>IF(E550=$AH$6,1,"")</f>
        <v/>
      </c>
      <c r="AI550" s="136">
        <f>IF(E550=$AI$6,1,"")</f>
        <v/>
      </c>
      <c r="AJ550" s="136">
        <f>IF(E550=$AJ$6,1,"")</f>
        <v/>
      </c>
      <c r="AK550" s="81">
        <f>IF(E550=$AK$6,1,"")</f>
        <v/>
      </c>
      <c r="AL550" s="81">
        <f>IF(E550=$AL$6,1,"")</f>
        <v/>
      </c>
      <c r="AM550" s="81">
        <f>IF(E550=$AM$6,1,"")</f>
        <v/>
      </c>
      <c r="AN550" s="81">
        <f>IF(E550=$AN$6,1,"")</f>
        <v/>
      </c>
      <c r="AO550" s="81">
        <f>IF(E550=$AO$6,1,"")</f>
        <v/>
      </c>
      <c r="AP550" s="81">
        <f>IF(E550=$AP$6,1,"")</f>
        <v/>
      </c>
      <c r="AQ550" s="81">
        <f>IF(E550=$AQ$6,1,"")</f>
        <v/>
      </c>
      <c r="AR550" s="81">
        <f>IF(E550=$AR$6,1,"")</f>
        <v/>
      </c>
      <c r="AS550" s="81" t="n"/>
    </row>
    <row r="551" ht="15.75" customHeight="1" s="80">
      <c r="A551" s="157" t="n"/>
      <c r="B551" s="124" t="n"/>
      <c r="C551" s="125" t="n"/>
      <c r="D551" s="126" t="n"/>
      <c r="E551" s="127" t="n"/>
      <c r="F551" s="128" t="n"/>
      <c r="G551" s="129">
        <f>IF(F551="","",ROUND(F551/60,2))</f>
        <v/>
      </c>
      <c r="H551" s="130" t="n"/>
      <c r="I551" s="131" t="n"/>
      <c r="J551" s="131">
        <f>IF(COUNTIF(B551:E551,"*")=0,"",IF(T551=1,"Invalid Service",IF(AND(V551=1,F551=""),"Add Session Mins",IF(AND(E551&gt;0,H551="",T551=""),"Enter Contract Rate",IF(AND(E551="IEP mtg, prep, rept",F551&gt;0),(G551*H551),IF(AND(E551&gt;0,F551&gt;0,H551&gt;0,I551=""),"Enter Travel",IF(AND(F551&gt;0,I551="Y"),(G551*H551)+$M$10,IF(AND(F551&gt;0,I551="N"),(G551*H551),H551))))))))</f>
        <v/>
      </c>
      <c r="K551" s="132">
        <f>J551</f>
        <v/>
      </c>
      <c r="L551" s="148" t="n"/>
      <c r="M551" s="148" t="n"/>
      <c r="N551" s="148" t="n"/>
      <c r="O551" s="87" t="n"/>
      <c r="P551" s="81" t="n"/>
      <c r="Q551" s="81" t="n"/>
      <c r="R551" s="81" t="n"/>
      <c r="S551" s="81" t="n"/>
      <c r="T551" s="136">
        <f>IF(AND(E551&gt;0,U551=0),1,"")</f>
        <v/>
      </c>
      <c r="U551" s="136">
        <f>SUM(X551:AR551)</f>
        <v/>
      </c>
      <c r="V551" s="136">
        <f>IF(E551=$Q$16,0,SUM(X551:AI551))</f>
        <v/>
      </c>
      <c r="W551" s="136">
        <f>SUM(AK551:AR551)</f>
        <v/>
      </c>
      <c r="X551" s="136">
        <f>IF(E551=$X$6,1,"")</f>
        <v/>
      </c>
      <c r="Y551" s="136">
        <f>IF(E551=$Y$6,1,"")</f>
        <v/>
      </c>
      <c r="Z551" s="136">
        <f>IF(E551=$Z$6,1,"")</f>
        <v/>
      </c>
      <c r="AA551" s="136">
        <f>IF(E551=$AA$6,1,"")</f>
        <v/>
      </c>
      <c r="AB551" s="136">
        <f>IF(E551=$AB$6,1,"")</f>
        <v/>
      </c>
      <c r="AC551" s="136">
        <f>IF(E551=$AC$6,1,"")</f>
        <v/>
      </c>
      <c r="AD551" s="136">
        <f>IF(E551=$AD$6,1,"")</f>
        <v/>
      </c>
      <c r="AE551" s="136">
        <f>IF(E551=$AE$6,1,"")</f>
        <v/>
      </c>
      <c r="AF551" s="136">
        <f>IF(E551=$AF$6,1,"")</f>
        <v/>
      </c>
      <c r="AG551" s="136">
        <f>IF(E551=$AG$6,1,"")</f>
        <v/>
      </c>
      <c r="AH551" s="136">
        <f>IF(E551=$AH$6,1,"")</f>
        <v/>
      </c>
      <c r="AI551" s="136">
        <f>IF(E551=$AI$6,1,"")</f>
        <v/>
      </c>
      <c r="AJ551" s="136">
        <f>IF(E551=$AJ$6,1,"")</f>
        <v/>
      </c>
      <c r="AK551" s="81">
        <f>IF(E551=$AK$6,1,"")</f>
        <v/>
      </c>
      <c r="AL551" s="81">
        <f>IF(E551=$AL$6,1,"")</f>
        <v/>
      </c>
      <c r="AM551" s="81">
        <f>IF(E551=$AM$6,1,"")</f>
        <v/>
      </c>
      <c r="AN551" s="81">
        <f>IF(E551=$AN$6,1,"")</f>
        <v/>
      </c>
      <c r="AO551" s="81">
        <f>IF(E551=$AO$6,1,"")</f>
        <v/>
      </c>
      <c r="AP551" s="81">
        <f>IF(E551=$AP$6,1,"")</f>
        <v/>
      </c>
      <c r="AQ551" s="81">
        <f>IF(E551=$AQ$6,1,"")</f>
        <v/>
      </c>
      <c r="AR551" s="81">
        <f>IF(E551=$AR$6,1,"")</f>
        <v/>
      </c>
      <c r="AS551" s="81" t="n"/>
    </row>
    <row r="552" ht="15.75" customHeight="1" s="80">
      <c r="A552" s="157" t="n"/>
      <c r="B552" s="124" t="n"/>
      <c r="C552" s="125" t="n"/>
      <c r="D552" s="126" t="n"/>
      <c r="E552" s="127" t="n"/>
      <c r="F552" s="128" t="n"/>
      <c r="G552" s="129">
        <f>IF(F552="","",ROUND(F552/60,2))</f>
        <v/>
      </c>
      <c r="H552" s="130" t="n"/>
      <c r="I552" s="131" t="n"/>
      <c r="J552" s="131">
        <f>IF(COUNTIF(B552:E552,"*")=0,"",IF(T552=1,"Invalid Service",IF(AND(V552=1,F552=""),"Add Session Mins",IF(AND(E552&gt;0,H552="",T552=""),"Enter Contract Rate",IF(AND(E552="IEP mtg, prep, rept",F552&gt;0),(G552*H552),IF(AND(E552&gt;0,F552&gt;0,H552&gt;0,I552=""),"Enter Travel",IF(AND(F552&gt;0,I552="Y"),(G552*H552)+$M$10,IF(AND(F552&gt;0,I552="N"),(G552*H552),H552))))))))</f>
        <v/>
      </c>
      <c r="K552" s="132">
        <f>J552</f>
        <v/>
      </c>
      <c r="L552" s="148" t="n"/>
      <c r="M552" s="148" t="n"/>
      <c r="N552" s="148" t="n"/>
      <c r="O552" s="87" t="n"/>
      <c r="P552" s="81" t="n"/>
      <c r="Q552" s="81" t="n"/>
      <c r="R552" s="81" t="n"/>
      <c r="S552" s="81" t="n"/>
      <c r="T552" s="136">
        <f>IF(AND(E552&gt;0,U552=0),1,"")</f>
        <v/>
      </c>
      <c r="U552" s="136">
        <f>SUM(X552:AR552)</f>
        <v/>
      </c>
      <c r="V552" s="136">
        <f>IF(E552=$Q$16,0,SUM(X552:AI552))</f>
        <v/>
      </c>
      <c r="W552" s="136">
        <f>SUM(AK552:AR552)</f>
        <v/>
      </c>
      <c r="X552" s="136">
        <f>IF(E552=$X$6,1,"")</f>
        <v/>
      </c>
      <c r="Y552" s="136">
        <f>IF(E552=$Y$6,1,"")</f>
        <v/>
      </c>
      <c r="Z552" s="136">
        <f>IF(E552=$Z$6,1,"")</f>
        <v/>
      </c>
      <c r="AA552" s="136">
        <f>IF(E552=$AA$6,1,"")</f>
        <v/>
      </c>
      <c r="AB552" s="136">
        <f>IF(E552=$AB$6,1,"")</f>
        <v/>
      </c>
      <c r="AC552" s="136">
        <f>IF(E552=$AC$6,1,"")</f>
        <v/>
      </c>
      <c r="AD552" s="136">
        <f>IF(E552=$AD$6,1,"")</f>
        <v/>
      </c>
      <c r="AE552" s="136">
        <f>IF(E552=$AE$6,1,"")</f>
        <v/>
      </c>
      <c r="AF552" s="136">
        <f>IF(E552=$AF$6,1,"")</f>
        <v/>
      </c>
      <c r="AG552" s="136">
        <f>IF(E552=$AG$6,1,"")</f>
        <v/>
      </c>
      <c r="AH552" s="136">
        <f>IF(E552=$AH$6,1,"")</f>
        <v/>
      </c>
      <c r="AI552" s="136">
        <f>IF(E552=$AI$6,1,"")</f>
        <v/>
      </c>
      <c r="AJ552" s="136">
        <f>IF(E552=$AJ$6,1,"")</f>
        <v/>
      </c>
      <c r="AK552" s="81">
        <f>IF(E552=$AK$6,1,"")</f>
        <v/>
      </c>
      <c r="AL552" s="81">
        <f>IF(E552=$AL$6,1,"")</f>
        <v/>
      </c>
      <c r="AM552" s="81">
        <f>IF(E552=$AM$6,1,"")</f>
        <v/>
      </c>
      <c r="AN552" s="81">
        <f>IF(E552=$AN$6,1,"")</f>
        <v/>
      </c>
      <c r="AO552" s="81">
        <f>IF(E552=$AO$6,1,"")</f>
        <v/>
      </c>
      <c r="AP552" s="81">
        <f>IF(E552=$AP$6,1,"")</f>
        <v/>
      </c>
      <c r="AQ552" s="81">
        <f>IF(E552=$AQ$6,1,"")</f>
        <v/>
      </c>
      <c r="AR552" s="81">
        <f>IF(E552=$AR$6,1,"")</f>
        <v/>
      </c>
      <c r="AS552" s="81" t="n"/>
    </row>
    <row r="553" ht="15.75" customHeight="1" s="80">
      <c r="A553" s="157" t="n"/>
      <c r="B553" s="124" t="n"/>
      <c r="C553" s="125" t="n"/>
      <c r="D553" s="126" t="n"/>
      <c r="E553" s="127" t="n"/>
      <c r="F553" s="128" t="n"/>
      <c r="G553" s="129">
        <f>IF(F553="","",ROUND(F553/60,2))</f>
        <v/>
      </c>
      <c r="H553" s="130" t="n"/>
      <c r="I553" s="131" t="n"/>
      <c r="J553" s="131">
        <f>IF(COUNTIF(B553:E553,"*")=0,"",IF(T553=1,"Invalid Service",IF(AND(V553=1,F553=""),"Add Session Mins",IF(AND(E553&gt;0,H553="",T553=""),"Enter Contract Rate",IF(AND(E553="IEP mtg, prep, rept",F553&gt;0),(G553*H553),IF(AND(E553&gt;0,F553&gt;0,H553&gt;0,I553=""),"Enter Travel",IF(AND(F553&gt;0,I553="Y"),(G553*H553)+$M$10,IF(AND(F553&gt;0,I553="N"),(G553*H553),H553))))))))</f>
        <v/>
      </c>
      <c r="K553" s="132">
        <f>J553</f>
        <v/>
      </c>
      <c r="L553" s="148" t="n"/>
      <c r="M553" s="148" t="n"/>
      <c r="N553" s="148" t="n"/>
      <c r="O553" s="87" t="n"/>
      <c r="P553" s="81" t="n"/>
      <c r="Q553" s="81" t="n"/>
      <c r="R553" s="81" t="n"/>
      <c r="S553" s="81" t="n"/>
      <c r="T553" s="136">
        <f>IF(AND(E553&gt;0,U553=0),1,"")</f>
        <v/>
      </c>
      <c r="U553" s="136">
        <f>SUM(X553:AR553)</f>
        <v/>
      </c>
      <c r="V553" s="136">
        <f>IF(E553=$Q$16,0,SUM(X553:AI553))</f>
        <v/>
      </c>
      <c r="W553" s="136">
        <f>SUM(AK553:AR553)</f>
        <v/>
      </c>
      <c r="X553" s="136">
        <f>IF(E553=$X$6,1,"")</f>
        <v/>
      </c>
      <c r="Y553" s="136">
        <f>IF(E553=$Y$6,1,"")</f>
        <v/>
      </c>
      <c r="Z553" s="136">
        <f>IF(E553=$Z$6,1,"")</f>
        <v/>
      </c>
      <c r="AA553" s="136">
        <f>IF(E553=$AA$6,1,"")</f>
        <v/>
      </c>
      <c r="AB553" s="136">
        <f>IF(E553=$AB$6,1,"")</f>
        <v/>
      </c>
      <c r="AC553" s="136">
        <f>IF(E553=$AC$6,1,"")</f>
        <v/>
      </c>
      <c r="AD553" s="136">
        <f>IF(E553=$AD$6,1,"")</f>
        <v/>
      </c>
      <c r="AE553" s="136">
        <f>IF(E553=$AE$6,1,"")</f>
        <v/>
      </c>
      <c r="AF553" s="136">
        <f>IF(E553=$AF$6,1,"")</f>
        <v/>
      </c>
      <c r="AG553" s="136">
        <f>IF(E553=$AG$6,1,"")</f>
        <v/>
      </c>
      <c r="AH553" s="136">
        <f>IF(E553=$AH$6,1,"")</f>
        <v/>
      </c>
      <c r="AI553" s="136">
        <f>IF(E553=$AI$6,1,"")</f>
        <v/>
      </c>
      <c r="AJ553" s="136">
        <f>IF(E553=$AJ$6,1,"")</f>
        <v/>
      </c>
      <c r="AK553" s="81">
        <f>IF(E553=$AK$6,1,"")</f>
        <v/>
      </c>
      <c r="AL553" s="81">
        <f>IF(E553=$AL$6,1,"")</f>
        <v/>
      </c>
      <c r="AM553" s="81">
        <f>IF(E553=$AM$6,1,"")</f>
        <v/>
      </c>
      <c r="AN553" s="81">
        <f>IF(E553=$AN$6,1,"")</f>
        <v/>
      </c>
      <c r="AO553" s="81">
        <f>IF(E553=$AO$6,1,"")</f>
        <v/>
      </c>
      <c r="AP553" s="81">
        <f>IF(E553=$AP$6,1,"")</f>
        <v/>
      </c>
      <c r="AQ553" s="81">
        <f>IF(E553=$AQ$6,1,"")</f>
        <v/>
      </c>
      <c r="AR553" s="81">
        <f>IF(E553=$AR$6,1,"")</f>
        <v/>
      </c>
      <c r="AS553" s="81" t="n"/>
    </row>
    <row r="554" ht="15.75" customHeight="1" s="80">
      <c r="A554" s="157" t="n"/>
      <c r="B554" s="124" t="n"/>
      <c r="C554" s="125" t="n"/>
      <c r="D554" s="126" t="n"/>
      <c r="E554" s="127" t="n"/>
      <c r="F554" s="128" t="n"/>
      <c r="G554" s="129">
        <f>IF(F554="","",ROUND(F554/60,2))</f>
        <v/>
      </c>
      <c r="H554" s="130" t="n"/>
      <c r="I554" s="131" t="n"/>
      <c r="J554" s="131">
        <f>IF(COUNTIF(B554:E554,"*")=0,"",IF(T554=1,"Invalid Service",IF(AND(V554=1,F554=""),"Add Session Mins",IF(AND(E554&gt;0,H554="",T554=""),"Enter Contract Rate",IF(AND(E554="IEP mtg, prep, rept",F554&gt;0),(G554*H554),IF(AND(E554&gt;0,F554&gt;0,H554&gt;0,I554=""),"Enter Travel",IF(AND(F554&gt;0,I554="Y"),(G554*H554)+$M$10,IF(AND(F554&gt;0,I554="N"),(G554*H554),H554))))))))</f>
        <v/>
      </c>
      <c r="K554" s="132">
        <f>J554</f>
        <v/>
      </c>
      <c r="L554" s="148" t="n"/>
      <c r="M554" s="148" t="n"/>
      <c r="N554" s="148" t="n"/>
      <c r="O554" s="87" t="n"/>
      <c r="P554" s="81" t="n"/>
      <c r="Q554" s="81" t="n"/>
      <c r="R554" s="81" t="n"/>
      <c r="S554" s="81" t="n"/>
      <c r="T554" s="136">
        <f>IF(AND(E554&gt;0,U554=0),1,"")</f>
        <v/>
      </c>
      <c r="U554" s="136">
        <f>SUM(X554:AR554)</f>
        <v/>
      </c>
      <c r="V554" s="136">
        <f>IF(E554=$Q$16,0,SUM(X554:AI554))</f>
        <v/>
      </c>
      <c r="W554" s="136">
        <f>SUM(AK554:AR554)</f>
        <v/>
      </c>
      <c r="X554" s="136">
        <f>IF(E554=$X$6,1,"")</f>
        <v/>
      </c>
      <c r="Y554" s="136">
        <f>IF(E554=$Y$6,1,"")</f>
        <v/>
      </c>
      <c r="Z554" s="136">
        <f>IF(E554=$Z$6,1,"")</f>
        <v/>
      </c>
      <c r="AA554" s="136">
        <f>IF(E554=$AA$6,1,"")</f>
        <v/>
      </c>
      <c r="AB554" s="136">
        <f>IF(E554=$AB$6,1,"")</f>
        <v/>
      </c>
      <c r="AC554" s="136">
        <f>IF(E554=$AC$6,1,"")</f>
        <v/>
      </c>
      <c r="AD554" s="136">
        <f>IF(E554=$AD$6,1,"")</f>
        <v/>
      </c>
      <c r="AE554" s="136">
        <f>IF(E554=$AE$6,1,"")</f>
        <v/>
      </c>
      <c r="AF554" s="136">
        <f>IF(E554=$AF$6,1,"")</f>
        <v/>
      </c>
      <c r="AG554" s="136">
        <f>IF(E554=$AG$6,1,"")</f>
        <v/>
      </c>
      <c r="AH554" s="136">
        <f>IF(E554=$AH$6,1,"")</f>
        <v/>
      </c>
      <c r="AI554" s="136">
        <f>IF(E554=$AI$6,1,"")</f>
        <v/>
      </c>
      <c r="AJ554" s="136">
        <f>IF(E554=$AJ$6,1,"")</f>
        <v/>
      </c>
      <c r="AK554" s="81">
        <f>IF(E554=$AK$6,1,"")</f>
        <v/>
      </c>
      <c r="AL554" s="81">
        <f>IF(E554=$AL$6,1,"")</f>
        <v/>
      </c>
      <c r="AM554" s="81">
        <f>IF(E554=$AM$6,1,"")</f>
        <v/>
      </c>
      <c r="AN554" s="81">
        <f>IF(E554=$AN$6,1,"")</f>
        <v/>
      </c>
      <c r="AO554" s="81">
        <f>IF(E554=$AO$6,1,"")</f>
        <v/>
      </c>
      <c r="AP554" s="81">
        <f>IF(E554=$AP$6,1,"")</f>
        <v/>
      </c>
      <c r="AQ554" s="81">
        <f>IF(E554=$AQ$6,1,"")</f>
        <v/>
      </c>
      <c r="AR554" s="81">
        <f>IF(E554=$AR$6,1,"")</f>
        <v/>
      </c>
      <c r="AS554" s="81" t="n"/>
    </row>
    <row r="555" ht="15.75" customHeight="1" s="80">
      <c r="A555" s="157" t="n"/>
      <c r="B555" s="124" t="n"/>
      <c r="C555" s="125" t="n"/>
      <c r="D555" s="126" t="n"/>
      <c r="E555" s="127" t="n"/>
      <c r="F555" s="128" t="n"/>
      <c r="G555" s="129">
        <f>IF(F555="","",ROUND(F555/60,2))</f>
        <v/>
      </c>
      <c r="H555" s="130" t="n"/>
      <c r="I555" s="131" t="n"/>
      <c r="J555" s="131">
        <f>IF(COUNTIF(B555:E555,"*")=0,"",IF(T555=1,"Invalid Service",IF(AND(V555=1,F555=""),"Add Session Mins",IF(AND(E555&gt;0,H555="",T555=""),"Enter Contract Rate",IF(AND(E555="IEP mtg, prep, rept",F555&gt;0),(G555*H555),IF(AND(E555&gt;0,F555&gt;0,H555&gt;0,I555=""),"Enter Travel",IF(AND(F555&gt;0,I555="Y"),(G555*H555)+$M$10,IF(AND(F555&gt;0,I555="N"),(G555*H555),H555))))))))</f>
        <v/>
      </c>
      <c r="K555" s="132">
        <f>J555</f>
        <v/>
      </c>
      <c r="L555" s="148" t="n"/>
      <c r="M555" s="148" t="n"/>
      <c r="N555" s="148" t="n"/>
      <c r="O555" s="87" t="n"/>
      <c r="P555" s="81" t="n"/>
      <c r="Q555" s="81" t="n"/>
      <c r="R555" s="81" t="n"/>
      <c r="S555" s="81" t="n"/>
      <c r="T555" s="136">
        <f>IF(AND(E555&gt;0,U555=0),1,"")</f>
        <v/>
      </c>
      <c r="U555" s="136">
        <f>SUM(X555:AR555)</f>
        <v/>
      </c>
      <c r="V555" s="136">
        <f>IF(E555=$Q$16,0,SUM(X555:AI555))</f>
        <v/>
      </c>
      <c r="W555" s="136">
        <f>SUM(AK555:AR555)</f>
        <v/>
      </c>
      <c r="X555" s="136">
        <f>IF(E555=$X$6,1,"")</f>
        <v/>
      </c>
      <c r="Y555" s="136">
        <f>IF(E555=$Y$6,1,"")</f>
        <v/>
      </c>
      <c r="Z555" s="136">
        <f>IF(E555=$Z$6,1,"")</f>
        <v/>
      </c>
      <c r="AA555" s="136">
        <f>IF(E555=$AA$6,1,"")</f>
        <v/>
      </c>
      <c r="AB555" s="136">
        <f>IF(E555=$AB$6,1,"")</f>
        <v/>
      </c>
      <c r="AC555" s="136">
        <f>IF(E555=$AC$6,1,"")</f>
        <v/>
      </c>
      <c r="AD555" s="136">
        <f>IF(E555=$AD$6,1,"")</f>
        <v/>
      </c>
      <c r="AE555" s="136">
        <f>IF(E555=$AE$6,1,"")</f>
        <v/>
      </c>
      <c r="AF555" s="136">
        <f>IF(E555=$AF$6,1,"")</f>
        <v/>
      </c>
      <c r="AG555" s="136">
        <f>IF(E555=$AG$6,1,"")</f>
        <v/>
      </c>
      <c r="AH555" s="136">
        <f>IF(E555=$AH$6,1,"")</f>
        <v/>
      </c>
      <c r="AI555" s="136">
        <f>IF(E555=$AI$6,1,"")</f>
        <v/>
      </c>
      <c r="AJ555" s="136">
        <f>IF(E555=$AJ$6,1,"")</f>
        <v/>
      </c>
      <c r="AK555" s="81">
        <f>IF(E555=$AK$6,1,"")</f>
        <v/>
      </c>
      <c r="AL555" s="81">
        <f>IF(E555=$AL$6,1,"")</f>
        <v/>
      </c>
      <c r="AM555" s="81">
        <f>IF(E555=$AM$6,1,"")</f>
        <v/>
      </c>
      <c r="AN555" s="81">
        <f>IF(E555=$AN$6,1,"")</f>
        <v/>
      </c>
      <c r="AO555" s="81">
        <f>IF(E555=$AO$6,1,"")</f>
        <v/>
      </c>
      <c r="AP555" s="81">
        <f>IF(E555=$AP$6,1,"")</f>
        <v/>
      </c>
      <c r="AQ555" s="81">
        <f>IF(E555=$AQ$6,1,"")</f>
        <v/>
      </c>
      <c r="AR555" s="81">
        <f>IF(E555=$AR$6,1,"")</f>
        <v/>
      </c>
      <c r="AS555" s="81" t="n"/>
    </row>
    <row r="556" ht="15.75" customHeight="1" s="80">
      <c r="A556" s="157" t="n"/>
      <c r="B556" s="124" t="n"/>
      <c r="C556" s="125" t="n"/>
      <c r="D556" s="126" t="n"/>
      <c r="E556" s="127" t="n"/>
      <c r="F556" s="128" t="n"/>
      <c r="G556" s="129">
        <f>IF(F556="","",ROUND(F556/60,2))</f>
        <v/>
      </c>
      <c r="H556" s="130" t="n"/>
      <c r="I556" s="131" t="n"/>
      <c r="J556" s="131">
        <f>IF(COUNTIF(B556:E556,"*")=0,"",IF(T556=1,"Invalid Service",IF(AND(V556=1,F556=""),"Add Session Mins",IF(AND(E556&gt;0,H556="",T556=""),"Enter Contract Rate",IF(AND(E556="IEP mtg, prep, rept",F556&gt;0),(G556*H556),IF(AND(E556&gt;0,F556&gt;0,H556&gt;0,I556=""),"Enter Travel",IF(AND(F556&gt;0,I556="Y"),(G556*H556)+$M$10,IF(AND(F556&gt;0,I556="N"),(G556*H556),H556))))))))</f>
        <v/>
      </c>
      <c r="K556" s="132">
        <f>J556</f>
        <v/>
      </c>
      <c r="L556" s="148" t="n"/>
      <c r="M556" s="148" t="n"/>
      <c r="N556" s="148" t="n"/>
      <c r="O556" s="87" t="n"/>
      <c r="P556" s="81" t="n"/>
      <c r="Q556" s="81" t="n"/>
      <c r="R556" s="81" t="n"/>
      <c r="S556" s="81" t="n"/>
      <c r="T556" s="136">
        <f>IF(AND(E556&gt;0,U556=0),1,"")</f>
        <v/>
      </c>
      <c r="U556" s="136">
        <f>SUM(X556:AR556)</f>
        <v/>
      </c>
      <c r="V556" s="136">
        <f>IF(E556=$Q$16,0,SUM(X556:AI556))</f>
        <v/>
      </c>
      <c r="W556" s="136">
        <f>SUM(AK556:AR556)</f>
        <v/>
      </c>
      <c r="X556" s="136">
        <f>IF(E556=$X$6,1,"")</f>
        <v/>
      </c>
      <c r="Y556" s="136">
        <f>IF(E556=$Y$6,1,"")</f>
        <v/>
      </c>
      <c r="Z556" s="136">
        <f>IF(E556=$Z$6,1,"")</f>
        <v/>
      </c>
      <c r="AA556" s="136">
        <f>IF(E556=$AA$6,1,"")</f>
        <v/>
      </c>
      <c r="AB556" s="136">
        <f>IF(E556=$AB$6,1,"")</f>
        <v/>
      </c>
      <c r="AC556" s="136">
        <f>IF(E556=$AC$6,1,"")</f>
        <v/>
      </c>
      <c r="AD556" s="136">
        <f>IF(E556=$AD$6,1,"")</f>
        <v/>
      </c>
      <c r="AE556" s="136">
        <f>IF(E556=$AE$6,1,"")</f>
        <v/>
      </c>
      <c r="AF556" s="136">
        <f>IF(E556=$AF$6,1,"")</f>
        <v/>
      </c>
      <c r="AG556" s="136">
        <f>IF(E556=$AG$6,1,"")</f>
        <v/>
      </c>
      <c r="AH556" s="136">
        <f>IF(E556=$AH$6,1,"")</f>
        <v/>
      </c>
      <c r="AI556" s="136">
        <f>IF(E556=$AI$6,1,"")</f>
        <v/>
      </c>
      <c r="AJ556" s="136">
        <f>IF(E556=$AJ$6,1,"")</f>
        <v/>
      </c>
      <c r="AK556" s="81">
        <f>IF(E556=$AK$6,1,"")</f>
        <v/>
      </c>
      <c r="AL556" s="81">
        <f>IF(E556=$AL$6,1,"")</f>
        <v/>
      </c>
      <c r="AM556" s="81">
        <f>IF(E556=$AM$6,1,"")</f>
        <v/>
      </c>
      <c r="AN556" s="81">
        <f>IF(E556=$AN$6,1,"")</f>
        <v/>
      </c>
      <c r="AO556" s="81">
        <f>IF(E556=$AO$6,1,"")</f>
        <v/>
      </c>
      <c r="AP556" s="81">
        <f>IF(E556=$AP$6,1,"")</f>
        <v/>
      </c>
      <c r="AQ556" s="81">
        <f>IF(E556=$AQ$6,1,"")</f>
        <v/>
      </c>
      <c r="AR556" s="81">
        <f>IF(E556=$AR$6,1,"")</f>
        <v/>
      </c>
      <c r="AS556" s="81" t="n"/>
    </row>
    <row r="557" ht="15.75" customHeight="1" s="80">
      <c r="A557" s="157" t="n"/>
      <c r="B557" s="124" t="n"/>
      <c r="C557" s="125" t="n"/>
      <c r="D557" s="126" t="n"/>
      <c r="E557" s="127" t="n"/>
      <c r="F557" s="128" t="n"/>
      <c r="G557" s="129">
        <f>IF(F557="","",ROUND(F557/60,2))</f>
        <v/>
      </c>
      <c r="H557" s="130" t="n"/>
      <c r="I557" s="131" t="n"/>
      <c r="J557" s="131">
        <f>IF(COUNTIF(B557:E557,"*")=0,"",IF(T557=1,"Invalid Service",IF(AND(V557=1,F557=""),"Add Session Mins",IF(AND(E557&gt;0,H557="",T557=""),"Enter Contract Rate",IF(AND(E557="IEP mtg, prep, rept",F557&gt;0),(G557*H557),IF(AND(E557&gt;0,F557&gt;0,H557&gt;0,I557=""),"Enter Travel",IF(AND(F557&gt;0,I557="Y"),(G557*H557)+$M$10,IF(AND(F557&gt;0,I557="N"),(G557*H557),H557))))))))</f>
        <v/>
      </c>
      <c r="K557" s="132">
        <f>J557</f>
        <v/>
      </c>
      <c r="L557" s="148" t="n"/>
      <c r="M557" s="148" t="n"/>
      <c r="N557" s="148" t="n"/>
      <c r="O557" s="87" t="n"/>
      <c r="P557" s="81" t="n"/>
      <c r="Q557" s="81" t="n"/>
      <c r="R557" s="81" t="n"/>
      <c r="S557" s="81" t="n"/>
      <c r="T557" s="136">
        <f>IF(AND(E557&gt;0,U557=0),1,"")</f>
        <v/>
      </c>
      <c r="U557" s="136">
        <f>SUM(X557:AR557)</f>
        <v/>
      </c>
      <c r="V557" s="136">
        <f>IF(E557=$Q$16,0,SUM(X557:AI557))</f>
        <v/>
      </c>
      <c r="W557" s="136">
        <f>SUM(AK557:AR557)</f>
        <v/>
      </c>
      <c r="X557" s="136">
        <f>IF(E557=$X$6,1,"")</f>
        <v/>
      </c>
      <c r="Y557" s="136">
        <f>IF(E557=$Y$6,1,"")</f>
        <v/>
      </c>
      <c r="Z557" s="136">
        <f>IF(E557=$Z$6,1,"")</f>
        <v/>
      </c>
      <c r="AA557" s="136">
        <f>IF(E557=$AA$6,1,"")</f>
        <v/>
      </c>
      <c r="AB557" s="136">
        <f>IF(E557=$AB$6,1,"")</f>
        <v/>
      </c>
      <c r="AC557" s="136">
        <f>IF(E557=$AC$6,1,"")</f>
        <v/>
      </c>
      <c r="AD557" s="136">
        <f>IF(E557=$AD$6,1,"")</f>
        <v/>
      </c>
      <c r="AE557" s="136">
        <f>IF(E557=$AE$6,1,"")</f>
        <v/>
      </c>
      <c r="AF557" s="136">
        <f>IF(E557=$AF$6,1,"")</f>
        <v/>
      </c>
      <c r="AG557" s="136">
        <f>IF(E557=$AG$6,1,"")</f>
        <v/>
      </c>
      <c r="AH557" s="136">
        <f>IF(E557=$AH$6,1,"")</f>
        <v/>
      </c>
      <c r="AI557" s="136">
        <f>IF(E557=$AI$6,1,"")</f>
        <v/>
      </c>
      <c r="AJ557" s="136">
        <f>IF(E557=$AJ$6,1,"")</f>
        <v/>
      </c>
      <c r="AK557" s="81">
        <f>IF(E557=$AK$6,1,"")</f>
        <v/>
      </c>
      <c r="AL557" s="81">
        <f>IF(E557=$AL$6,1,"")</f>
        <v/>
      </c>
      <c r="AM557" s="81">
        <f>IF(E557=$AM$6,1,"")</f>
        <v/>
      </c>
      <c r="AN557" s="81">
        <f>IF(E557=$AN$6,1,"")</f>
        <v/>
      </c>
      <c r="AO557" s="81">
        <f>IF(E557=$AO$6,1,"")</f>
        <v/>
      </c>
      <c r="AP557" s="81">
        <f>IF(E557=$AP$6,1,"")</f>
        <v/>
      </c>
      <c r="AQ557" s="81">
        <f>IF(E557=$AQ$6,1,"")</f>
        <v/>
      </c>
      <c r="AR557" s="81">
        <f>IF(E557=$AR$6,1,"")</f>
        <v/>
      </c>
      <c r="AS557" s="81" t="n"/>
    </row>
    <row r="558" ht="15.75" customHeight="1" s="80">
      <c r="A558" s="157" t="n"/>
      <c r="B558" s="124" t="n"/>
      <c r="C558" s="125" t="n"/>
      <c r="D558" s="126" t="n"/>
      <c r="E558" s="127" t="n"/>
      <c r="F558" s="128" t="n"/>
      <c r="G558" s="129">
        <f>IF(F558="","",ROUND(F558/60,2))</f>
        <v/>
      </c>
      <c r="H558" s="130" t="n"/>
      <c r="I558" s="131" t="n"/>
      <c r="J558" s="131">
        <f>IF(COUNTIF(B558:E558,"*")=0,"",IF(T558=1,"Invalid Service",IF(AND(V558=1,F558=""),"Add Session Mins",IF(AND(E558&gt;0,H558="",T558=""),"Enter Contract Rate",IF(AND(E558="IEP mtg, prep, rept",F558&gt;0),(G558*H558),IF(AND(E558&gt;0,F558&gt;0,H558&gt;0,I558=""),"Enter Travel",IF(AND(F558&gt;0,I558="Y"),(G558*H558)+$M$10,IF(AND(F558&gt;0,I558="N"),(G558*H558),H558))))))))</f>
        <v/>
      </c>
      <c r="K558" s="132">
        <f>J558</f>
        <v/>
      </c>
      <c r="L558" s="148" t="n"/>
      <c r="M558" s="148" t="n"/>
      <c r="N558" s="148" t="n"/>
      <c r="O558" s="87" t="n"/>
      <c r="P558" s="81" t="n"/>
      <c r="Q558" s="81" t="n"/>
      <c r="R558" s="81" t="n"/>
      <c r="S558" s="81" t="n"/>
      <c r="T558" s="136">
        <f>IF(AND(E558&gt;0,U558=0),1,"")</f>
        <v/>
      </c>
      <c r="U558" s="136">
        <f>SUM(X558:AR558)</f>
        <v/>
      </c>
      <c r="V558" s="136">
        <f>IF(E558=$Q$16,0,SUM(X558:AI558))</f>
        <v/>
      </c>
      <c r="W558" s="136">
        <f>SUM(AK558:AR558)</f>
        <v/>
      </c>
      <c r="X558" s="136">
        <f>IF(E558=$X$6,1,"")</f>
        <v/>
      </c>
      <c r="Y558" s="136">
        <f>IF(E558=$Y$6,1,"")</f>
        <v/>
      </c>
      <c r="Z558" s="136">
        <f>IF(E558=$Z$6,1,"")</f>
        <v/>
      </c>
      <c r="AA558" s="136">
        <f>IF(E558=$AA$6,1,"")</f>
        <v/>
      </c>
      <c r="AB558" s="136">
        <f>IF(E558=$AB$6,1,"")</f>
        <v/>
      </c>
      <c r="AC558" s="136">
        <f>IF(E558=$AC$6,1,"")</f>
        <v/>
      </c>
      <c r="AD558" s="136">
        <f>IF(E558=$AD$6,1,"")</f>
        <v/>
      </c>
      <c r="AE558" s="136">
        <f>IF(E558=$AE$6,1,"")</f>
        <v/>
      </c>
      <c r="AF558" s="136">
        <f>IF(E558=$AF$6,1,"")</f>
        <v/>
      </c>
      <c r="AG558" s="136">
        <f>IF(E558=$AG$6,1,"")</f>
        <v/>
      </c>
      <c r="AH558" s="136">
        <f>IF(E558=$AH$6,1,"")</f>
        <v/>
      </c>
      <c r="AI558" s="136">
        <f>IF(E558=$AI$6,1,"")</f>
        <v/>
      </c>
      <c r="AJ558" s="136">
        <f>IF(E558=$AJ$6,1,"")</f>
        <v/>
      </c>
      <c r="AK558" s="81">
        <f>IF(E558=$AK$6,1,"")</f>
        <v/>
      </c>
      <c r="AL558" s="81">
        <f>IF(E558=$AL$6,1,"")</f>
        <v/>
      </c>
      <c r="AM558" s="81">
        <f>IF(E558=$AM$6,1,"")</f>
        <v/>
      </c>
      <c r="AN558" s="81">
        <f>IF(E558=$AN$6,1,"")</f>
        <v/>
      </c>
      <c r="AO558" s="81">
        <f>IF(E558=$AO$6,1,"")</f>
        <v/>
      </c>
      <c r="AP558" s="81">
        <f>IF(E558=$AP$6,1,"")</f>
        <v/>
      </c>
      <c r="AQ558" s="81">
        <f>IF(E558=$AQ$6,1,"")</f>
        <v/>
      </c>
      <c r="AR558" s="81">
        <f>IF(E558=$AR$6,1,"")</f>
        <v/>
      </c>
      <c r="AS558" s="81" t="n"/>
    </row>
    <row r="559" ht="15.75" customHeight="1" s="80">
      <c r="A559" s="157" t="n"/>
      <c r="B559" s="124" t="n"/>
      <c r="C559" s="125" t="n"/>
      <c r="D559" s="126" t="n"/>
      <c r="E559" s="127" t="n"/>
      <c r="F559" s="128" t="n"/>
      <c r="G559" s="129">
        <f>IF(F559="","",ROUND(F559/60,2))</f>
        <v/>
      </c>
      <c r="H559" s="130" t="n"/>
      <c r="I559" s="131" t="n"/>
      <c r="J559" s="131">
        <f>IF(COUNTIF(B559:E559,"*")=0,"",IF(T559=1,"Invalid Service",IF(AND(V559=1,F559=""),"Add Session Mins",IF(AND(E559&gt;0,H559="",T559=""),"Enter Contract Rate",IF(AND(E559="IEP mtg, prep, rept",F559&gt;0),(G559*H559),IF(AND(E559&gt;0,F559&gt;0,H559&gt;0,I559=""),"Enter Travel",IF(AND(F559&gt;0,I559="Y"),(G559*H559)+$M$10,IF(AND(F559&gt;0,I559="N"),(G559*H559),H559))))))))</f>
        <v/>
      </c>
      <c r="K559" s="132">
        <f>J559</f>
        <v/>
      </c>
      <c r="L559" s="148" t="n"/>
      <c r="M559" s="148" t="n"/>
      <c r="N559" s="148" t="n"/>
      <c r="O559" s="87" t="n"/>
      <c r="P559" s="81" t="n"/>
      <c r="Q559" s="81" t="n"/>
      <c r="R559" s="81" t="n"/>
      <c r="S559" s="81" t="n"/>
      <c r="T559" s="136">
        <f>IF(AND(E559&gt;0,U559=0),1,"")</f>
        <v/>
      </c>
      <c r="U559" s="136">
        <f>SUM(X559:AR559)</f>
        <v/>
      </c>
      <c r="V559" s="136">
        <f>IF(E559=$Q$16,0,SUM(X559:AI559))</f>
        <v/>
      </c>
      <c r="W559" s="136">
        <f>SUM(AK559:AR559)</f>
        <v/>
      </c>
      <c r="X559" s="136">
        <f>IF(E559=$X$6,1,"")</f>
        <v/>
      </c>
      <c r="Y559" s="136">
        <f>IF(E559=$Y$6,1,"")</f>
        <v/>
      </c>
      <c r="Z559" s="136">
        <f>IF(E559=$Z$6,1,"")</f>
        <v/>
      </c>
      <c r="AA559" s="136">
        <f>IF(E559=$AA$6,1,"")</f>
        <v/>
      </c>
      <c r="AB559" s="136">
        <f>IF(E559=$AB$6,1,"")</f>
        <v/>
      </c>
      <c r="AC559" s="136">
        <f>IF(E559=$AC$6,1,"")</f>
        <v/>
      </c>
      <c r="AD559" s="136">
        <f>IF(E559=$AD$6,1,"")</f>
        <v/>
      </c>
      <c r="AE559" s="136">
        <f>IF(E559=$AE$6,1,"")</f>
        <v/>
      </c>
      <c r="AF559" s="136">
        <f>IF(E559=$AF$6,1,"")</f>
        <v/>
      </c>
      <c r="AG559" s="136">
        <f>IF(E559=$AG$6,1,"")</f>
        <v/>
      </c>
      <c r="AH559" s="136">
        <f>IF(E559=$AH$6,1,"")</f>
        <v/>
      </c>
      <c r="AI559" s="136">
        <f>IF(E559=$AI$6,1,"")</f>
        <v/>
      </c>
      <c r="AJ559" s="136">
        <f>IF(E559=$AJ$6,1,"")</f>
        <v/>
      </c>
      <c r="AK559" s="81">
        <f>IF(E559=$AK$6,1,"")</f>
        <v/>
      </c>
      <c r="AL559" s="81">
        <f>IF(E559=$AL$6,1,"")</f>
        <v/>
      </c>
      <c r="AM559" s="81">
        <f>IF(E559=$AM$6,1,"")</f>
        <v/>
      </c>
      <c r="AN559" s="81">
        <f>IF(E559=$AN$6,1,"")</f>
        <v/>
      </c>
      <c r="AO559" s="81">
        <f>IF(E559=$AO$6,1,"")</f>
        <v/>
      </c>
      <c r="AP559" s="81">
        <f>IF(E559=$AP$6,1,"")</f>
        <v/>
      </c>
      <c r="AQ559" s="81">
        <f>IF(E559=$AQ$6,1,"")</f>
        <v/>
      </c>
      <c r="AR559" s="81">
        <f>IF(E559=$AR$6,1,"")</f>
        <v/>
      </c>
      <c r="AS559" s="81" t="n"/>
    </row>
    <row r="560" ht="15.75" customHeight="1" s="80">
      <c r="A560" s="157" t="n"/>
      <c r="B560" s="124" t="n"/>
      <c r="C560" s="125" t="n"/>
      <c r="D560" s="126" t="n"/>
      <c r="E560" s="127" t="n"/>
      <c r="F560" s="128" t="n"/>
      <c r="G560" s="129">
        <f>IF(F560="","",ROUND(F560/60,2))</f>
        <v/>
      </c>
      <c r="H560" s="130" t="n"/>
      <c r="I560" s="131" t="n"/>
      <c r="J560" s="131">
        <f>IF(COUNTIF(B560:E560,"*")=0,"",IF(T560=1,"Invalid Service",IF(AND(V560=1,F560=""),"Add Session Mins",IF(AND(E560&gt;0,H560="",T560=""),"Enter Contract Rate",IF(AND(E560="IEP mtg, prep, rept",F560&gt;0),(G560*H560),IF(AND(E560&gt;0,F560&gt;0,H560&gt;0,I560=""),"Enter Travel",IF(AND(F560&gt;0,I560="Y"),(G560*H560)+$M$10,IF(AND(F560&gt;0,I560="N"),(G560*H560),H560))))))))</f>
        <v/>
      </c>
      <c r="K560" s="132">
        <f>J560</f>
        <v/>
      </c>
      <c r="L560" s="148" t="n"/>
      <c r="M560" s="148" t="n"/>
      <c r="N560" s="148" t="n"/>
      <c r="O560" s="87" t="n"/>
      <c r="P560" s="81" t="n"/>
      <c r="Q560" s="81" t="n"/>
      <c r="R560" s="81" t="n"/>
      <c r="S560" s="81" t="n"/>
      <c r="T560" s="136">
        <f>IF(AND(E560&gt;0,U560=0),1,"")</f>
        <v/>
      </c>
      <c r="U560" s="136">
        <f>SUM(X560:AR560)</f>
        <v/>
      </c>
      <c r="V560" s="136">
        <f>IF(E560=$Q$16,0,SUM(X560:AI560))</f>
        <v/>
      </c>
      <c r="W560" s="136">
        <f>SUM(AK560:AR560)</f>
        <v/>
      </c>
      <c r="X560" s="136">
        <f>IF(E560=$X$6,1,"")</f>
        <v/>
      </c>
      <c r="Y560" s="136">
        <f>IF(E560=$Y$6,1,"")</f>
        <v/>
      </c>
      <c r="Z560" s="136">
        <f>IF(E560=$Z$6,1,"")</f>
        <v/>
      </c>
      <c r="AA560" s="136">
        <f>IF(E560=$AA$6,1,"")</f>
        <v/>
      </c>
      <c r="AB560" s="136">
        <f>IF(E560=$AB$6,1,"")</f>
        <v/>
      </c>
      <c r="AC560" s="136">
        <f>IF(E560=$AC$6,1,"")</f>
        <v/>
      </c>
      <c r="AD560" s="136">
        <f>IF(E560=$AD$6,1,"")</f>
        <v/>
      </c>
      <c r="AE560" s="136">
        <f>IF(E560=$AE$6,1,"")</f>
        <v/>
      </c>
      <c r="AF560" s="136">
        <f>IF(E560=$AF$6,1,"")</f>
        <v/>
      </c>
      <c r="AG560" s="136">
        <f>IF(E560=$AG$6,1,"")</f>
        <v/>
      </c>
      <c r="AH560" s="136">
        <f>IF(E560=$AH$6,1,"")</f>
        <v/>
      </c>
      <c r="AI560" s="136">
        <f>IF(E560=$AI$6,1,"")</f>
        <v/>
      </c>
      <c r="AJ560" s="136">
        <f>IF(E560=$AJ$6,1,"")</f>
        <v/>
      </c>
      <c r="AK560" s="81">
        <f>IF(E560=$AK$6,1,"")</f>
        <v/>
      </c>
      <c r="AL560" s="81">
        <f>IF(E560=$AL$6,1,"")</f>
        <v/>
      </c>
      <c r="AM560" s="81">
        <f>IF(E560=$AM$6,1,"")</f>
        <v/>
      </c>
      <c r="AN560" s="81">
        <f>IF(E560=$AN$6,1,"")</f>
        <v/>
      </c>
      <c r="AO560" s="81">
        <f>IF(E560=$AO$6,1,"")</f>
        <v/>
      </c>
      <c r="AP560" s="81">
        <f>IF(E560=$AP$6,1,"")</f>
        <v/>
      </c>
      <c r="AQ560" s="81">
        <f>IF(E560=$AQ$6,1,"")</f>
        <v/>
      </c>
      <c r="AR560" s="81">
        <f>IF(E560=$AR$6,1,"")</f>
        <v/>
      </c>
      <c r="AS560" s="81" t="n"/>
    </row>
    <row r="561" ht="15.75" customHeight="1" s="80">
      <c r="A561" s="157" t="n"/>
      <c r="B561" s="124" t="n"/>
      <c r="C561" s="125" t="n"/>
      <c r="D561" s="126" t="n"/>
      <c r="E561" s="127" t="n"/>
      <c r="F561" s="128" t="n"/>
      <c r="G561" s="129">
        <f>IF(F561="","",ROUND(F561/60,2))</f>
        <v/>
      </c>
      <c r="H561" s="130" t="n"/>
      <c r="I561" s="131" t="n"/>
      <c r="J561" s="131">
        <f>IF(COUNTIF(B561:E561,"*")=0,"",IF(T561=1,"Invalid Service",IF(AND(V561=1,F561=""),"Add Session Mins",IF(AND(E561&gt;0,H561="",T561=""),"Enter Contract Rate",IF(AND(E561="IEP mtg, prep, rept",F561&gt;0),(G561*H561),IF(AND(E561&gt;0,F561&gt;0,H561&gt;0,I561=""),"Enter Travel",IF(AND(F561&gt;0,I561="Y"),(G561*H561)+$M$10,IF(AND(F561&gt;0,I561="N"),(G561*H561),H561))))))))</f>
        <v/>
      </c>
      <c r="K561" s="132">
        <f>J561</f>
        <v/>
      </c>
      <c r="L561" s="148" t="n"/>
      <c r="M561" s="148" t="n"/>
      <c r="N561" s="148" t="n"/>
      <c r="O561" s="87" t="n"/>
      <c r="P561" s="81" t="n"/>
      <c r="Q561" s="81" t="n"/>
      <c r="R561" s="81" t="n"/>
      <c r="S561" s="81" t="n"/>
      <c r="T561" s="136">
        <f>IF(AND(E561&gt;0,U561=0),1,"")</f>
        <v/>
      </c>
      <c r="U561" s="136">
        <f>SUM(X561:AR561)</f>
        <v/>
      </c>
      <c r="V561" s="136">
        <f>IF(E561=$Q$16,0,SUM(X561:AI561))</f>
        <v/>
      </c>
      <c r="W561" s="136">
        <f>SUM(AK561:AR561)</f>
        <v/>
      </c>
      <c r="X561" s="136">
        <f>IF(E561=$X$6,1,"")</f>
        <v/>
      </c>
      <c r="Y561" s="136">
        <f>IF(E561=$Y$6,1,"")</f>
        <v/>
      </c>
      <c r="Z561" s="136">
        <f>IF(E561=$Z$6,1,"")</f>
        <v/>
      </c>
      <c r="AA561" s="136">
        <f>IF(E561=$AA$6,1,"")</f>
        <v/>
      </c>
      <c r="AB561" s="136">
        <f>IF(E561=$AB$6,1,"")</f>
        <v/>
      </c>
      <c r="AC561" s="136">
        <f>IF(E561=$AC$6,1,"")</f>
        <v/>
      </c>
      <c r="AD561" s="136">
        <f>IF(E561=$AD$6,1,"")</f>
        <v/>
      </c>
      <c r="AE561" s="136">
        <f>IF(E561=$AE$6,1,"")</f>
        <v/>
      </c>
      <c r="AF561" s="136">
        <f>IF(E561=$AF$6,1,"")</f>
        <v/>
      </c>
      <c r="AG561" s="136">
        <f>IF(E561=$AG$6,1,"")</f>
        <v/>
      </c>
      <c r="AH561" s="136">
        <f>IF(E561=$AH$6,1,"")</f>
        <v/>
      </c>
      <c r="AI561" s="136">
        <f>IF(E561=$AI$6,1,"")</f>
        <v/>
      </c>
      <c r="AJ561" s="136">
        <f>IF(E561=$AJ$6,1,"")</f>
        <v/>
      </c>
      <c r="AK561" s="81">
        <f>IF(E561=$AK$6,1,"")</f>
        <v/>
      </c>
      <c r="AL561" s="81">
        <f>IF(E561=$AL$6,1,"")</f>
        <v/>
      </c>
      <c r="AM561" s="81">
        <f>IF(E561=$AM$6,1,"")</f>
        <v/>
      </c>
      <c r="AN561" s="81">
        <f>IF(E561=$AN$6,1,"")</f>
        <v/>
      </c>
      <c r="AO561" s="81">
        <f>IF(E561=$AO$6,1,"")</f>
        <v/>
      </c>
      <c r="AP561" s="81">
        <f>IF(E561=$AP$6,1,"")</f>
        <v/>
      </c>
      <c r="AQ561" s="81">
        <f>IF(E561=$AQ$6,1,"")</f>
        <v/>
      </c>
      <c r="AR561" s="81">
        <f>IF(E561=$AR$6,1,"")</f>
        <v/>
      </c>
      <c r="AS561" s="81" t="n"/>
    </row>
    <row r="562" ht="15.75" customHeight="1" s="80">
      <c r="A562" s="157" t="n"/>
      <c r="B562" s="124" t="n"/>
      <c r="C562" s="125" t="n"/>
      <c r="D562" s="126" t="n"/>
      <c r="E562" s="127" t="n"/>
      <c r="F562" s="128" t="n"/>
      <c r="G562" s="129">
        <f>IF(F562="","",ROUND(F562/60,2))</f>
        <v/>
      </c>
      <c r="H562" s="130" t="n"/>
      <c r="I562" s="131" t="n"/>
      <c r="J562" s="131">
        <f>IF(COUNTIF(B562:E562,"*")=0,"",IF(T562=1,"Invalid Service",IF(AND(V562=1,F562=""),"Add Session Mins",IF(AND(E562&gt;0,H562="",T562=""),"Enter Contract Rate",IF(AND(E562="IEP mtg, prep, rept",F562&gt;0),(G562*H562),IF(AND(E562&gt;0,F562&gt;0,H562&gt;0,I562=""),"Enter Travel",IF(AND(F562&gt;0,I562="Y"),(G562*H562)+$M$10,IF(AND(F562&gt;0,I562="N"),(G562*H562),H562))))))))</f>
        <v/>
      </c>
      <c r="K562" s="132">
        <f>J562</f>
        <v/>
      </c>
      <c r="L562" s="148" t="n"/>
      <c r="M562" s="148" t="n"/>
      <c r="N562" s="148" t="n"/>
      <c r="O562" s="87" t="n"/>
      <c r="P562" s="81" t="n"/>
      <c r="Q562" s="81" t="n"/>
      <c r="R562" s="81" t="n"/>
      <c r="S562" s="81" t="n"/>
      <c r="T562" s="136">
        <f>IF(AND(E562&gt;0,U562=0),1,"")</f>
        <v/>
      </c>
      <c r="U562" s="136">
        <f>SUM(X562:AR562)</f>
        <v/>
      </c>
      <c r="V562" s="136">
        <f>IF(E562=$Q$16,0,SUM(X562:AI562))</f>
        <v/>
      </c>
      <c r="W562" s="136">
        <f>SUM(AK562:AR562)</f>
        <v/>
      </c>
      <c r="X562" s="136">
        <f>IF(E562=$X$6,1,"")</f>
        <v/>
      </c>
      <c r="Y562" s="136">
        <f>IF(E562=$Y$6,1,"")</f>
        <v/>
      </c>
      <c r="Z562" s="136">
        <f>IF(E562=$Z$6,1,"")</f>
        <v/>
      </c>
      <c r="AA562" s="136">
        <f>IF(E562=$AA$6,1,"")</f>
        <v/>
      </c>
      <c r="AB562" s="136">
        <f>IF(E562=$AB$6,1,"")</f>
        <v/>
      </c>
      <c r="AC562" s="136">
        <f>IF(E562=$AC$6,1,"")</f>
        <v/>
      </c>
      <c r="AD562" s="136">
        <f>IF(E562=$AD$6,1,"")</f>
        <v/>
      </c>
      <c r="AE562" s="136">
        <f>IF(E562=$AE$6,1,"")</f>
        <v/>
      </c>
      <c r="AF562" s="136">
        <f>IF(E562=$AF$6,1,"")</f>
        <v/>
      </c>
      <c r="AG562" s="136">
        <f>IF(E562=$AG$6,1,"")</f>
        <v/>
      </c>
      <c r="AH562" s="136">
        <f>IF(E562=$AH$6,1,"")</f>
        <v/>
      </c>
      <c r="AI562" s="136">
        <f>IF(E562=$AI$6,1,"")</f>
        <v/>
      </c>
      <c r="AJ562" s="136">
        <f>IF(E562=$AJ$6,1,"")</f>
        <v/>
      </c>
      <c r="AK562" s="81">
        <f>IF(E562=$AK$6,1,"")</f>
        <v/>
      </c>
      <c r="AL562" s="81">
        <f>IF(E562=$AL$6,1,"")</f>
        <v/>
      </c>
      <c r="AM562" s="81">
        <f>IF(E562=$AM$6,1,"")</f>
        <v/>
      </c>
      <c r="AN562" s="81">
        <f>IF(E562=$AN$6,1,"")</f>
        <v/>
      </c>
      <c r="AO562" s="81">
        <f>IF(E562=$AO$6,1,"")</f>
        <v/>
      </c>
      <c r="AP562" s="81">
        <f>IF(E562=$AP$6,1,"")</f>
        <v/>
      </c>
      <c r="AQ562" s="81">
        <f>IF(E562=$AQ$6,1,"")</f>
        <v/>
      </c>
      <c r="AR562" s="81">
        <f>IF(E562=$AR$6,1,"")</f>
        <v/>
      </c>
      <c r="AS562" s="81" t="n"/>
    </row>
    <row r="563" ht="15.75" customHeight="1" s="80">
      <c r="A563" s="157" t="n"/>
      <c r="B563" s="124" t="n"/>
      <c r="C563" s="125" t="n"/>
      <c r="D563" s="126" t="n"/>
      <c r="E563" s="127" t="n"/>
      <c r="F563" s="128" t="n"/>
      <c r="G563" s="129">
        <f>IF(F563="","",ROUND(F563/60,2))</f>
        <v/>
      </c>
      <c r="H563" s="130" t="n"/>
      <c r="I563" s="131" t="n"/>
      <c r="J563" s="131">
        <f>IF(COUNTIF(B563:E563,"*")=0,"",IF(T563=1,"Invalid Service",IF(AND(V563=1,F563=""),"Add Session Mins",IF(AND(E563&gt;0,H563="",T563=""),"Enter Contract Rate",IF(AND(E563="IEP mtg, prep, rept",F563&gt;0),(G563*H563),IF(AND(E563&gt;0,F563&gt;0,H563&gt;0,I563=""),"Enter Travel",IF(AND(F563&gt;0,I563="Y"),(G563*H563)+$M$10,IF(AND(F563&gt;0,I563="N"),(G563*H563),H563))))))))</f>
        <v/>
      </c>
      <c r="K563" s="132">
        <f>J563</f>
        <v/>
      </c>
      <c r="L563" s="148" t="n"/>
      <c r="M563" s="148" t="n"/>
      <c r="N563" s="148" t="n"/>
      <c r="O563" s="87" t="n"/>
      <c r="P563" s="81" t="n"/>
      <c r="Q563" s="81" t="n"/>
      <c r="R563" s="81" t="n"/>
      <c r="S563" s="81" t="n"/>
      <c r="T563" s="136">
        <f>IF(AND(E563&gt;0,U563=0),1,"")</f>
        <v/>
      </c>
      <c r="U563" s="136">
        <f>SUM(X563:AR563)</f>
        <v/>
      </c>
      <c r="V563" s="136">
        <f>IF(E563=$Q$16,0,SUM(X563:AI563))</f>
        <v/>
      </c>
      <c r="W563" s="136">
        <f>SUM(AK563:AR563)</f>
        <v/>
      </c>
      <c r="X563" s="136">
        <f>IF(E563=$X$6,1,"")</f>
        <v/>
      </c>
      <c r="Y563" s="136">
        <f>IF(E563=$Y$6,1,"")</f>
        <v/>
      </c>
      <c r="Z563" s="136">
        <f>IF(E563=$Z$6,1,"")</f>
        <v/>
      </c>
      <c r="AA563" s="136">
        <f>IF(E563=$AA$6,1,"")</f>
        <v/>
      </c>
      <c r="AB563" s="136">
        <f>IF(E563=$AB$6,1,"")</f>
        <v/>
      </c>
      <c r="AC563" s="136">
        <f>IF(E563=$AC$6,1,"")</f>
        <v/>
      </c>
      <c r="AD563" s="136">
        <f>IF(E563=$AD$6,1,"")</f>
        <v/>
      </c>
      <c r="AE563" s="136">
        <f>IF(E563=$AE$6,1,"")</f>
        <v/>
      </c>
      <c r="AF563" s="136">
        <f>IF(E563=$AF$6,1,"")</f>
        <v/>
      </c>
      <c r="AG563" s="136">
        <f>IF(E563=$AG$6,1,"")</f>
        <v/>
      </c>
      <c r="AH563" s="136">
        <f>IF(E563=$AH$6,1,"")</f>
        <v/>
      </c>
      <c r="AI563" s="136">
        <f>IF(E563=$AI$6,1,"")</f>
        <v/>
      </c>
      <c r="AJ563" s="136">
        <f>IF(E563=$AJ$6,1,"")</f>
        <v/>
      </c>
      <c r="AK563" s="81">
        <f>IF(E563=$AK$6,1,"")</f>
        <v/>
      </c>
      <c r="AL563" s="81">
        <f>IF(E563=$AL$6,1,"")</f>
        <v/>
      </c>
      <c r="AM563" s="81">
        <f>IF(E563=$AM$6,1,"")</f>
        <v/>
      </c>
      <c r="AN563" s="81">
        <f>IF(E563=$AN$6,1,"")</f>
        <v/>
      </c>
      <c r="AO563" s="81">
        <f>IF(E563=$AO$6,1,"")</f>
        <v/>
      </c>
      <c r="AP563" s="81">
        <f>IF(E563=$AP$6,1,"")</f>
        <v/>
      </c>
      <c r="AQ563" s="81">
        <f>IF(E563=$AQ$6,1,"")</f>
        <v/>
      </c>
      <c r="AR563" s="81">
        <f>IF(E563=$AR$6,1,"")</f>
        <v/>
      </c>
      <c r="AS563" s="81" t="n"/>
    </row>
    <row r="564" ht="15.75" customHeight="1" s="80">
      <c r="A564" s="157" t="n"/>
      <c r="B564" s="124" t="n"/>
      <c r="C564" s="125" t="n"/>
      <c r="D564" s="126" t="n"/>
      <c r="E564" s="127" t="n"/>
      <c r="F564" s="128" t="n"/>
      <c r="G564" s="129">
        <f>IF(F564="","",ROUND(F564/60,2))</f>
        <v/>
      </c>
      <c r="H564" s="130" t="n"/>
      <c r="I564" s="131" t="n"/>
      <c r="J564" s="131">
        <f>IF(COUNTIF(B564:E564,"*")=0,"",IF(T564=1,"Invalid Service",IF(AND(V564=1,F564=""),"Add Session Mins",IF(AND(E564&gt;0,H564="",T564=""),"Enter Contract Rate",IF(AND(E564="IEP mtg, prep, rept",F564&gt;0),(G564*H564),IF(AND(E564&gt;0,F564&gt;0,H564&gt;0,I564=""),"Enter Travel",IF(AND(F564&gt;0,I564="Y"),(G564*H564)+$M$10,IF(AND(F564&gt;0,I564="N"),(G564*H564),H564))))))))</f>
        <v/>
      </c>
      <c r="K564" s="132">
        <f>J564</f>
        <v/>
      </c>
      <c r="L564" s="148" t="n"/>
      <c r="M564" s="148" t="n"/>
      <c r="N564" s="148" t="n"/>
      <c r="O564" s="87" t="n"/>
      <c r="P564" s="81" t="n"/>
      <c r="Q564" s="81" t="n"/>
      <c r="R564" s="81" t="n"/>
      <c r="S564" s="81" t="n"/>
      <c r="T564" s="136">
        <f>IF(AND(E564&gt;0,U564=0),1,"")</f>
        <v/>
      </c>
      <c r="U564" s="136">
        <f>SUM(X564:AR564)</f>
        <v/>
      </c>
      <c r="V564" s="136">
        <f>IF(E564=$Q$16,0,SUM(X564:AI564))</f>
        <v/>
      </c>
      <c r="W564" s="136">
        <f>SUM(AK564:AR564)</f>
        <v/>
      </c>
      <c r="X564" s="136">
        <f>IF(E564=$X$6,1,"")</f>
        <v/>
      </c>
      <c r="Y564" s="136">
        <f>IF(E564=$Y$6,1,"")</f>
        <v/>
      </c>
      <c r="Z564" s="136">
        <f>IF(E564=$Z$6,1,"")</f>
        <v/>
      </c>
      <c r="AA564" s="136">
        <f>IF(E564=$AA$6,1,"")</f>
        <v/>
      </c>
      <c r="AB564" s="136">
        <f>IF(E564=$AB$6,1,"")</f>
        <v/>
      </c>
      <c r="AC564" s="136">
        <f>IF(E564=$AC$6,1,"")</f>
        <v/>
      </c>
      <c r="AD564" s="136">
        <f>IF(E564=$AD$6,1,"")</f>
        <v/>
      </c>
      <c r="AE564" s="136">
        <f>IF(E564=$AE$6,1,"")</f>
        <v/>
      </c>
      <c r="AF564" s="136">
        <f>IF(E564=$AF$6,1,"")</f>
        <v/>
      </c>
      <c r="AG564" s="136">
        <f>IF(E564=$AG$6,1,"")</f>
        <v/>
      </c>
      <c r="AH564" s="136">
        <f>IF(E564=$AH$6,1,"")</f>
        <v/>
      </c>
      <c r="AI564" s="136">
        <f>IF(E564=$AI$6,1,"")</f>
        <v/>
      </c>
      <c r="AJ564" s="136">
        <f>IF(E564=$AJ$6,1,"")</f>
        <v/>
      </c>
      <c r="AK564" s="81">
        <f>IF(E564=$AK$6,1,"")</f>
        <v/>
      </c>
      <c r="AL564" s="81">
        <f>IF(E564=$AL$6,1,"")</f>
        <v/>
      </c>
      <c r="AM564" s="81">
        <f>IF(E564=$AM$6,1,"")</f>
        <v/>
      </c>
      <c r="AN564" s="81">
        <f>IF(E564=$AN$6,1,"")</f>
        <v/>
      </c>
      <c r="AO564" s="81">
        <f>IF(E564=$AO$6,1,"")</f>
        <v/>
      </c>
      <c r="AP564" s="81">
        <f>IF(E564=$AP$6,1,"")</f>
        <v/>
      </c>
      <c r="AQ564" s="81">
        <f>IF(E564=$AQ$6,1,"")</f>
        <v/>
      </c>
      <c r="AR564" s="81">
        <f>IF(E564=$AR$6,1,"")</f>
        <v/>
      </c>
      <c r="AS564" s="81" t="n"/>
    </row>
    <row r="565" ht="15.75" customHeight="1" s="80">
      <c r="A565" s="157" t="n"/>
      <c r="B565" s="124" t="n"/>
      <c r="C565" s="125" t="n"/>
      <c r="D565" s="126" t="n"/>
      <c r="E565" s="127" t="n"/>
      <c r="F565" s="128" t="n"/>
      <c r="G565" s="129">
        <f>IF(F565="","",ROUND(F565/60,2))</f>
        <v/>
      </c>
      <c r="H565" s="130" t="n"/>
      <c r="I565" s="131" t="n"/>
      <c r="J565" s="131">
        <f>IF(COUNTIF(B565:E565,"*")=0,"",IF(T565=1,"Invalid Service",IF(AND(V565=1,F565=""),"Add Session Mins",IF(AND(E565&gt;0,H565="",T565=""),"Enter Contract Rate",IF(AND(E565="IEP mtg, prep, rept",F565&gt;0),(G565*H565),IF(AND(E565&gt;0,F565&gt;0,H565&gt;0,I565=""),"Enter Travel",IF(AND(F565&gt;0,I565="Y"),(G565*H565)+$M$10,IF(AND(F565&gt;0,I565="N"),(G565*H565),H565))))))))</f>
        <v/>
      </c>
      <c r="K565" s="132">
        <f>J565</f>
        <v/>
      </c>
      <c r="L565" s="148" t="n"/>
      <c r="M565" s="148" t="n"/>
      <c r="N565" s="148" t="n"/>
      <c r="O565" s="87" t="n"/>
      <c r="P565" s="81" t="n"/>
      <c r="Q565" s="81" t="n"/>
      <c r="R565" s="81" t="n"/>
      <c r="S565" s="81" t="n"/>
      <c r="T565" s="136">
        <f>IF(AND(E565&gt;0,U565=0),1,"")</f>
        <v/>
      </c>
      <c r="U565" s="136">
        <f>SUM(X565:AR565)</f>
        <v/>
      </c>
      <c r="V565" s="136">
        <f>IF(E565=$Q$16,0,SUM(X565:AI565))</f>
        <v/>
      </c>
      <c r="W565" s="136">
        <f>SUM(AK565:AR565)</f>
        <v/>
      </c>
      <c r="X565" s="136">
        <f>IF(E565=$X$6,1,"")</f>
        <v/>
      </c>
      <c r="Y565" s="136">
        <f>IF(E565=$Y$6,1,"")</f>
        <v/>
      </c>
      <c r="Z565" s="136">
        <f>IF(E565=$Z$6,1,"")</f>
        <v/>
      </c>
      <c r="AA565" s="136">
        <f>IF(E565=$AA$6,1,"")</f>
        <v/>
      </c>
      <c r="AB565" s="136">
        <f>IF(E565=$AB$6,1,"")</f>
        <v/>
      </c>
      <c r="AC565" s="136">
        <f>IF(E565=$AC$6,1,"")</f>
        <v/>
      </c>
      <c r="AD565" s="136">
        <f>IF(E565=$AD$6,1,"")</f>
        <v/>
      </c>
      <c r="AE565" s="136">
        <f>IF(E565=$AE$6,1,"")</f>
        <v/>
      </c>
      <c r="AF565" s="136">
        <f>IF(E565=$AF$6,1,"")</f>
        <v/>
      </c>
      <c r="AG565" s="136">
        <f>IF(E565=$AG$6,1,"")</f>
        <v/>
      </c>
      <c r="AH565" s="136">
        <f>IF(E565=$AH$6,1,"")</f>
        <v/>
      </c>
      <c r="AI565" s="136">
        <f>IF(E565=$AI$6,1,"")</f>
        <v/>
      </c>
      <c r="AJ565" s="136">
        <f>IF(E565=$AJ$6,1,"")</f>
        <v/>
      </c>
      <c r="AK565" s="81">
        <f>IF(E565=$AK$6,1,"")</f>
        <v/>
      </c>
      <c r="AL565" s="81">
        <f>IF(E565=$AL$6,1,"")</f>
        <v/>
      </c>
      <c r="AM565" s="81">
        <f>IF(E565=$AM$6,1,"")</f>
        <v/>
      </c>
      <c r="AN565" s="81">
        <f>IF(E565=$AN$6,1,"")</f>
        <v/>
      </c>
      <c r="AO565" s="81">
        <f>IF(E565=$AO$6,1,"")</f>
        <v/>
      </c>
      <c r="AP565" s="81">
        <f>IF(E565=$AP$6,1,"")</f>
        <v/>
      </c>
      <c r="AQ565" s="81">
        <f>IF(E565=$AQ$6,1,"")</f>
        <v/>
      </c>
      <c r="AR565" s="81">
        <f>IF(E565=$AR$6,1,"")</f>
        <v/>
      </c>
      <c r="AS565" s="81" t="n"/>
    </row>
    <row r="566" ht="15.75" customHeight="1" s="80">
      <c r="A566" s="157" t="n"/>
      <c r="B566" s="124" t="n"/>
      <c r="C566" s="125" t="n"/>
      <c r="D566" s="126" t="n"/>
      <c r="E566" s="127" t="n"/>
      <c r="F566" s="128" t="n"/>
      <c r="G566" s="129">
        <f>IF(F566="","",ROUND(F566/60,2))</f>
        <v/>
      </c>
      <c r="H566" s="130" t="n"/>
      <c r="I566" s="131" t="n"/>
      <c r="J566" s="131">
        <f>IF(COUNTIF(B566:E566,"*")=0,"",IF(T566=1,"Invalid Service",IF(AND(V566=1,F566=""),"Add Session Mins",IF(AND(E566&gt;0,H566="",T566=""),"Enter Contract Rate",IF(AND(E566="IEP mtg, prep, rept",F566&gt;0),(G566*H566),IF(AND(E566&gt;0,F566&gt;0,H566&gt;0,I566=""),"Enter Travel",IF(AND(F566&gt;0,I566="Y"),(G566*H566)+$M$10,IF(AND(F566&gt;0,I566="N"),(G566*H566),H566))))))))</f>
        <v/>
      </c>
      <c r="K566" s="132">
        <f>J566</f>
        <v/>
      </c>
      <c r="L566" s="148" t="n"/>
      <c r="M566" s="148" t="n"/>
      <c r="N566" s="148" t="n"/>
      <c r="O566" s="87" t="n"/>
      <c r="P566" s="81" t="n"/>
      <c r="Q566" s="81" t="n"/>
      <c r="R566" s="81" t="n"/>
      <c r="S566" s="81" t="n"/>
      <c r="T566" s="136">
        <f>IF(AND(E566&gt;0,U566=0),1,"")</f>
        <v/>
      </c>
      <c r="U566" s="136">
        <f>SUM(X566:AR566)</f>
        <v/>
      </c>
      <c r="V566" s="136">
        <f>IF(E566=$Q$16,0,SUM(X566:AI566))</f>
        <v/>
      </c>
      <c r="W566" s="136">
        <f>SUM(AK566:AR566)</f>
        <v/>
      </c>
      <c r="X566" s="136">
        <f>IF(E566=$X$6,1,"")</f>
        <v/>
      </c>
      <c r="Y566" s="136">
        <f>IF(E566=$Y$6,1,"")</f>
        <v/>
      </c>
      <c r="Z566" s="136">
        <f>IF(E566=$Z$6,1,"")</f>
        <v/>
      </c>
      <c r="AA566" s="136">
        <f>IF(E566=$AA$6,1,"")</f>
        <v/>
      </c>
      <c r="AB566" s="136">
        <f>IF(E566=$AB$6,1,"")</f>
        <v/>
      </c>
      <c r="AC566" s="136">
        <f>IF(E566=$AC$6,1,"")</f>
        <v/>
      </c>
      <c r="AD566" s="136">
        <f>IF(E566=$AD$6,1,"")</f>
        <v/>
      </c>
      <c r="AE566" s="136">
        <f>IF(E566=$AE$6,1,"")</f>
        <v/>
      </c>
      <c r="AF566" s="136">
        <f>IF(E566=$AF$6,1,"")</f>
        <v/>
      </c>
      <c r="AG566" s="136">
        <f>IF(E566=$AG$6,1,"")</f>
        <v/>
      </c>
      <c r="AH566" s="136">
        <f>IF(E566=$AH$6,1,"")</f>
        <v/>
      </c>
      <c r="AI566" s="136">
        <f>IF(E566=$AI$6,1,"")</f>
        <v/>
      </c>
      <c r="AJ566" s="136">
        <f>IF(E566=$AJ$6,1,"")</f>
        <v/>
      </c>
      <c r="AK566" s="81">
        <f>IF(E566=$AK$6,1,"")</f>
        <v/>
      </c>
      <c r="AL566" s="81">
        <f>IF(E566=$AL$6,1,"")</f>
        <v/>
      </c>
      <c r="AM566" s="81">
        <f>IF(E566=$AM$6,1,"")</f>
        <v/>
      </c>
      <c r="AN566" s="81">
        <f>IF(E566=$AN$6,1,"")</f>
        <v/>
      </c>
      <c r="AO566" s="81">
        <f>IF(E566=$AO$6,1,"")</f>
        <v/>
      </c>
      <c r="AP566" s="81">
        <f>IF(E566=$AP$6,1,"")</f>
        <v/>
      </c>
      <c r="AQ566" s="81">
        <f>IF(E566=$AQ$6,1,"")</f>
        <v/>
      </c>
      <c r="AR566" s="81">
        <f>IF(E566=$AR$6,1,"")</f>
        <v/>
      </c>
      <c r="AS566" s="81" t="n"/>
    </row>
    <row r="567" ht="15.75" customHeight="1" s="80">
      <c r="A567" s="157" t="n"/>
      <c r="B567" s="124" t="n"/>
      <c r="C567" s="125" t="n"/>
      <c r="D567" s="126" t="n"/>
      <c r="E567" s="127" t="n"/>
      <c r="F567" s="128" t="n"/>
      <c r="G567" s="129">
        <f>IF(F567="","",ROUND(F567/60,2))</f>
        <v/>
      </c>
      <c r="H567" s="130" t="n"/>
      <c r="I567" s="131" t="n"/>
      <c r="J567" s="131">
        <f>IF(COUNTIF(B567:E567,"*")=0,"",IF(T567=1,"Invalid Service",IF(AND(V567=1,F567=""),"Add Session Mins",IF(AND(E567&gt;0,H567="",T567=""),"Enter Contract Rate",IF(AND(E567="IEP mtg, prep, rept",F567&gt;0),(G567*H567),IF(AND(E567&gt;0,F567&gt;0,H567&gt;0,I567=""),"Enter Travel",IF(AND(F567&gt;0,I567="Y"),(G567*H567)+$M$10,IF(AND(F567&gt;0,I567="N"),(G567*H567),H567))))))))</f>
        <v/>
      </c>
      <c r="K567" s="132">
        <f>J567</f>
        <v/>
      </c>
      <c r="L567" s="148" t="n"/>
      <c r="M567" s="148" t="n"/>
      <c r="N567" s="148" t="n"/>
      <c r="O567" s="87" t="n"/>
      <c r="P567" s="81" t="n"/>
      <c r="Q567" s="81" t="n"/>
      <c r="R567" s="81" t="n"/>
      <c r="S567" s="81" t="n"/>
      <c r="T567" s="136">
        <f>IF(AND(E567&gt;0,U567=0),1,"")</f>
        <v/>
      </c>
      <c r="U567" s="136">
        <f>SUM(X567:AR567)</f>
        <v/>
      </c>
      <c r="V567" s="136">
        <f>IF(E567=$Q$16,0,SUM(X567:AI567))</f>
        <v/>
      </c>
      <c r="W567" s="136">
        <f>SUM(AK567:AR567)</f>
        <v/>
      </c>
      <c r="X567" s="136">
        <f>IF(E567=$X$6,1,"")</f>
        <v/>
      </c>
      <c r="Y567" s="136">
        <f>IF(E567=$Y$6,1,"")</f>
        <v/>
      </c>
      <c r="Z567" s="136">
        <f>IF(E567=$Z$6,1,"")</f>
        <v/>
      </c>
      <c r="AA567" s="136">
        <f>IF(E567=$AA$6,1,"")</f>
        <v/>
      </c>
      <c r="AB567" s="136">
        <f>IF(E567=$AB$6,1,"")</f>
        <v/>
      </c>
      <c r="AC567" s="136">
        <f>IF(E567=$AC$6,1,"")</f>
        <v/>
      </c>
      <c r="AD567" s="136">
        <f>IF(E567=$AD$6,1,"")</f>
        <v/>
      </c>
      <c r="AE567" s="136">
        <f>IF(E567=$AE$6,1,"")</f>
        <v/>
      </c>
      <c r="AF567" s="136">
        <f>IF(E567=$AF$6,1,"")</f>
        <v/>
      </c>
      <c r="AG567" s="136">
        <f>IF(E567=$AG$6,1,"")</f>
        <v/>
      </c>
      <c r="AH567" s="136">
        <f>IF(E567=$AH$6,1,"")</f>
        <v/>
      </c>
      <c r="AI567" s="136">
        <f>IF(E567=$AI$6,1,"")</f>
        <v/>
      </c>
      <c r="AJ567" s="136">
        <f>IF(E567=$AJ$6,1,"")</f>
        <v/>
      </c>
      <c r="AK567" s="81">
        <f>IF(E567=$AK$6,1,"")</f>
        <v/>
      </c>
      <c r="AL567" s="81">
        <f>IF(E567=$AL$6,1,"")</f>
        <v/>
      </c>
      <c r="AM567" s="81">
        <f>IF(E567=$AM$6,1,"")</f>
        <v/>
      </c>
      <c r="AN567" s="81">
        <f>IF(E567=$AN$6,1,"")</f>
        <v/>
      </c>
      <c r="AO567" s="81">
        <f>IF(E567=$AO$6,1,"")</f>
        <v/>
      </c>
      <c r="AP567" s="81">
        <f>IF(E567=$AP$6,1,"")</f>
        <v/>
      </c>
      <c r="AQ567" s="81">
        <f>IF(E567=$AQ$6,1,"")</f>
        <v/>
      </c>
      <c r="AR567" s="81">
        <f>IF(E567=$AR$6,1,"")</f>
        <v/>
      </c>
      <c r="AS567" s="81" t="n"/>
    </row>
    <row r="568" ht="15.75" customHeight="1" s="80">
      <c r="A568" s="157" t="n"/>
      <c r="B568" s="124" t="n"/>
      <c r="C568" s="125" t="n"/>
      <c r="D568" s="126" t="n"/>
      <c r="E568" s="127" t="n"/>
      <c r="F568" s="128" t="n"/>
      <c r="G568" s="129">
        <f>IF(F568="","",ROUND(F568/60,2))</f>
        <v/>
      </c>
      <c r="H568" s="130" t="n"/>
      <c r="I568" s="131" t="n"/>
      <c r="J568" s="131">
        <f>IF(COUNTIF(B568:E568,"*")=0,"",IF(T568=1,"Invalid Service",IF(AND(V568=1,F568=""),"Add Session Mins",IF(AND(E568&gt;0,H568="",T568=""),"Enter Contract Rate",IF(AND(E568="IEP mtg, prep, rept",F568&gt;0),(G568*H568),IF(AND(E568&gt;0,F568&gt;0,H568&gt;0,I568=""),"Enter Travel",IF(AND(F568&gt;0,I568="Y"),(G568*H568)+$M$10,IF(AND(F568&gt;0,I568="N"),(G568*H568),H568))))))))</f>
        <v/>
      </c>
      <c r="K568" s="132">
        <f>J568</f>
        <v/>
      </c>
      <c r="L568" s="148" t="n"/>
      <c r="M568" s="148" t="n"/>
      <c r="N568" s="148" t="n"/>
      <c r="O568" s="87" t="n"/>
      <c r="P568" s="81" t="n"/>
      <c r="Q568" s="81" t="n"/>
      <c r="R568" s="81" t="n"/>
      <c r="S568" s="81" t="n"/>
      <c r="T568" s="136">
        <f>IF(AND(E568&gt;0,U568=0),1,"")</f>
        <v/>
      </c>
      <c r="U568" s="136">
        <f>SUM(X568:AR568)</f>
        <v/>
      </c>
      <c r="V568" s="136">
        <f>IF(E568=$Q$16,0,SUM(X568:AI568))</f>
        <v/>
      </c>
      <c r="W568" s="136">
        <f>SUM(AK568:AR568)</f>
        <v/>
      </c>
      <c r="X568" s="136">
        <f>IF(E568=$X$6,1,"")</f>
        <v/>
      </c>
      <c r="Y568" s="136">
        <f>IF(E568=$Y$6,1,"")</f>
        <v/>
      </c>
      <c r="Z568" s="136">
        <f>IF(E568=$Z$6,1,"")</f>
        <v/>
      </c>
      <c r="AA568" s="136">
        <f>IF(E568=$AA$6,1,"")</f>
        <v/>
      </c>
      <c r="AB568" s="136">
        <f>IF(E568=$AB$6,1,"")</f>
        <v/>
      </c>
      <c r="AC568" s="136">
        <f>IF(E568=$AC$6,1,"")</f>
        <v/>
      </c>
      <c r="AD568" s="136">
        <f>IF(E568=$AD$6,1,"")</f>
        <v/>
      </c>
      <c r="AE568" s="136">
        <f>IF(E568=$AE$6,1,"")</f>
        <v/>
      </c>
      <c r="AF568" s="136">
        <f>IF(E568=$AF$6,1,"")</f>
        <v/>
      </c>
      <c r="AG568" s="136">
        <f>IF(E568=$AG$6,1,"")</f>
        <v/>
      </c>
      <c r="AH568" s="136">
        <f>IF(E568=$AH$6,1,"")</f>
        <v/>
      </c>
      <c r="AI568" s="136">
        <f>IF(E568=$AI$6,1,"")</f>
        <v/>
      </c>
      <c r="AJ568" s="136">
        <f>IF(E568=$AJ$6,1,"")</f>
        <v/>
      </c>
      <c r="AK568" s="81">
        <f>IF(E568=$AK$6,1,"")</f>
        <v/>
      </c>
      <c r="AL568" s="81">
        <f>IF(E568=$AL$6,1,"")</f>
        <v/>
      </c>
      <c r="AM568" s="81">
        <f>IF(E568=$AM$6,1,"")</f>
        <v/>
      </c>
      <c r="AN568" s="81">
        <f>IF(E568=$AN$6,1,"")</f>
        <v/>
      </c>
      <c r="AO568" s="81">
        <f>IF(E568=$AO$6,1,"")</f>
        <v/>
      </c>
      <c r="AP568" s="81">
        <f>IF(E568=$AP$6,1,"")</f>
        <v/>
      </c>
      <c r="AQ568" s="81">
        <f>IF(E568=$AQ$6,1,"")</f>
        <v/>
      </c>
      <c r="AR568" s="81">
        <f>IF(E568=$AR$6,1,"")</f>
        <v/>
      </c>
      <c r="AS568" s="81" t="n"/>
    </row>
    <row r="569" ht="15.75" customHeight="1" s="80">
      <c r="A569" s="157" t="n"/>
      <c r="B569" s="124" t="n"/>
      <c r="C569" s="125" t="n"/>
      <c r="D569" s="126" t="n"/>
      <c r="E569" s="127" t="n"/>
      <c r="F569" s="128" t="n"/>
      <c r="G569" s="129">
        <f>IF(F569="","",ROUND(F569/60,2))</f>
        <v/>
      </c>
      <c r="H569" s="130" t="n"/>
      <c r="I569" s="131" t="n"/>
      <c r="J569" s="131">
        <f>IF(COUNTIF(B569:E569,"*")=0,"",IF(T569=1,"Invalid Service",IF(AND(V569=1,F569=""),"Add Session Mins",IF(AND(E569&gt;0,H569="",T569=""),"Enter Contract Rate",IF(AND(E569="IEP mtg, prep, rept",F569&gt;0),(G569*H569),IF(AND(E569&gt;0,F569&gt;0,H569&gt;0,I569=""),"Enter Travel",IF(AND(F569&gt;0,I569="Y"),(G569*H569)+$M$10,IF(AND(F569&gt;0,I569="N"),(G569*H569),H569))))))))</f>
        <v/>
      </c>
      <c r="K569" s="132">
        <f>J569</f>
        <v/>
      </c>
      <c r="L569" s="148" t="n"/>
      <c r="M569" s="148" t="n"/>
      <c r="N569" s="148" t="n"/>
      <c r="O569" s="87" t="n"/>
      <c r="P569" s="81" t="n"/>
      <c r="Q569" s="81" t="n"/>
      <c r="R569" s="81" t="n"/>
      <c r="S569" s="81" t="n"/>
      <c r="T569" s="136">
        <f>IF(AND(E569&gt;0,U569=0),1,"")</f>
        <v/>
      </c>
      <c r="U569" s="136">
        <f>SUM(X569:AR569)</f>
        <v/>
      </c>
      <c r="V569" s="136">
        <f>IF(E569=$Q$16,0,SUM(X569:AI569))</f>
        <v/>
      </c>
      <c r="W569" s="136">
        <f>SUM(AK569:AR569)</f>
        <v/>
      </c>
      <c r="X569" s="136">
        <f>IF(E569=$X$6,1,"")</f>
        <v/>
      </c>
      <c r="Y569" s="136">
        <f>IF(E569=$Y$6,1,"")</f>
        <v/>
      </c>
      <c r="Z569" s="136">
        <f>IF(E569=$Z$6,1,"")</f>
        <v/>
      </c>
      <c r="AA569" s="136">
        <f>IF(E569=$AA$6,1,"")</f>
        <v/>
      </c>
      <c r="AB569" s="136">
        <f>IF(E569=$AB$6,1,"")</f>
        <v/>
      </c>
      <c r="AC569" s="136">
        <f>IF(E569=$AC$6,1,"")</f>
        <v/>
      </c>
      <c r="AD569" s="136">
        <f>IF(E569=$AD$6,1,"")</f>
        <v/>
      </c>
      <c r="AE569" s="136">
        <f>IF(E569=$AE$6,1,"")</f>
        <v/>
      </c>
      <c r="AF569" s="136">
        <f>IF(E569=$AF$6,1,"")</f>
        <v/>
      </c>
      <c r="AG569" s="136">
        <f>IF(E569=$AG$6,1,"")</f>
        <v/>
      </c>
      <c r="AH569" s="136">
        <f>IF(E569=$AH$6,1,"")</f>
        <v/>
      </c>
      <c r="AI569" s="136">
        <f>IF(E569=$AI$6,1,"")</f>
        <v/>
      </c>
      <c r="AJ569" s="136">
        <f>IF(E569=$AJ$6,1,"")</f>
        <v/>
      </c>
      <c r="AK569" s="81">
        <f>IF(E569=$AK$6,1,"")</f>
        <v/>
      </c>
      <c r="AL569" s="81">
        <f>IF(E569=$AL$6,1,"")</f>
        <v/>
      </c>
      <c r="AM569" s="81">
        <f>IF(E569=$AM$6,1,"")</f>
        <v/>
      </c>
      <c r="AN569" s="81">
        <f>IF(E569=$AN$6,1,"")</f>
        <v/>
      </c>
      <c r="AO569" s="81">
        <f>IF(E569=$AO$6,1,"")</f>
        <v/>
      </c>
      <c r="AP569" s="81">
        <f>IF(E569=$AP$6,1,"")</f>
        <v/>
      </c>
      <c r="AQ569" s="81">
        <f>IF(E569=$AQ$6,1,"")</f>
        <v/>
      </c>
      <c r="AR569" s="81">
        <f>IF(E569=$AR$6,1,"")</f>
        <v/>
      </c>
      <c r="AS569" s="81" t="n"/>
    </row>
    <row r="570" ht="15.75" customHeight="1" s="80">
      <c r="A570" s="157" t="n"/>
      <c r="B570" s="124" t="n"/>
      <c r="C570" s="125" t="n"/>
      <c r="D570" s="126" t="n"/>
      <c r="E570" s="127" t="n"/>
      <c r="F570" s="128" t="n"/>
      <c r="G570" s="129">
        <f>IF(F570="","",ROUND(F570/60,2))</f>
        <v/>
      </c>
      <c r="H570" s="130" t="n"/>
      <c r="I570" s="131" t="n"/>
      <c r="J570" s="131">
        <f>IF(COUNTIF(B570:E570,"*")=0,"",IF(T570=1,"Invalid Service",IF(AND(V570=1,F570=""),"Add Session Mins",IF(AND(E570&gt;0,H570="",T570=""),"Enter Contract Rate",IF(AND(E570="IEP mtg, prep, rept",F570&gt;0),(G570*H570),IF(AND(E570&gt;0,F570&gt;0,H570&gt;0,I570=""),"Enter Travel",IF(AND(F570&gt;0,I570="Y"),(G570*H570)+$M$10,IF(AND(F570&gt;0,I570="N"),(G570*H570),H570))))))))</f>
        <v/>
      </c>
      <c r="K570" s="132">
        <f>J570</f>
        <v/>
      </c>
      <c r="L570" s="148" t="n"/>
      <c r="M570" s="148" t="n"/>
      <c r="N570" s="148" t="n"/>
      <c r="O570" s="87" t="n"/>
      <c r="P570" s="81" t="n"/>
      <c r="Q570" s="81" t="n"/>
      <c r="R570" s="81" t="n"/>
      <c r="S570" s="81" t="n"/>
      <c r="T570" s="136">
        <f>IF(AND(E570&gt;0,U570=0),1,"")</f>
        <v/>
      </c>
      <c r="U570" s="136">
        <f>SUM(X570:AR570)</f>
        <v/>
      </c>
      <c r="V570" s="136">
        <f>IF(E570=$Q$16,0,SUM(X570:AI570))</f>
        <v/>
      </c>
      <c r="W570" s="136">
        <f>SUM(AK570:AR570)</f>
        <v/>
      </c>
      <c r="X570" s="136">
        <f>IF(E570=$X$6,1,"")</f>
        <v/>
      </c>
      <c r="Y570" s="136">
        <f>IF(E570=$Y$6,1,"")</f>
        <v/>
      </c>
      <c r="Z570" s="136">
        <f>IF(E570=$Z$6,1,"")</f>
        <v/>
      </c>
      <c r="AA570" s="136">
        <f>IF(E570=$AA$6,1,"")</f>
        <v/>
      </c>
      <c r="AB570" s="136">
        <f>IF(E570=$AB$6,1,"")</f>
        <v/>
      </c>
      <c r="AC570" s="136">
        <f>IF(E570=$AC$6,1,"")</f>
        <v/>
      </c>
      <c r="AD570" s="136">
        <f>IF(E570=$AD$6,1,"")</f>
        <v/>
      </c>
      <c r="AE570" s="136">
        <f>IF(E570=$AE$6,1,"")</f>
        <v/>
      </c>
      <c r="AF570" s="136">
        <f>IF(E570=$AF$6,1,"")</f>
        <v/>
      </c>
      <c r="AG570" s="136">
        <f>IF(E570=$AG$6,1,"")</f>
        <v/>
      </c>
      <c r="AH570" s="136">
        <f>IF(E570=$AH$6,1,"")</f>
        <v/>
      </c>
      <c r="AI570" s="136">
        <f>IF(E570=$AI$6,1,"")</f>
        <v/>
      </c>
      <c r="AJ570" s="136">
        <f>IF(E570=$AJ$6,1,"")</f>
        <v/>
      </c>
      <c r="AK570" s="81">
        <f>IF(E570=$AK$6,1,"")</f>
        <v/>
      </c>
      <c r="AL570" s="81">
        <f>IF(E570=$AL$6,1,"")</f>
        <v/>
      </c>
      <c r="AM570" s="81">
        <f>IF(E570=$AM$6,1,"")</f>
        <v/>
      </c>
      <c r="AN570" s="81">
        <f>IF(E570=$AN$6,1,"")</f>
        <v/>
      </c>
      <c r="AO570" s="81">
        <f>IF(E570=$AO$6,1,"")</f>
        <v/>
      </c>
      <c r="AP570" s="81">
        <f>IF(E570=$AP$6,1,"")</f>
        <v/>
      </c>
      <c r="AQ570" s="81">
        <f>IF(E570=$AQ$6,1,"")</f>
        <v/>
      </c>
      <c r="AR570" s="81">
        <f>IF(E570=$AR$6,1,"")</f>
        <v/>
      </c>
      <c r="AS570" s="81" t="n"/>
    </row>
    <row r="571" ht="15.75" customHeight="1" s="80">
      <c r="A571" s="157" t="n"/>
      <c r="B571" s="124" t="n"/>
      <c r="C571" s="125" t="n"/>
      <c r="D571" s="126" t="n"/>
      <c r="E571" s="127" t="n"/>
      <c r="F571" s="128" t="n"/>
      <c r="G571" s="129">
        <f>IF(F571="","",ROUND(F571/60,2))</f>
        <v/>
      </c>
      <c r="H571" s="130" t="n"/>
      <c r="I571" s="131" t="n"/>
      <c r="J571" s="131">
        <f>IF(COUNTIF(B571:E571,"*")=0,"",IF(T571=1,"Invalid Service",IF(AND(V571=1,F571=""),"Add Session Mins",IF(AND(E571&gt;0,H571="",T571=""),"Enter Contract Rate",IF(AND(E571="IEP mtg, prep, rept",F571&gt;0),(G571*H571),IF(AND(E571&gt;0,F571&gt;0,H571&gt;0,I571=""),"Enter Travel",IF(AND(F571&gt;0,I571="Y"),(G571*H571)+$M$10,IF(AND(F571&gt;0,I571="N"),(G571*H571),H571))))))))</f>
        <v/>
      </c>
      <c r="K571" s="132">
        <f>J571</f>
        <v/>
      </c>
      <c r="L571" s="148" t="n"/>
      <c r="M571" s="148" t="n"/>
      <c r="N571" s="148" t="n"/>
      <c r="O571" s="87" t="n"/>
      <c r="P571" s="81" t="n"/>
      <c r="Q571" s="81" t="n"/>
      <c r="R571" s="81" t="n"/>
      <c r="S571" s="81" t="n"/>
      <c r="T571" s="136">
        <f>IF(AND(E571&gt;0,U571=0),1,"")</f>
        <v/>
      </c>
      <c r="U571" s="136">
        <f>SUM(X571:AR571)</f>
        <v/>
      </c>
      <c r="V571" s="136">
        <f>IF(E571=$Q$16,0,SUM(X571:AI571))</f>
        <v/>
      </c>
      <c r="W571" s="136">
        <f>SUM(AK571:AR571)</f>
        <v/>
      </c>
      <c r="X571" s="136">
        <f>IF(E571=$X$6,1,"")</f>
        <v/>
      </c>
      <c r="Y571" s="136">
        <f>IF(E571=$Y$6,1,"")</f>
        <v/>
      </c>
      <c r="Z571" s="136">
        <f>IF(E571=$Z$6,1,"")</f>
        <v/>
      </c>
      <c r="AA571" s="136">
        <f>IF(E571=$AA$6,1,"")</f>
        <v/>
      </c>
      <c r="AB571" s="136">
        <f>IF(E571=$AB$6,1,"")</f>
        <v/>
      </c>
      <c r="AC571" s="136">
        <f>IF(E571=$AC$6,1,"")</f>
        <v/>
      </c>
      <c r="AD571" s="136">
        <f>IF(E571=$AD$6,1,"")</f>
        <v/>
      </c>
      <c r="AE571" s="136">
        <f>IF(E571=$AE$6,1,"")</f>
        <v/>
      </c>
      <c r="AF571" s="136">
        <f>IF(E571=$AF$6,1,"")</f>
        <v/>
      </c>
      <c r="AG571" s="136">
        <f>IF(E571=$AG$6,1,"")</f>
        <v/>
      </c>
      <c r="AH571" s="136">
        <f>IF(E571=$AH$6,1,"")</f>
        <v/>
      </c>
      <c r="AI571" s="136">
        <f>IF(E571=$AI$6,1,"")</f>
        <v/>
      </c>
      <c r="AJ571" s="136">
        <f>IF(E571=$AJ$6,1,"")</f>
        <v/>
      </c>
      <c r="AK571" s="81">
        <f>IF(E571=$AK$6,1,"")</f>
        <v/>
      </c>
      <c r="AL571" s="81">
        <f>IF(E571=$AL$6,1,"")</f>
        <v/>
      </c>
      <c r="AM571" s="81">
        <f>IF(E571=$AM$6,1,"")</f>
        <v/>
      </c>
      <c r="AN571" s="81">
        <f>IF(E571=$AN$6,1,"")</f>
        <v/>
      </c>
      <c r="AO571" s="81">
        <f>IF(E571=$AO$6,1,"")</f>
        <v/>
      </c>
      <c r="AP571" s="81">
        <f>IF(E571=$AP$6,1,"")</f>
        <v/>
      </c>
      <c r="AQ571" s="81">
        <f>IF(E571=$AQ$6,1,"")</f>
        <v/>
      </c>
      <c r="AR571" s="81">
        <f>IF(E571=$AR$6,1,"")</f>
        <v/>
      </c>
      <c r="AS571" s="81" t="n"/>
    </row>
    <row r="572" ht="15.75" customHeight="1" s="80">
      <c r="A572" s="157" t="n"/>
      <c r="B572" s="124" t="n"/>
      <c r="C572" s="125" t="n"/>
      <c r="D572" s="126" t="n"/>
      <c r="E572" s="127" t="n"/>
      <c r="F572" s="128" t="n"/>
      <c r="G572" s="129">
        <f>IF(F572="","",ROUND(F572/60,2))</f>
        <v/>
      </c>
      <c r="H572" s="130" t="n"/>
      <c r="I572" s="131" t="n"/>
      <c r="J572" s="131">
        <f>IF(COUNTIF(B572:E572,"*")=0,"",IF(T572=1,"Invalid Service",IF(AND(V572=1,F572=""),"Add Session Mins",IF(AND(E572&gt;0,H572="",T572=""),"Enter Contract Rate",IF(AND(E572="IEP mtg, prep, rept",F572&gt;0),(G572*H572),IF(AND(E572&gt;0,F572&gt;0,H572&gt;0,I572=""),"Enter Travel",IF(AND(F572&gt;0,I572="Y"),(G572*H572)+$M$10,IF(AND(F572&gt;0,I572="N"),(G572*H572),H572))))))))</f>
        <v/>
      </c>
      <c r="K572" s="132">
        <f>J572</f>
        <v/>
      </c>
      <c r="L572" s="148" t="n"/>
      <c r="M572" s="148" t="n"/>
      <c r="N572" s="148" t="n"/>
      <c r="O572" s="87" t="n"/>
      <c r="P572" s="81" t="n"/>
      <c r="Q572" s="81" t="n"/>
      <c r="R572" s="81" t="n"/>
      <c r="S572" s="81" t="n"/>
      <c r="T572" s="136">
        <f>IF(AND(E572&gt;0,U572=0),1,"")</f>
        <v/>
      </c>
      <c r="U572" s="136">
        <f>SUM(X572:AR572)</f>
        <v/>
      </c>
      <c r="V572" s="136">
        <f>IF(E572=$Q$16,0,SUM(X572:AI572))</f>
        <v/>
      </c>
      <c r="W572" s="136">
        <f>SUM(AK572:AR572)</f>
        <v/>
      </c>
      <c r="X572" s="136">
        <f>IF(E572=$X$6,1,"")</f>
        <v/>
      </c>
      <c r="Y572" s="136">
        <f>IF(E572=$Y$6,1,"")</f>
        <v/>
      </c>
      <c r="Z572" s="136">
        <f>IF(E572=$Z$6,1,"")</f>
        <v/>
      </c>
      <c r="AA572" s="136">
        <f>IF(E572=$AA$6,1,"")</f>
        <v/>
      </c>
      <c r="AB572" s="136">
        <f>IF(E572=$AB$6,1,"")</f>
        <v/>
      </c>
      <c r="AC572" s="136">
        <f>IF(E572=$AC$6,1,"")</f>
        <v/>
      </c>
      <c r="AD572" s="136">
        <f>IF(E572=$AD$6,1,"")</f>
        <v/>
      </c>
      <c r="AE572" s="136">
        <f>IF(E572=$AE$6,1,"")</f>
        <v/>
      </c>
      <c r="AF572" s="136">
        <f>IF(E572=$AF$6,1,"")</f>
        <v/>
      </c>
      <c r="AG572" s="136">
        <f>IF(E572=$AG$6,1,"")</f>
        <v/>
      </c>
      <c r="AH572" s="136">
        <f>IF(E572=$AH$6,1,"")</f>
        <v/>
      </c>
      <c r="AI572" s="136">
        <f>IF(E572=$AI$6,1,"")</f>
        <v/>
      </c>
      <c r="AJ572" s="136">
        <f>IF(E572=$AJ$6,1,"")</f>
        <v/>
      </c>
      <c r="AK572" s="81">
        <f>IF(E572=$AK$6,1,"")</f>
        <v/>
      </c>
      <c r="AL572" s="81">
        <f>IF(E572=$AL$6,1,"")</f>
        <v/>
      </c>
      <c r="AM572" s="81">
        <f>IF(E572=$AM$6,1,"")</f>
        <v/>
      </c>
      <c r="AN572" s="81">
        <f>IF(E572=$AN$6,1,"")</f>
        <v/>
      </c>
      <c r="AO572" s="81">
        <f>IF(E572=$AO$6,1,"")</f>
        <v/>
      </c>
      <c r="AP572" s="81">
        <f>IF(E572=$AP$6,1,"")</f>
        <v/>
      </c>
      <c r="AQ572" s="81">
        <f>IF(E572=$AQ$6,1,"")</f>
        <v/>
      </c>
      <c r="AR572" s="81">
        <f>IF(E572=$AR$6,1,"")</f>
        <v/>
      </c>
      <c r="AS572" s="81" t="n"/>
    </row>
    <row r="573" ht="15.75" customHeight="1" s="80">
      <c r="A573" s="157" t="n"/>
      <c r="B573" s="124" t="n"/>
      <c r="C573" s="125" t="n"/>
      <c r="D573" s="126" t="n"/>
      <c r="E573" s="127" t="n"/>
      <c r="F573" s="128" t="n"/>
      <c r="G573" s="129">
        <f>IF(F573="","",ROUND(F573/60,2))</f>
        <v/>
      </c>
      <c r="H573" s="130" t="n"/>
      <c r="I573" s="131" t="n"/>
      <c r="J573" s="131">
        <f>IF(COUNTIF(B573:E573,"*")=0,"",IF(T573=1,"Invalid Service",IF(AND(V573=1,F573=""),"Add Session Mins",IF(AND(E573&gt;0,H573="",T573=""),"Enter Contract Rate",IF(AND(E573="IEP mtg, prep, rept",F573&gt;0),(G573*H573),IF(AND(E573&gt;0,F573&gt;0,H573&gt;0,I573=""),"Enter Travel",IF(AND(F573&gt;0,I573="Y"),(G573*H573)+$M$10,IF(AND(F573&gt;0,I573="N"),(G573*H573),H573))))))))</f>
        <v/>
      </c>
      <c r="K573" s="132">
        <f>J573</f>
        <v/>
      </c>
      <c r="L573" s="148" t="n"/>
      <c r="M573" s="148" t="n"/>
      <c r="N573" s="148" t="n"/>
      <c r="O573" s="87" t="n"/>
      <c r="P573" s="81" t="n"/>
      <c r="Q573" s="81" t="n"/>
      <c r="R573" s="81" t="n"/>
      <c r="S573" s="81" t="n"/>
      <c r="T573" s="136">
        <f>IF(AND(E573&gt;0,U573=0),1,"")</f>
        <v/>
      </c>
      <c r="U573" s="136">
        <f>SUM(X573:AR573)</f>
        <v/>
      </c>
      <c r="V573" s="136">
        <f>IF(E573=$Q$16,0,SUM(X573:AI573))</f>
        <v/>
      </c>
      <c r="W573" s="136">
        <f>SUM(AK573:AR573)</f>
        <v/>
      </c>
      <c r="X573" s="136">
        <f>IF(E573=$X$6,1,"")</f>
        <v/>
      </c>
      <c r="Y573" s="136">
        <f>IF(E573=$Y$6,1,"")</f>
        <v/>
      </c>
      <c r="Z573" s="136">
        <f>IF(E573=$Z$6,1,"")</f>
        <v/>
      </c>
      <c r="AA573" s="136">
        <f>IF(E573=$AA$6,1,"")</f>
        <v/>
      </c>
      <c r="AB573" s="136">
        <f>IF(E573=$AB$6,1,"")</f>
        <v/>
      </c>
      <c r="AC573" s="136">
        <f>IF(E573=$AC$6,1,"")</f>
        <v/>
      </c>
      <c r="AD573" s="136">
        <f>IF(E573=$AD$6,1,"")</f>
        <v/>
      </c>
      <c r="AE573" s="136">
        <f>IF(E573=$AE$6,1,"")</f>
        <v/>
      </c>
      <c r="AF573" s="136">
        <f>IF(E573=$AF$6,1,"")</f>
        <v/>
      </c>
      <c r="AG573" s="136">
        <f>IF(E573=$AG$6,1,"")</f>
        <v/>
      </c>
      <c r="AH573" s="136">
        <f>IF(E573=$AH$6,1,"")</f>
        <v/>
      </c>
      <c r="AI573" s="136">
        <f>IF(E573=$AI$6,1,"")</f>
        <v/>
      </c>
      <c r="AJ573" s="136">
        <f>IF(E573=$AJ$6,1,"")</f>
        <v/>
      </c>
      <c r="AK573" s="81">
        <f>IF(E573=$AK$6,1,"")</f>
        <v/>
      </c>
      <c r="AL573" s="81">
        <f>IF(E573=$AL$6,1,"")</f>
        <v/>
      </c>
      <c r="AM573" s="81">
        <f>IF(E573=$AM$6,1,"")</f>
        <v/>
      </c>
      <c r="AN573" s="81">
        <f>IF(E573=$AN$6,1,"")</f>
        <v/>
      </c>
      <c r="AO573" s="81">
        <f>IF(E573=$AO$6,1,"")</f>
        <v/>
      </c>
      <c r="AP573" s="81">
        <f>IF(E573=$AP$6,1,"")</f>
        <v/>
      </c>
      <c r="AQ573" s="81">
        <f>IF(E573=$AQ$6,1,"")</f>
        <v/>
      </c>
      <c r="AR573" s="81">
        <f>IF(E573=$AR$6,1,"")</f>
        <v/>
      </c>
      <c r="AS573" s="81" t="n"/>
    </row>
    <row r="574" ht="15.75" customHeight="1" s="80">
      <c r="A574" s="157" t="n"/>
      <c r="B574" s="124" t="n"/>
      <c r="C574" s="125" t="n"/>
      <c r="D574" s="126" t="n"/>
      <c r="E574" s="127" t="n"/>
      <c r="F574" s="128" t="n"/>
      <c r="G574" s="129">
        <f>IF(F574="","",ROUND(F574/60,2))</f>
        <v/>
      </c>
      <c r="H574" s="130" t="n"/>
      <c r="I574" s="131" t="n"/>
      <c r="J574" s="131">
        <f>IF(COUNTIF(B574:E574,"*")=0,"",IF(T574=1,"Invalid Service",IF(AND(V574=1,F574=""),"Add Session Mins",IF(AND(E574&gt;0,H574="",T574=""),"Enter Contract Rate",IF(AND(E574="IEP mtg, prep, rept",F574&gt;0),(G574*H574),IF(AND(E574&gt;0,F574&gt;0,H574&gt;0,I574=""),"Enter Travel",IF(AND(F574&gt;0,I574="Y"),(G574*H574)+$M$10,IF(AND(F574&gt;0,I574="N"),(G574*H574),H574))))))))</f>
        <v/>
      </c>
      <c r="K574" s="132">
        <f>J574</f>
        <v/>
      </c>
      <c r="L574" s="148" t="n"/>
      <c r="M574" s="148" t="n"/>
      <c r="N574" s="148" t="n"/>
      <c r="O574" s="87" t="n"/>
      <c r="P574" s="81" t="n"/>
      <c r="Q574" s="81" t="n"/>
      <c r="R574" s="81" t="n"/>
      <c r="S574" s="81" t="n"/>
      <c r="T574" s="136">
        <f>IF(AND(E574&gt;0,U574=0),1,"")</f>
        <v/>
      </c>
      <c r="U574" s="136">
        <f>SUM(X574:AR574)</f>
        <v/>
      </c>
      <c r="V574" s="136">
        <f>IF(E574=$Q$16,0,SUM(X574:AI574))</f>
        <v/>
      </c>
      <c r="W574" s="136">
        <f>SUM(AK574:AR574)</f>
        <v/>
      </c>
      <c r="X574" s="136">
        <f>IF(E574=$X$6,1,"")</f>
        <v/>
      </c>
      <c r="Y574" s="136">
        <f>IF(E574=$Y$6,1,"")</f>
        <v/>
      </c>
      <c r="Z574" s="136">
        <f>IF(E574=$Z$6,1,"")</f>
        <v/>
      </c>
      <c r="AA574" s="136">
        <f>IF(E574=$AA$6,1,"")</f>
        <v/>
      </c>
      <c r="AB574" s="136">
        <f>IF(E574=$AB$6,1,"")</f>
        <v/>
      </c>
      <c r="AC574" s="136">
        <f>IF(E574=$AC$6,1,"")</f>
        <v/>
      </c>
      <c r="AD574" s="136">
        <f>IF(E574=$AD$6,1,"")</f>
        <v/>
      </c>
      <c r="AE574" s="136">
        <f>IF(E574=$AE$6,1,"")</f>
        <v/>
      </c>
      <c r="AF574" s="136">
        <f>IF(E574=$AF$6,1,"")</f>
        <v/>
      </c>
      <c r="AG574" s="136">
        <f>IF(E574=$AG$6,1,"")</f>
        <v/>
      </c>
      <c r="AH574" s="136">
        <f>IF(E574=$AH$6,1,"")</f>
        <v/>
      </c>
      <c r="AI574" s="136">
        <f>IF(E574=$AI$6,1,"")</f>
        <v/>
      </c>
      <c r="AJ574" s="136">
        <f>IF(E574=$AJ$6,1,"")</f>
        <v/>
      </c>
      <c r="AK574" s="81">
        <f>IF(E574=$AK$6,1,"")</f>
        <v/>
      </c>
      <c r="AL574" s="81">
        <f>IF(E574=$AL$6,1,"")</f>
        <v/>
      </c>
      <c r="AM574" s="81">
        <f>IF(E574=$AM$6,1,"")</f>
        <v/>
      </c>
      <c r="AN574" s="81">
        <f>IF(E574=$AN$6,1,"")</f>
        <v/>
      </c>
      <c r="AO574" s="81">
        <f>IF(E574=$AO$6,1,"")</f>
        <v/>
      </c>
      <c r="AP574" s="81">
        <f>IF(E574=$AP$6,1,"")</f>
        <v/>
      </c>
      <c r="AQ574" s="81">
        <f>IF(E574=$AQ$6,1,"")</f>
        <v/>
      </c>
      <c r="AR574" s="81">
        <f>IF(E574=$AR$6,1,"")</f>
        <v/>
      </c>
      <c r="AS574" s="81" t="n"/>
    </row>
    <row r="575" ht="15.75" customHeight="1" s="80">
      <c r="A575" s="157" t="n"/>
      <c r="B575" s="124" t="n"/>
      <c r="C575" s="125" t="n"/>
      <c r="D575" s="126" t="n"/>
      <c r="E575" s="127" t="n"/>
      <c r="F575" s="128" t="n"/>
      <c r="G575" s="129">
        <f>IF(F575="","",ROUND(F575/60,2))</f>
        <v/>
      </c>
      <c r="H575" s="130" t="n"/>
      <c r="I575" s="131" t="n"/>
      <c r="J575" s="131">
        <f>IF(COUNTIF(B575:E575,"*")=0,"",IF(T575=1,"Invalid Service",IF(AND(V575=1,F575=""),"Add Session Mins",IF(AND(E575&gt;0,H575="",T575=""),"Enter Contract Rate",IF(AND(E575="IEP mtg, prep, rept",F575&gt;0),(G575*H575),IF(AND(E575&gt;0,F575&gt;0,H575&gt;0,I575=""),"Enter Travel",IF(AND(F575&gt;0,I575="Y"),(G575*H575)+$M$10,IF(AND(F575&gt;0,I575="N"),(G575*H575),H575))))))))</f>
        <v/>
      </c>
      <c r="K575" s="132">
        <f>J575</f>
        <v/>
      </c>
      <c r="L575" s="148" t="n"/>
      <c r="M575" s="148" t="n"/>
      <c r="N575" s="148" t="n"/>
      <c r="O575" s="87" t="n"/>
      <c r="P575" s="81" t="n"/>
      <c r="Q575" s="81" t="n"/>
      <c r="R575" s="81" t="n"/>
      <c r="S575" s="81" t="n"/>
      <c r="T575" s="136">
        <f>IF(AND(E575&gt;0,U575=0),1,"")</f>
        <v/>
      </c>
      <c r="U575" s="136">
        <f>SUM(X575:AR575)</f>
        <v/>
      </c>
      <c r="V575" s="136">
        <f>IF(E575=$Q$16,0,SUM(X575:AI575))</f>
        <v/>
      </c>
      <c r="W575" s="136">
        <f>SUM(AK575:AR575)</f>
        <v/>
      </c>
      <c r="X575" s="136">
        <f>IF(E575=$X$6,1,"")</f>
        <v/>
      </c>
      <c r="Y575" s="136">
        <f>IF(E575=$Y$6,1,"")</f>
        <v/>
      </c>
      <c r="Z575" s="136">
        <f>IF(E575=$Z$6,1,"")</f>
        <v/>
      </c>
      <c r="AA575" s="136">
        <f>IF(E575=$AA$6,1,"")</f>
        <v/>
      </c>
      <c r="AB575" s="136">
        <f>IF(E575=$AB$6,1,"")</f>
        <v/>
      </c>
      <c r="AC575" s="136">
        <f>IF(E575=$AC$6,1,"")</f>
        <v/>
      </c>
      <c r="AD575" s="136">
        <f>IF(E575=$AD$6,1,"")</f>
        <v/>
      </c>
      <c r="AE575" s="136">
        <f>IF(E575=$AE$6,1,"")</f>
        <v/>
      </c>
      <c r="AF575" s="136">
        <f>IF(E575=$AF$6,1,"")</f>
        <v/>
      </c>
      <c r="AG575" s="136">
        <f>IF(E575=$AG$6,1,"")</f>
        <v/>
      </c>
      <c r="AH575" s="136">
        <f>IF(E575=$AH$6,1,"")</f>
        <v/>
      </c>
      <c r="AI575" s="136">
        <f>IF(E575=$AI$6,1,"")</f>
        <v/>
      </c>
      <c r="AJ575" s="136">
        <f>IF(E575=$AJ$6,1,"")</f>
        <v/>
      </c>
      <c r="AK575" s="81">
        <f>IF(E575=$AK$6,1,"")</f>
        <v/>
      </c>
      <c r="AL575" s="81">
        <f>IF(E575=$AL$6,1,"")</f>
        <v/>
      </c>
      <c r="AM575" s="81">
        <f>IF(E575=$AM$6,1,"")</f>
        <v/>
      </c>
      <c r="AN575" s="81">
        <f>IF(E575=$AN$6,1,"")</f>
        <v/>
      </c>
      <c r="AO575" s="81">
        <f>IF(E575=$AO$6,1,"")</f>
        <v/>
      </c>
      <c r="AP575" s="81">
        <f>IF(E575=$AP$6,1,"")</f>
        <v/>
      </c>
      <c r="AQ575" s="81">
        <f>IF(E575=$AQ$6,1,"")</f>
        <v/>
      </c>
      <c r="AR575" s="81">
        <f>IF(E575=$AR$6,1,"")</f>
        <v/>
      </c>
      <c r="AS575" s="81" t="n"/>
    </row>
    <row r="576" ht="15.75" customHeight="1" s="80">
      <c r="A576" s="157" t="n"/>
      <c r="B576" s="124" t="n"/>
      <c r="C576" s="125" t="n"/>
      <c r="D576" s="126" t="n"/>
      <c r="E576" s="127" t="n"/>
      <c r="F576" s="128" t="n"/>
      <c r="G576" s="129">
        <f>IF(F576="","",ROUND(F576/60,2))</f>
        <v/>
      </c>
      <c r="H576" s="130" t="n"/>
      <c r="I576" s="131" t="n"/>
      <c r="J576" s="131">
        <f>IF(COUNTIF(B576:E576,"*")=0,"",IF(T576=1,"Invalid Service",IF(AND(V576=1,F576=""),"Add Session Mins",IF(AND(E576&gt;0,H576="",T576=""),"Enter Contract Rate",IF(AND(E576="IEP mtg, prep, rept",F576&gt;0),(G576*H576),IF(AND(E576&gt;0,F576&gt;0,H576&gt;0,I576=""),"Enter Travel",IF(AND(F576&gt;0,I576="Y"),(G576*H576)+$M$10,IF(AND(F576&gt;0,I576="N"),(G576*H576),H576))))))))</f>
        <v/>
      </c>
      <c r="K576" s="132">
        <f>J576</f>
        <v/>
      </c>
      <c r="L576" s="148" t="n"/>
      <c r="M576" s="148" t="n"/>
      <c r="N576" s="148" t="n"/>
      <c r="O576" s="87" t="n"/>
      <c r="P576" s="81" t="n"/>
      <c r="Q576" s="81" t="n"/>
      <c r="R576" s="81" t="n"/>
      <c r="S576" s="81" t="n"/>
      <c r="T576" s="136">
        <f>IF(AND(E576&gt;0,U576=0),1,"")</f>
        <v/>
      </c>
      <c r="U576" s="136">
        <f>SUM(X576:AR576)</f>
        <v/>
      </c>
      <c r="V576" s="136">
        <f>IF(E576=$Q$16,0,SUM(X576:AI576))</f>
        <v/>
      </c>
      <c r="W576" s="136">
        <f>SUM(AK576:AR576)</f>
        <v/>
      </c>
      <c r="X576" s="136">
        <f>IF(E576=$X$6,1,"")</f>
        <v/>
      </c>
      <c r="Y576" s="136">
        <f>IF(E576=$Y$6,1,"")</f>
        <v/>
      </c>
      <c r="Z576" s="136">
        <f>IF(E576=$Z$6,1,"")</f>
        <v/>
      </c>
      <c r="AA576" s="136">
        <f>IF(E576=$AA$6,1,"")</f>
        <v/>
      </c>
      <c r="AB576" s="136">
        <f>IF(E576=$AB$6,1,"")</f>
        <v/>
      </c>
      <c r="AC576" s="136">
        <f>IF(E576=$AC$6,1,"")</f>
        <v/>
      </c>
      <c r="AD576" s="136">
        <f>IF(E576=$AD$6,1,"")</f>
        <v/>
      </c>
      <c r="AE576" s="136">
        <f>IF(E576=$AE$6,1,"")</f>
        <v/>
      </c>
      <c r="AF576" s="136">
        <f>IF(E576=$AF$6,1,"")</f>
        <v/>
      </c>
      <c r="AG576" s="136">
        <f>IF(E576=$AG$6,1,"")</f>
        <v/>
      </c>
      <c r="AH576" s="136">
        <f>IF(E576=$AH$6,1,"")</f>
        <v/>
      </c>
      <c r="AI576" s="136">
        <f>IF(E576=$AI$6,1,"")</f>
        <v/>
      </c>
      <c r="AJ576" s="136">
        <f>IF(E576=$AJ$6,1,"")</f>
        <v/>
      </c>
      <c r="AK576" s="81">
        <f>IF(E576=$AK$6,1,"")</f>
        <v/>
      </c>
      <c r="AL576" s="81">
        <f>IF(E576=$AL$6,1,"")</f>
        <v/>
      </c>
      <c r="AM576" s="81">
        <f>IF(E576=$AM$6,1,"")</f>
        <v/>
      </c>
      <c r="AN576" s="81">
        <f>IF(E576=$AN$6,1,"")</f>
        <v/>
      </c>
      <c r="AO576" s="81">
        <f>IF(E576=$AO$6,1,"")</f>
        <v/>
      </c>
      <c r="AP576" s="81">
        <f>IF(E576=$AP$6,1,"")</f>
        <v/>
      </c>
      <c r="AQ576" s="81">
        <f>IF(E576=$AQ$6,1,"")</f>
        <v/>
      </c>
      <c r="AR576" s="81">
        <f>IF(E576=$AR$6,1,"")</f>
        <v/>
      </c>
      <c r="AS576" s="81" t="n"/>
    </row>
    <row r="577" ht="15.75" customHeight="1" s="80">
      <c r="A577" s="157" t="n"/>
      <c r="B577" s="124" t="n"/>
      <c r="C577" s="125" t="n"/>
      <c r="D577" s="126" t="n"/>
      <c r="E577" s="127" t="n"/>
      <c r="F577" s="128" t="n"/>
      <c r="G577" s="129">
        <f>IF(F577="","",ROUND(F577/60,2))</f>
        <v/>
      </c>
      <c r="H577" s="130" t="n"/>
      <c r="I577" s="131" t="n"/>
      <c r="J577" s="131">
        <f>IF(COUNTIF(B577:E577,"*")=0,"",IF(T577=1,"Invalid Service",IF(AND(V577=1,F577=""),"Add Session Mins",IF(AND(E577&gt;0,H577="",T577=""),"Enter Contract Rate",IF(AND(E577="IEP mtg, prep, rept",F577&gt;0),(G577*H577),IF(AND(E577&gt;0,F577&gt;0,H577&gt;0,I577=""),"Enter Travel",IF(AND(F577&gt;0,I577="Y"),(G577*H577)+$M$10,IF(AND(F577&gt;0,I577="N"),(G577*H577),H577))))))))</f>
        <v/>
      </c>
      <c r="K577" s="132">
        <f>J577</f>
        <v/>
      </c>
      <c r="L577" s="148" t="n"/>
      <c r="M577" s="148" t="n"/>
      <c r="N577" s="148" t="n"/>
      <c r="O577" s="87" t="n"/>
      <c r="P577" s="81" t="n"/>
      <c r="Q577" s="81" t="n"/>
      <c r="R577" s="81" t="n"/>
      <c r="S577" s="81" t="n"/>
      <c r="T577" s="136">
        <f>IF(AND(E577&gt;0,U577=0),1,"")</f>
        <v/>
      </c>
      <c r="U577" s="136">
        <f>SUM(X577:AR577)</f>
        <v/>
      </c>
      <c r="V577" s="136">
        <f>IF(E577=$Q$16,0,SUM(X577:AI577))</f>
        <v/>
      </c>
      <c r="W577" s="136">
        <f>SUM(AK577:AR577)</f>
        <v/>
      </c>
      <c r="X577" s="136">
        <f>IF(E577=$X$6,1,"")</f>
        <v/>
      </c>
      <c r="Y577" s="136">
        <f>IF(E577=$Y$6,1,"")</f>
        <v/>
      </c>
      <c r="Z577" s="136">
        <f>IF(E577=$Z$6,1,"")</f>
        <v/>
      </c>
      <c r="AA577" s="136">
        <f>IF(E577=$AA$6,1,"")</f>
        <v/>
      </c>
      <c r="AB577" s="136">
        <f>IF(E577=$AB$6,1,"")</f>
        <v/>
      </c>
      <c r="AC577" s="136">
        <f>IF(E577=$AC$6,1,"")</f>
        <v/>
      </c>
      <c r="AD577" s="136">
        <f>IF(E577=$AD$6,1,"")</f>
        <v/>
      </c>
      <c r="AE577" s="136">
        <f>IF(E577=$AE$6,1,"")</f>
        <v/>
      </c>
      <c r="AF577" s="136">
        <f>IF(E577=$AF$6,1,"")</f>
        <v/>
      </c>
      <c r="AG577" s="136">
        <f>IF(E577=$AG$6,1,"")</f>
        <v/>
      </c>
      <c r="AH577" s="136">
        <f>IF(E577=$AH$6,1,"")</f>
        <v/>
      </c>
      <c r="AI577" s="136">
        <f>IF(E577=$AI$6,1,"")</f>
        <v/>
      </c>
      <c r="AJ577" s="136">
        <f>IF(E577=$AJ$6,1,"")</f>
        <v/>
      </c>
      <c r="AK577" s="81">
        <f>IF(E577=$AK$6,1,"")</f>
        <v/>
      </c>
      <c r="AL577" s="81">
        <f>IF(E577=$AL$6,1,"")</f>
        <v/>
      </c>
      <c r="AM577" s="81">
        <f>IF(E577=$AM$6,1,"")</f>
        <v/>
      </c>
      <c r="AN577" s="81">
        <f>IF(E577=$AN$6,1,"")</f>
        <v/>
      </c>
      <c r="AO577" s="81">
        <f>IF(E577=$AO$6,1,"")</f>
        <v/>
      </c>
      <c r="AP577" s="81">
        <f>IF(E577=$AP$6,1,"")</f>
        <v/>
      </c>
      <c r="AQ577" s="81">
        <f>IF(E577=$AQ$6,1,"")</f>
        <v/>
      </c>
      <c r="AR577" s="81">
        <f>IF(E577=$AR$6,1,"")</f>
        <v/>
      </c>
      <c r="AS577" s="81" t="n"/>
    </row>
    <row r="578" ht="15.75" customHeight="1" s="80">
      <c r="A578" s="157" t="n"/>
      <c r="B578" s="124" t="n"/>
      <c r="C578" s="125" t="n"/>
      <c r="D578" s="126" t="n"/>
      <c r="E578" s="127" t="n"/>
      <c r="F578" s="128" t="n"/>
      <c r="G578" s="129">
        <f>IF(F578="","",ROUND(F578/60,2))</f>
        <v/>
      </c>
      <c r="H578" s="130" t="n"/>
      <c r="I578" s="131" t="n"/>
      <c r="J578" s="131">
        <f>IF(COUNTIF(B578:E578,"*")=0,"",IF(T578=1,"Invalid Service",IF(AND(V578=1,F578=""),"Add Session Mins",IF(AND(E578&gt;0,H578="",T578=""),"Enter Contract Rate",IF(AND(E578="IEP mtg, prep, rept",F578&gt;0),(G578*H578),IF(AND(E578&gt;0,F578&gt;0,H578&gt;0,I578=""),"Enter Travel",IF(AND(F578&gt;0,I578="Y"),(G578*H578)+$M$10,IF(AND(F578&gt;0,I578="N"),(G578*H578),H578))))))))</f>
        <v/>
      </c>
      <c r="K578" s="132">
        <f>J578</f>
        <v/>
      </c>
      <c r="L578" s="148" t="n"/>
      <c r="M578" s="148" t="n"/>
      <c r="N578" s="148" t="n"/>
      <c r="O578" s="87" t="n"/>
      <c r="P578" s="81" t="n"/>
      <c r="Q578" s="81" t="n"/>
      <c r="R578" s="81" t="n"/>
      <c r="S578" s="81" t="n"/>
      <c r="T578" s="136">
        <f>IF(AND(E578&gt;0,U578=0),1,"")</f>
        <v/>
      </c>
      <c r="U578" s="136">
        <f>SUM(X578:AR578)</f>
        <v/>
      </c>
      <c r="V578" s="136">
        <f>IF(E578=$Q$16,0,SUM(X578:AI578))</f>
        <v/>
      </c>
      <c r="W578" s="136">
        <f>SUM(AK578:AR578)</f>
        <v/>
      </c>
      <c r="X578" s="136">
        <f>IF(E578=$X$6,1,"")</f>
        <v/>
      </c>
      <c r="Y578" s="136">
        <f>IF(E578=$Y$6,1,"")</f>
        <v/>
      </c>
      <c r="Z578" s="136">
        <f>IF(E578=$Z$6,1,"")</f>
        <v/>
      </c>
      <c r="AA578" s="136">
        <f>IF(E578=$AA$6,1,"")</f>
        <v/>
      </c>
      <c r="AB578" s="136">
        <f>IF(E578=$AB$6,1,"")</f>
        <v/>
      </c>
      <c r="AC578" s="136">
        <f>IF(E578=$AC$6,1,"")</f>
        <v/>
      </c>
      <c r="AD578" s="136">
        <f>IF(E578=$AD$6,1,"")</f>
        <v/>
      </c>
      <c r="AE578" s="136">
        <f>IF(E578=$AE$6,1,"")</f>
        <v/>
      </c>
      <c r="AF578" s="136">
        <f>IF(E578=$AF$6,1,"")</f>
        <v/>
      </c>
      <c r="AG578" s="136">
        <f>IF(E578=$AG$6,1,"")</f>
        <v/>
      </c>
      <c r="AH578" s="136">
        <f>IF(E578=$AH$6,1,"")</f>
        <v/>
      </c>
      <c r="AI578" s="136">
        <f>IF(E578=$AI$6,1,"")</f>
        <v/>
      </c>
      <c r="AJ578" s="136">
        <f>IF(E578=$AJ$6,1,"")</f>
        <v/>
      </c>
      <c r="AK578" s="81">
        <f>IF(E578=$AK$6,1,"")</f>
        <v/>
      </c>
      <c r="AL578" s="81">
        <f>IF(E578=$AL$6,1,"")</f>
        <v/>
      </c>
      <c r="AM578" s="81">
        <f>IF(E578=$AM$6,1,"")</f>
        <v/>
      </c>
      <c r="AN578" s="81">
        <f>IF(E578=$AN$6,1,"")</f>
        <v/>
      </c>
      <c r="AO578" s="81">
        <f>IF(E578=$AO$6,1,"")</f>
        <v/>
      </c>
      <c r="AP578" s="81">
        <f>IF(E578=$AP$6,1,"")</f>
        <v/>
      </c>
      <c r="AQ578" s="81">
        <f>IF(E578=$AQ$6,1,"")</f>
        <v/>
      </c>
      <c r="AR578" s="81">
        <f>IF(E578=$AR$6,1,"")</f>
        <v/>
      </c>
      <c r="AS578" s="81" t="n"/>
    </row>
    <row r="579" ht="15.75" customHeight="1" s="80">
      <c r="A579" s="157" t="n"/>
      <c r="B579" s="124" t="n"/>
      <c r="C579" s="125" t="n"/>
      <c r="D579" s="126" t="n"/>
      <c r="E579" s="127" t="n"/>
      <c r="F579" s="128" t="n"/>
      <c r="G579" s="129">
        <f>IF(F579="","",ROUND(F579/60,2))</f>
        <v/>
      </c>
      <c r="H579" s="130" t="n"/>
      <c r="I579" s="131" t="n"/>
      <c r="J579" s="131">
        <f>IF(COUNTIF(B579:E579,"*")=0,"",IF(T579=1,"Invalid Service",IF(AND(V579=1,F579=""),"Add Session Mins",IF(AND(E579&gt;0,H579="",T579=""),"Enter Contract Rate",IF(AND(E579="IEP mtg, prep, rept",F579&gt;0),(G579*H579),IF(AND(E579&gt;0,F579&gt;0,H579&gt;0,I579=""),"Enter Travel",IF(AND(F579&gt;0,I579="Y"),(G579*H579)+$M$10,IF(AND(F579&gt;0,I579="N"),(G579*H579),H579))))))))</f>
        <v/>
      </c>
      <c r="K579" s="132">
        <f>J579</f>
        <v/>
      </c>
      <c r="L579" s="148" t="n"/>
      <c r="M579" s="148" t="n"/>
      <c r="N579" s="148" t="n"/>
      <c r="O579" s="87" t="n"/>
      <c r="P579" s="81" t="n"/>
      <c r="Q579" s="81" t="n"/>
      <c r="R579" s="81" t="n"/>
      <c r="S579" s="81" t="n"/>
      <c r="T579" s="136">
        <f>IF(AND(E579&gt;0,U579=0),1,"")</f>
        <v/>
      </c>
      <c r="U579" s="136">
        <f>SUM(X579:AR579)</f>
        <v/>
      </c>
      <c r="V579" s="136">
        <f>IF(E579=$Q$16,0,SUM(X579:AI579))</f>
        <v/>
      </c>
      <c r="W579" s="136">
        <f>SUM(AK579:AR579)</f>
        <v/>
      </c>
      <c r="X579" s="136">
        <f>IF(E579=$X$6,1,"")</f>
        <v/>
      </c>
      <c r="Y579" s="136">
        <f>IF(E579=$Y$6,1,"")</f>
        <v/>
      </c>
      <c r="Z579" s="136">
        <f>IF(E579=$Z$6,1,"")</f>
        <v/>
      </c>
      <c r="AA579" s="136">
        <f>IF(E579=$AA$6,1,"")</f>
        <v/>
      </c>
      <c r="AB579" s="136">
        <f>IF(E579=$AB$6,1,"")</f>
        <v/>
      </c>
      <c r="AC579" s="136">
        <f>IF(E579=$AC$6,1,"")</f>
        <v/>
      </c>
      <c r="AD579" s="136">
        <f>IF(E579=$AD$6,1,"")</f>
        <v/>
      </c>
      <c r="AE579" s="136">
        <f>IF(E579=$AE$6,1,"")</f>
        <v/>
      </c>
      <c r="AF579" s="136">
        <f>IF(E579=$AF$6,1,"")</f>
        <v/>
      </c>
      <c r="AG579" s="136">
        <f>IF(E579=$AG$6,1,"")</f>
        <v/>
      </c>
      <c r="AH579" s="136">
        <f>IF(E579=$AH$6,1,"")</f>
        <v/>
      </c>
      <c r="AI579" s="136">
        <f>IF(E579=$AI$6,1,"")</f>
        <v/>
      </c>
      <c r="AJ579" s="136">
        <f>IF(E579=$AJ$6,1,"")</f>
        <v/>
      </c>
      <c r="AK579" s="81">
        <f>IF(E579=$AK$6,1,"")</f>
        <v/>
      </c>
      <c r="AL579" s="81">
        <f>IF(E579=$AL$6,1,"")</f>
        <v/>
      </c>
      <c r="AM579" s="81">
        <f>IF(E579=$AM$6,1,"")</f>
        <v/>
      </c>
      <c r="AN579" s="81">
        <f>IF(E579=$AN$6,1,"")</f>
        <v/>
      </c>
      <c r="AO579" s="81">
        <f>IF(E579=$AO$6,1,"")</f>
        <v/>
      </c>
      <c r="AP579" s="81">
        <f>IF(E579=$AP$6,1,"")</f>
        <v/>
      </c>
      <c r="AQ579" s="81">
        <f>IF(E579=$AQ$6,1,"")</f>
        <v/>
      </c>
      <c r="AR579" s="81">
        <f>IF(E579=$AR$6,1,"")</f>
        <v/>
      </c>
      <c r="AS579" s="81" t="n"/>
    </row>
    <row r="580" ht="15.75" customHeight="1" s="80">
      <c r="A580" s="157" t="n"/>
      <c r="B580" s="124" t="n"/>
      <c r="C580" s="125" t="n"/>
      <c r="D580" s="126" t="n"/>
      <c r="E580" s="127" t="n"/>
      <c r="F580" s="128" t="n"/>
      <c r="G580" s="129">
        <f>IF(F580="","",ROUND(F580/60,2))</f>
        <v/>
      </c>
      <c r="H580" s="130" t="n"/>
      <c r="I580" s="131" t="n"/>
      <c r="J580" s="131">
        <f>IF(COUNTIF(B580:E580,"*")=0,"",IF(T580=1,"Invalid Service",IF(AND(V580=1,F580=""),"Add Session Mins",IF(AND(E580&gt;0,H580="",T580=""),"Enter Contract Rate",IF(AND(E580="IEP mtg, prep, rept",F580&gt;0),(G580*H580),IF(AND(E580&gt;0,F580&gt;0,H580&gt;0,I580=""),"Enter Travel",IF(AND(F580&gt;0,I580="Y"),(G580*H580)+$M$10,IF(AND(F580&gt;0,I580="N"),(G580*H580),H580))))))))</f>
        <v/>
      </c>
      <c r="K580" s="132">
        <f>J580</f>
        <v/>
      </c>
      <c r="L580" s="148" t="n"/>
      <c r="M580" s="148" t="n"/>
      <c r="N580" s="148" t="n"/>
      <c r="O580" s="87" t="n"/>
      <c r="P580" s="81" t="n"/>
      <c r="Q580" s="81" t="n"/>
      <c r="R580" s="81" t="n"/>
      <c r="S580" s="81" t="n"/>
      <c r="T580" s="136">
        <f>IF(AND(E580&gt;0,U580=0),1,"")</f>
        <v/>
      </c>
      <c r="U580" s="136">
        <f>SUM(X580:AR580)</f>
        <v/>
      </c>
      <c r="V580" s="136">
        <f>IF(E580=$Q$16,0,SUM(X580:AI580))</f>
        <v/>
      </c>
      <c r="W580" s="136">
        <f>SUM(AK580:AR580)</f>
        <v/>
      </c>
      <c r="X580" s="136">
        <f>IF(E580=$X$6,1,"")</f>
        <v/>
      </c>
      <c r="Y580" s="136">
        <f>IF(E580=$Y$6,1,"")</f>
        <v/>
      </c>
      <c r="Z580" s="136">
        <f>IF(E580=$Z$6,1,"")</f>
        <v/>
      </c>
      <c r="AA580" s="136">
        <f>IF(E580=$AA$6,1,"")</f>
        <v/>
      </c>
      <c r="AB580" s="136">
        <f>IF(E580=$AB$6,1,"")</f>
        <v/>
      </c>
      <c r="AC580" s="136">
        <f>IF(E580=$AC$6,1,"")</f>
        <v/>
      </c>
      <c r="AD580" s="136">
        <f>IF(E580=$AD$6,1,"")</f>
        <v/>
      </c>
      <c r="AE580" s="136">
        <f>IF(E580=$AE$6,1,"")</f>
        <v/>
      </c>
      <c r="AF580" s="136">
        <f>IF(E580=$AF$6,1,"")</f>
        <v/>
      </c>
      <c r="AG580" s="136">
        <f>IF(E580=$AG$6,1,"")</f>
        <v/>
      </c>
      <c r="AH580" s="136">
        <f>IF(E580=$AH$6,1,"")</f>
        <v/>
      </c>
      <c r="AI580" s="136">
        <f>IF(E580=$AI$6,1,"")</f>
        <v/>
      </c>
      <c r="AJ580" s="136">
        <f>IF(E580=$AJ$6,1,"")</f>
        <v/>
      </c>
      <c r="AK580" s="81">
        <f>IF(E580=$AK$6,1,"")</f>
        <v/>
      </c>
      <c r="AL580" s="81">
        <f>IF(E580=$AL$6,1,"")</f>
        <v/>
      </c>
      <c r="AM580" s="81">
        <f>IF(E580=$AM$6,1,"")</f>
        <v/>
      </c>
      <c r="AN580" s="81">
        <f>IF(E580=$AN$6,1,"")</f>
        <v/>
      </c>
      <c r="AO580" s="81">
        <f>IF(E580=$AO$6,1,"")</f>
        <v/>
      </c>
      <c r="AP580" s="81">
        <f>IF(E580=$AP$6,1,"")</f>
        <v/>
      </c>
      <c r="AQ580" s="81">
        <f>IF(E580=$AQ$6,1,"")</f>
        <v/>
      </c>
      <c r="AR580" s="81">
        <f>IF(E580=$AR$6,1,"")</f>
        <v/>
      </c>
      <c r="AS580" s="81" t="n"/>
    </row>
    <row r="581" ht="15.75" customHeight="1" s="80">
      <c r="A581" s="157" t="n"/>
      <c r="B581" s="124" t="n"/>
      <c r="C581" s="125" t="n"/>
      <c r="D581" s="126" t="n"/>
      <c r="E581" s="127" t="n"/>
      <c r="F581" s="128" t="n"/>
      <c r="G581" s="129">
        <f>IF(F581="","",ROUND(F581/60,2))</f>
        <v/>
      </c>
      <c r="H581" s="130" t="n"/>
      <c r="I581" s="131" t="n"/>
      <c r="J581" s="131">
        <f>IF(COUNTIF(B581:E581,"*")=0,"",IF(T581=1,"Invalid Service",IF(AND(V581=1,F581=""),"Add Session Mins",IF(AND(E581&gt;0,H581="",T581=""),"Enter Contract Rate",IF(AND(E581="IEP mtg, prep, rept",F581&gt;0),(G581*H581),IF(AND(E581&gt;0,F581&gt;0,H581&gt;0,I581=""),"Enter Travel",IF(AND(F581&gt;0,I581="Y"),(G581*H581)+$M$10,IF(AND(F581&gt;0,I581="N"),(G581*H581),H581))))))))</f>
        <v/>
      </c>
      <c r="K581" s="132">
        <f>J581</f>
        <v/>
      </c>
      <c r="L581" s="148" t="n"/>
      <c r="M581" s="148" t="n"/>
      <c r="N581" s="148" t="n"/>
      <c r="O581" s="87" t="n"/>
      <c r="P581" s="81" t="n"/>
      <c r="Q581" s="81" t="n"/>
      <c r="R581" s="81" t="n"/>
      <c r="S581" s="81" t="n"/>
      <c r="T581" s="136">
        <f>IF(AND(E581&gt;0,U581=0),1,"")</f>
        <v/>
      </c>
      <c r="U581" s="136">
        <f>SUM(X581:AR581)</f>
        <v/>
      </c>
      <c r="V581" s="136">
        <f>IF(E581=$Q$16,0,SUM(X581:AI581))</f>
        <v/>
      </c>
      <c r="W581" s="136">
        <f>SUM(AK581:AR581)</f>
        <v/>
      </c>
      <c r="X581" s="136">
        <f>IF(E581=$X$6,1,"")</f>
        <v/>
      </c>
      <c r="Y581" s="136">
        <f>IF(E581=$Y$6,1,"")</f>
        <v/>
      </c>
      <c r="Z581" s="136">
        <f>IF(E581=$Z$6,1,"")</f>
        <v/>
      </c>
      <c r="AA581" s="136">
        <f>IF(E581=$AA$6,1,"")</f>
        <v/>
      </c>
      <c r="AB581" s="136">
        <f>IF(E581=$AB$6,1,"")</f>
        <v/>
      </c>
      <c r="AC581" s="136">
        <f>IF(E581=$AC$6,1,"")</f>
        <v/>
      </c>
      <c r="AD581" s="136">
        <f>IF(E581=$AD$6,1,"")</f>
        <v/>
      </c>
      <c r="AE581" s="136">
        <f>IF(E581=$AE$6,1,"")</f>
        <v/>
      </c>
      <c r="AF581" s="136">
        <f>IF(E581=$AF$6,1,"")</f>
        <v/>
      </c>
      <c r="AG581" s="136">
        <f>IF(E581=$AG$6,1,"")</f>
        <v/>
      </c>
      <c r="AH581" s="136">
        <f>IF(E581=$AH$6,1,"")</f>
        <v/>
      </c>
      <c r="AI581" s="136">
        <f>IF(E581=$AI$6,1,"")</f>
        <v/>
      </c>
      <c r="AJ581" s="136">
        <f>IF(E581=$AJ$6,1,"")</f>
        <v/>
      </c>
      <c r="AK581" s="81">
        <f>IF(E581=$AK$6,1,"")</f>
        <v/>
      </c>
      <c r="AL581" s="81">
        <f>IF(E581=$AL$6,1,"")</f>
        <v/>
      </c>
      <c r="AM581" s="81">
        <f>IF(E581=$AM$6,1,"")</f>
        <v/>
      </c>
      <c r="AN581" s="81">
        <f>IF(E581=$AN$6,1,"")</f>
        <v/>
      </c>
      <c r="AO581" s="81">
        <f>IF(E581=$AO$6,1,"")</f>
        <v/>
      </c>
      <c r="AP581" s="81">
        <f>IF(E581=$AP$6,1,"")</f>
        <v/>
      </c>
      <c r="AQ581" s="81">
        <f>IF(E581=$AQ$6,1,"")</f>
        <v/>
      </c>
      <c r="AR581" s="81">
        <f>IF(E581=$AR$6,1,"")</f>
        <v/>
      </c>
      <c r="AS581" s="81" t="n"/>
    </row>
    <row r="582" ht="15.75" customHeight="1" s="80">
      <c r="A582" s="157" t="n"/>
      <c r="B582" s="124" t="n"/>
      <c r="C582" s="125" t="n"/>
      <c r="D582" s="126" t="n"/>
      <c r="E582" s="127" t="n"/>
      <c r="F582" s="128" t="n"/>
      <c r="G582" s="129">
        <f>IF(F582="","",ROUND(F582/60,2))</f>
        <v/>
      </c>
      <c r="H582" s="130" t="n"/>
      <c r="I582" s="131" t="n"/>
      <c r="J582" s="131">
        <f>IF(COUNTIF(B582:E582,"*")=0,"",IF(T582=1,"Invalid Service",IF(AND(V582=1,F582=""),"Add Session Mins",IF(AND(E582&gt;0,H582="",T582=""),"Enter Contract Rate",IF(AND(E582="IEP mtg, prep, rept",F582&gt;0),(G582*H582),IF(AND(E582&gt;0,F582&gt;0,H582&gt;0,I582=""),"Enter Travel",IF(AND(F582&gt;0,I582="Y"),(G582*H582)+$M$10,IF(AND(F582&gt;0,I582="N"),(G582*H582),H582))))))))</f>
        <v/>
      </c>
      <c r="K582" s="132">
        <f>J582</f>
        <v/>
      </c>
      <c r="L582" s="148" t="n"/>
      <c r="M582" s="148" t="n"/>
      <c r="N582" s="148" t="n"/>
      <c r="O582" s="87" t="n"/>
      <c r="P582" s="81" t="n"/>
      <c r="Q582" s="81" t="n"/>
      <c r="R582" s="81" t="n"/>
      <c r="S582" s="81" t="n"/>
      <c r="T582" s="136">
        <f>IF(AND(E582&gt;0,U582=0),1,"")</f>
        <v/>
      </c>
      <c r="U582" s="136">
        <f>SUM(X582:AR582)</f>
        <v/>
      </c>
      <c r="V582" s="136">
        <f>IF(E582=$Q$16,0,SUM(X582:AI582))</f>
        <v/>
      </c>
      <c r="W582" s="136">
        <f>SUM(AK582:AR582)</f>
        <v/>
      </c>
      <c r="X582" s="136">
        <f>IF(E582=$X$6,1,"")</f>
        <v/>
      </c>
      <c r="Y582" s="136">
        <f>IF(E582=$Y$6,1,"")</f>
        <v/>
      </c>
      <c r="Z582" s="136">
        <f>IF(E582=$Z$6,1,"")</f>
        <v/>
      </c>
      <c r="AA582" s="136">
        <f>IF(E582=$AA$6,1,"")</f>
        <v/>
      </c>
      <c r="AB582" s="136">
        <f>IF(E582=$AB$6,1,"")</f>
        <v/>
      </c>
      <c r="AC582" s="136">
        <f>IF(E582=$AC$6,1,"")</f>
        <v/>
      </c>
      <c r="AD582" s="136">
        <f>IF(E582=$AD$6,1,"")</f>
        <v/>
      </c>
      <c r="AE582" s="136">
        <f>IF(E582=$AE$6,1,"")</f>
        <v/>
      </c>
      <c r="AF582" s="136">
        <f>IF(E582=$AF$6,1,"")</f>
        <v/>
      </c>
      <c r="AG582" s="136">
        <f>IF(E582=$AG$6,1,"")</f>
        <v/>
      </c>
      <c r="AH582" s="136">
        <f>IF(E582=$AH$6,1,"")</f>
        <v/>
      </c>
      <c r="AI582" s="136">
        <f>IF(E582=$AI$6,1,"")</f>
        <v/>
      </c>
      <c r="AJ582" s="136">
        <f>IF(E582=$AJ$6,1,"")</f>
        <v/>
      </c>
      <c r="AK582" s="81">
        <f>IF(E582=$AK$6,1,"")</f>
        <v/>
      </c>
      <c r="AL582" s="81">
        <f>IF(E582=$AL$6,1,"")</f>
        <v/>
      </c>
      <c r="AM582" s="81">
        <f>IF(E582=$AM$6,1,"")</f>
        <v/>
      </c>
      <c r="AN582" s="81">
        <f>IF(E582=$AN$6,1,"")</f>
        <v/>
      </c>
      <c r="AO582" s="81">
        <f>IF(E582=$AO$6,1,"")</f>
        <v/>
      </c>
      <c r="AP582" s="81">
        <f>IF(E582=$AP$6,1,"")</f>
        <v/>
      </c>
      <c r="AQ582" s="81">
        <f>IF(E582=$AQ$6,1,"")</f>
        <v/>
      </c>
      <c r="AR582" s="81">
        <f>IF(E582=$AR$6,1,"")</f>
        <v/>
      </c>
      <c r="AS582" s="81" t="n"/>
    </row>
    <row r="583" ht="15.75" customHeight="1" s="80">
      <c r="A583" s="157" t="n"/>
      <c r="B583" s="124" t="n"/>
      <c r="C583" s="125" t="n"/>
      <c r="D583" s="126" t="n"/>
      <c r="E583" s="127" t="n"/>
      <c r="F583" s="128" t="n"/>
      <c r="G583" s="129">
        <f>IF(F583="","",ROUND(F583/60,2))</f>
        <v/>
      </c>
      <c r="H583" s="130" t="n"/>
      <c r="I583" s="131" t="n"/>
      <c r="J583" s="131">
        <f>IF(COUNTIF(B583:E583,"*")=0,"",IF(T583=1,"Invalid Service",IF(AND(V583=1,F583=""),"Add Session Mins",IF(AND(E583&gt;0,H583="",T583=""),"Enter Contract Rate",IF(AND(E583="IEP mtg, prep, rept",F583&gt;0),(G583*H583),IF(AND(E583&gt;0,F583&gt;0,H583&gt;0,I583=""),"Enter Travel",IF(AND(F583&gt;0,I583="Y"),(G583*H583)+$M$10,IF(AND(F583&gt;0,I583="N"),(G583*H583),H583))))))))</f>
        <v/>
      </c>
      <c r="K583" s="132">
        <f>J583</f>
        <v/>
      </c>
      <c r="L583" s="148" t="n"/>
      <c r="M583" s="148" t="n"/>
      <c r="N583" s="148" t="n"/>
      <c r="O583" s="87" t="n"/>
      <c r="P583" s="81" t="n"/>
      <c r="Q583" s="81" t="n"/>
      <c r="R583" s="81" t="n"/>
      <c r="S583" s="81" t="n"/>
      <c r="T583" s="136">
        <f>IF(AND(E583&gt;0,U583=0),1,"")</f>
        <v/>
      </c>
      <c r="U583" s="136">
        <f>SUM(X583:AR583)</f>
        <v/>
      </c>
      <c r="V583" s="136">
        <f>IF(E583=$Q$16,0,SUM(X583:AI583))</f>
        <v/>
      </c>
      <c r="W583" s="136">
        <f>SUM(AK583:AR583)</f>
        <v/>
      </c>
      <c r="X583" s="136">
        <f>IF(E583=$X$6,1,"")</f>
        <v/>
      </c>
      <c r="Y583" s="136">
        <f>IF(E583=$Y$6,1,"")</f>
        <v/>
      </c>
      <c r="Z583" s="136">
        <f>IF(E583=$Z$6,1,"")</f>
        <v/>
      </c>
      <c r="AA583" s="136">
        <f>IF(E583=$AA$6,1,"")</f>
        <v/>
      </c>
      <c r="AB583" s="136">
        <f>IF(E583=$AB$6,1,"")</f>
        <v/>
      </c>
      <c r="AC583" s="136">
        <f>IF(E583=$AC$6,1,"")</f>
        <v/>
      </c>
      <c r="AD583" s="136">
        <f>IF(E583=$AD$6,1,"")</f>
        <v/>
      </c>
      <c r="AE583" s="136">
        <f>IF(E583=$AE$6,1,"")</f>
        <v/>
      </c>
      <c r="AF583" s="136">
        <f>IF(E583=$AF$6,1,"")</f>
        <v/>
      </c>
      <c r="AG583" s="136">
        <f>IF(E583=$AG$6,1,"")</f>
        <v/>
      </c>
      <c r="AH583" s="136">
        <f>IF(E583=$AH$6,1,"")</f>
        <v/>
      </c>
      <c r="AI583" s="136">
        <f>IF(E583=$AI$6,1,"")</f>
        <v/>
      </c>
      <c r="AJ583" s="136">
        <f>IF(E583=$AJ$6,1,"")</f>
        <v/>
      </c>
      <c r="AK583" s="81">
        <f>IF(E583=$AK$6,1,"")</f>
        <v/>
      </c>
      <c r="AL583" s="81">
        <f>IF(E583=$AL$6,1,"")</f>
        <v/>
      </c>
      <c r="AM583" s="81">
        <f>IF(E583=$AM$6,1,"")</f>
        <v/>
      </c>
      <c r="AN583" s="81">
        <f>IF(E583=$AN$6,1,"")</f>
        <v/>
      </c>
      <c r="AO583" s="81">
        <f>IF(E583=$AO$6,1,"")</f>
        <v/>
      </c>
      <c r="AP583" s="81">
        <f>IF(E583=$AP$6,1,"")</f>
        <v/>
      </c>
      <c r="AQ583" s="81">
        <f>IF(E583=$AQ$6,1,"")</f>
        <v/>
      </c>
      <c r="AR583" s="81">
        <f>IF(E583=$AR$6,1,"")</f>
        <v/>
      </c>
      <c r="AS583" s="81" t="n"/>
    </row>
    <row r="584" ht="15.75" customHeight="1" s="80">
      <c r="A584" s="157" t="n"/>
      <c r="B584" s="124" t="n"/>
      <c r="C584" s="125" t="n"/>
      <c r="D584" s="126" t="n"/>
      <c r="E584" s="127" t="n"/>
      <c r="F584" s="128" t="n"/>
      <c r="G584" s="129">
        <f>IF(F584="","",ROUND(F584/60,2))</f>
        <v/>
      </c>
      <c r="H584" s="130" t="n"/>
      <c r="I584" s="131" t="n"/>
      <c r="J584" s="131">
        <f>IF(COUNTIF(B584:E584,"*")=0,"",IF(T584=1,"Invalid Service",IF(AND(V584=1,F584=""),"Add Session Mins",IF(AND(E584&gt;0,H584="",T584=""),"Enter Contract Rate",IF(AND(E584="IEP mtg, prep, rept",F584&gt;0),(G584*H584),IF(AND(E584&gt;0,F584&gt;0,H584&gt;0,I584=""),"Enter Travel",IF(AND(F584&gt;0,I584="Y"),(G584*H584)+$M$10,IF(AND(F584&gt;0,I584="N"),(G584*H584),H584))))))))</f>
        <v/>
      </c>
      <c r="K584" s="132">
        <f>J584</f>
        <v/>
      </c>
      <c r="L584" s="148" t="n"/>
      <c r="M584" s="148" t="n"/>
      <c r="N584" s="148" t="n"/>
      <c r="O584" s="87" t="n"/>
      <c r="P584" s="81" t="n"/>
      <c r="Q584" s="81" t="n"/>
      <c r="R584" s="81" t="n"/>
      <c r="S584" s="81" t="n"/>
      <c r="T584" s="136">
        <f>IF(AND(E584&gt;0,U584=0),1,"")</f>
        <v/>
      </c>
      <c r="U584" s="136">
        <f>SUM(X584:AR584)</f>
        <v/>
      </c>
      <c r="V584" s="136">
        <f>IF(E584=$Q$16,0,SUM(X584:AI584))</f>
        <v/>
      </c>
      <c r="W584" s="136">
        <f>SUM(AK584:AR584)</f>
        <v/>
      </c>
      <c r="X584" s="136">
        <f>IF(E584=$X$6,1,"")</f>
        <v/>
      </c>
      <c r="Y584" s="136">
        <f>IF(E584=$Y$6,1,"")</f>
        <v/>
      </c>
      <c r="Z584" s="136">
        <f>IF(E584=$Z$6,1,"")</f>
        <v/>
      </c>
      <c r="AA584" s="136">
        <f>IF(E584=$AA$6,1,"")</f>
        <v/>
      </c>
      <c r="AB584" s="136">
        <f>IF(E584=$AB$6,1,"")</f>
        <v/>
      </c>
      <c r="AC584" s="136">
        <f>IF(E584=$AC$6,1,"")</f>
        <v/>
      </c>
      <c r="AD584" s="136">
        <f>IF(E584=$AD$6,1,"")</f>
        <v/>
      </c>
      <c r="AE584" s="136">
        <f>IF(E584=$AE$6,1,"")</f>
        <v/>
      </c>
      <c r="AF584" s="136">
        <f>IF(E584=$AF$6,1,"")</f>
        <v/>
      </c>
      <c r="AG584" s="136">
        <f>IF(E584=$AG$6,1,"")</f>
        <v/>
      </c>
      <c r="AH584" s="136">
        <f>IF(E584=$AH$6,1,"")</f>
        <v/>
      </c>
      <c r="AI584" s="136">
        <f>IF(E584=$AI$6,1,"")</f>
        <v/>
      </c>
      <c r="AJ584" s="136">
        <f>IF(E584=$AJ$6,1,"")</f>
        <v/>
      </c>
      <c r="AK584" s="81">
        <f>IF(E584=$AK$6,1,"")</f>
        <v/>
      </c>
      <c r="AL584" s="81">
        <f>IF(E584=$AL$6,1,"")</f>
        <v/>
      </c>
      <c r="AM584" s="81">
        <f>IF(E584=$AM$6,1,"")</f>
        <v/>
      </c>
      <c r="AN584" s="81">
        <f>IF(E584=$AN$6,1,"")</f>
        <v/>
      </c>
      <c r="AO584" s="81">
        <f>IF(E584=$AO$6,1,"")</f>
        <v/>
      </c>
      <c r="AP584" s="81">
        <f>IF(E584=$AP$6,1,"")</f>
        <v/>
      </c>
      <c r="AQ584" s="81">
        <f>IF(E584=$AQ$6,1,"")</f>
        <v/>
      </c>
      <c r="AR584" s="81">
        <f>IF(E584=$AR$6,1,"")</f>
        <v/>
      </c>
      <c r="AS584" s="81" t="n"/>
    </row>
    <row r="585" ht="15.75" customHeight="1" s="80">
      <c r="A585" s="157" t="n"/>
      <c r="B585" s="124" t="n"/>
      <c r="C585" s="125" t="n"/>
      <c r="D585" s="126" t="n"/>
      <c r="E585" s="127" t="n"/>
      <c r="F585" s="128" t="n"/>
      <c r="G585" s="129">
        <f>IF(F585="","",ROUND(F585/60,2))</f>
        <v/>
      </c>
      <c r="H585" s="130" t="n"/>
      <c r="I585" s="131" t="n"/>
      <c r="J585" s="131">
        <f>IF(COUNTIF(B585:E585,"*")=0,"",IF(T585=1,"Invalid Service",IF(AND(V585=1,F585=""),"Add Session Mins",IF(AND(E585&gt;0,H585="",T585=""),"Enter Contract Rate",IF(AND(E585="IEP mtg, prep, rept",F585&gt;0),(G585*H585),IF(AND(E585&gt;0,F585&gt;0,H585&gt;0,I585=""),"Enter Travel",IF(AND(F585&gt;0,I585="Y"),(G585*H585)+$M$10,IF(AND(F585&gt;0,I585="N"),(G585*H585),H585))))))))</f>
        <v/>
      </c>
      <c r="K585" s="132">
        <f>J585</f>
        <v/>
      </c>
      <c r="L585" s="148" t="n"/>
      <c r="M585" s="148" t="n"/>
      <c r="N585" s="148" t="n"/>
      <c r="O585" s="87" t="n"/>
      <c r="P585" s="81" t="n"/>
      <c r="Q585" s="81" t="n"/>
      <c r="R585" s="81" t="n"/>
      <c r="S585" s="81" t="n"/>
      <c r="T585" s="136">
        <f>IF(AND(E585&gt;0,U585=0),1,"")</f>
        <v/>
      </c>
      <c r="U585" s="136">
        <f>SUM(X585:AR585)</f>
        <v/>
      </c>
      <c r="V585" s="136">
        <f>IF(E585=$Q$16,0,SUM(X585:AI585))</f>
        <v/>
      </c>
      <c r="W585" s="136">
        <f>SUM(AK585:AR585)</f>
        <v/>
      </c>
      <c r="X585" s="136">
        <f>IF(E585=$X$6,1,"")</f>
        <v/>
      </c>
      <c r="Y585" s="136">
        <f>IF(E585=$Y$6,1,"")</f>
        <v/>
      </c>
      <c r="Z585" s="136">
        <f>IF(E585=$Z$6,1,"")</f>
        <v/>
      </c>
      <c r="AA585" s="136">
        <f>IF(E585=$AA$6,1,"")</f>
        <v/>
      </c>
      <c r="AB585" s="136">
        <f>IF(E585=$AB$6,1,"")</f>
        <v/>
      </c>
      <c r="AC585" s="136">
        <f>IF(E585=$AC$6,1,"")</f>
        <v/>
      </c>
      <c r="AD585" s="136">
        <f>IF(E585=$AD$6,1,"")</f>
        <v/>
      </c>
      <c r="AE585" s="136">
        <f>IF(E585=$AE$6,1,"")</f>
        <v/>
      </c>
      <c r="AF585" s="136">
        <f>IF(E585=$AF$6,1,"")</f>
        <v/>
      </c>
      <c r="AG585" s="136">
        <f>IF(E585=$AG$6,1,"")</f>
        <v/>
      </c>
      <c r="AH585" s="136">
        <f>IF(E585=$AH$6,1,"")</f>
        <v/>
      </c>
      <c r="AI585" s="136">
        <f>IF(E585=$AI$6,1,"")</f>
        <v/>
      </c>
      <c r="AJ585" s="136">
        <f>IF(E585=$AJ$6,1,"")</f>
        <v/>
      </c>
      <c r="AK585" s="81">
        <f>IF(E585=$AK$6,1,"")</f>
        <v/>
      </c>
      <c r="AL585" s="81">
        <f>IF(E585=$AL$6,1,"")</f>
        <v/>
      </c>
      <c r="AM585" s="81">
        <f>IF(E585=$AM$6,1,"")</f>
        <v/>
      </c>
      <c r="AN585" s="81">
        <f>IF(E585=$AN$6,1,"")</f>
        <v/>
      </c>
      <c r="AO585" s="81">
        <f>IF(E585=$AO$6,1,"")</f>
        <v/>
      </c>
      <c r="AP585" s="81">
        <f>IF(E585=$AP$6,1,"")</f>
        <v/>
      </c>
      <c r="AQ585" s="81">
        <f>IF(E585=$AQ$6,1,"")</f>
        <v/>
      </c>
      <c r="AR585" s="81">
        <f>IF(E585=$AR$6,1,"")</f>
        <v/>
      </c>
      <c r="AS585" s="81" t="n"/>
    </row>
    <row r="586" ht="15.75" customHeight="1" s="80">
      <c r="A586" s="157" t="n"/>
      <c r="B586" s="124" t="n"/>
      <c r="C586" s="125" t="n"/>
      <c r="D586" s="126" t="n"/>
      <c r="E586" s="127" t="n"/>
      <c r="F586" s="128" t="n"/>
      <c r="G586" s="129">
        <f>IF(F586="","",ROUND(F586/60,2))</f>
        <v/>
      </c>
      <c r="H586" s="130" t="n"/>
      <c r="I586" s="131" t="n"/>
      <c r="J586" s="131">
        <f>IF(COUNTIF(B586:E586,"*")=0,"",IF(T586=1,"Invalid Service",IF(AND(V586=1,F586=""),"Add Session Mins",IF(AND(E586&gt;0,H586="",T586=""),"Enter Contract Rate",IF(AND(E586="IEP mtg, prep, rept",F586&gt;0),(G586*H586),IF(AND(E586&gt;0,F586&gt;0,H586&gt;0,I586=""),"Enter Travel",IF(AND(F586&gt;0,I586="Y"),(G586*H586)+$M$10,IF(AND(F586&gt;0,I586="N"),(G586*H586),H586))))))))</f>
        <v/>
      </c>
      <c r="K586" s="132">
        <f>J586</f>
        <v/>
      </c>
      <c r="L586" s="148" t="n"/>
      <c r="M586" s="148" t="n"/>
      <c r="N586" s="148" t="n"/>
      <c r="O586" s="87" t="n"/>
      <c r="P586" s="81" t="n"/>
      <c r="Q586" s="81" t="n"/>
      <c r="R586" s="81" t="n"/>
      <c r="S586" s="81" t="n"/>
      <c r="T586" s="136">
        <f>IF(AND(E586&gt;0,U586=0),1,"")</f>
        <v/>
      </c>
      <c r="U586" s="136">
        <f>SUM(X586:AR586)</f>
        <v/>
      </c>
      <c r="V586" s="136">
        <f>IF(E586=$Q$16,0,SUM(X586:AI586))</f>
        <v/>
      </c>
      <c r="W586" s="136">
        <f>SUM(AK586:AR586)</f>
        <v/>
      </c>
      <c r="X586" s="136">
        <f>IF(E586=$X$6,1,"")</f>
        <v/>
      </c>
      <c r="Y586" s="136">
        <f>IF(E586=$Y$6,1,"")</f>
        <v/>
      </c>
      <c r="Z586" s="136">
        <f>IF(E586=$Z$6,1,"")</f>
        <v/>
      </c>
      <c r="AA586" s="136">
        <f>IF(E586=$AA$6,1,"")</f>
        <v/>
      </c>
      <c r="AB586" s="136">
        <f>IF(E586=$AB$6,1,"")</f>
        <v/>
      </c>
      <c r="AC586" s="136">
        <f>IF(E586=$AC$6,1,"")</f>
        <v/>
      </c>
      <c r="AD586" s="136">
        <f>IF(E586=$AD$6,1,"")</f>
        <v/>
      </c>
      <c r="AE586" s="136">
        <f>IF(E586=$AE$6,1,"")</f>
        <v/>
      </c>
      <c r="AF586" s="136">
        <f>IF(E586=$AF$6,1,"")</f>
        <v/>
      </c>
      <c r="AG586" s="136">
        <f>IF(E586=$AG$6,1,"")</f>
        <v/>
      </c>
      <c r="AH586" s="136">
        <f>IF(E586=$AH$6,1,"")</f>
        <v/>
      </c>
      <c r="AI586" s="136">
        <f>IF(E586=$AI$6,1,"")</f>
        <v/>
      </c>
      <c r="AJ586" s="136">
        <f>IF(E586=$AJ$6,1,"")</f>
        <v/>
      </c>
      <c r="AK586" s="81">
        <f>IF(E586=$AK$6,1,"")</f>
        <v/>
      </c>
      <c r="AL586" s="81">
        <f>IF(E586=$AL$6,1,"")</f>
        <v/>
      </c>
      <c r="AM586" s="81">
        <f>IF(E586=$AM$6,1,"")</f>
        <v/>
      </c>
      <c r="AN586" s="81">
        <f>IF(E586=$AN$6,1,"")</f>
        <v/>
      </c>
      <c r="AO586" s="81">
        <f>IF(E586=$AO$6,1,"")</f>
        <v/>
      </c>
      <c r="AP586" s="81">
        <f>IF(E586=$AP$6,1,"")</f>
        <v/>
      </c>
      <c r="AQ586" s="81">
        <f>IF(E586=$AQ$6,1,"")</f>
        <v/>
      </c>
      <c r="AR586" s="81">
        <f>IF(E586=$AR$6,1,"")</f>
        <v/>
      </c>
      <c r="AS586" s="81" t="n"/>
    </row>
    <row r="587" ht="15.75" customHeight="1" s="80">
      <c r="A587" s="157" t="n"/>
      <c r="B587" s="124" t="n"/>
      <c r="C587" s="125" t="n"/>
      <c r="D587" s="126" t="n"/>
      <c r="E587" s="127" t="n"/>
      <c r="F587" s="128" t="n"/>
      <c r="G587" s="129">
        <f>IF(F587="","",ROUND(F587/60,2))</f>
        <v/>
      </c>
      <c r="H587" s="130" t="n"/>
      <c r="I587" s="131" t="n"/>
      <c r="J587" s="131">
        <f>IF(COUNTIF(B587:E587,"*")=0,"",IF(T587=1,"Invalid Service",IF(AND(V587=1,F587=""),"Add Session Mins",IF(AND(E587&gt;0,H587="",T587=""),"Enter Contract Rate",IF(AND(E587="IEP mtg, prep, rept",F587&gt;0),(G587*H587),IF(AND(E587&gt;0,F587&gt;0,H587&gt;0,I587=""),"Enter Travel",IF(AND(F587&gt;0,I587="Y"),(G587*H587)+$M$10,IF(AND(F587&gt;0,I587="N"),(G587*H587),H587))))))))</f>
        <v/>
      </c>
      <c r="K587" s="132">
        <f>J587</f>
        <v/>
      </c>
      <c r="L587" s="148" t="n"/>
      <c r="M587" s="148" t="n"/>
      <c r="N587" s="148" t="n"/>
      <c r="O587" s="87" t="n"/>
      <c r="P587" s="81" t="n"/>
      <c r="Q587" s="81" t="n"/>
      <c r="R587" s="81" t="n"/>
      <c r="S587" s="81" t="n"/>
      <c r="T587" s="136">
        <f>IF(AND(E587&gt;0,U587=0),1,"")</f>
        <v/>
      </c>
      <c r="U587" s="136">
        <f>SUM(X587:AR587)</f>
        <v/>
      </c>
      <c r="V587" s="136">
        <f>IF(E587=$Q$16,0,SUM(X587:AI587))</f>
        <v/>
      </c>
      <c r="W587" s="136">
        <f>SUM(AK587:AR587)</f>
        <v/>
      </c>
      <c r="X587" s="136">
        <f>IF(E587=$X$6,1,"")</f>
        <v/>
      </c>
      <c r="Y587" s="136">
        <f>IF(E587=$Y$6,1,"")</f>
        <v/>
      </c>
      <c r="Z587" s="136">
        <f>IF(E587=$Z$6,1,"")</f>
        <v/>
      </c>
      <c r="AA587" s="136">
        <f>IF(E587=$AA$6,1,"")</f>
        <v/>
      </c>
      <c r="AB587" s="136">
        <f>IF(E587=$AB$6,1,"")</f>
        <v/>
      </c>
      <c r="AC587" s="136">
        <f>IF(E587=$AC$6,1,"")</f>
        <v/>
      </c>
      <c r="AD587" s="136">
        <f>IF(E587=$AD$6,1,"")</f>
        <v/>
      </c>
      <c r="AE587" s="136">
        <f>IF(E587=$AE$6,1,"")</f>
        <v/>
      </c>
      <c r="AF587" s="136">
        <f>IF(E587=$AF$6,1,"")</f>
        <v/>
      </c>
      <c r="AG587" s="136">
        <f>IF(E587=$AG$6,1,"")</f>
        <v/>
      </c>
      <c r="AH587" s="136">
        <f>IF(E587=$AH$6,1,"")</f>
        <v/>
      </c>
      <c r="AI587" s="136">
        <f>IF(E587=$AI$6,1,"")</f>
        <v/>
      </c>
      <c r="AJ587" s="136">
        <f>IF(E587=$AJ$6,1,"")</f>
        <v/>
      </c>
      <c r="AK587" s="81">
        <f>IF(E587=$AK$6,1,"")</f>
        <v/>
      </c>
      <c r="AL587" s="81">
        <f>IF(E587=$AL$6,1,"")</f>
        <v/>
      </c>
      <c r="AM587" s="81">
        <f>IF(E587=$AM$6,1,"")</f>
        <v/>
      </c>
      <c r="AN587" s="81">
        <f>IF(E587=$AN$6,1,"")</f>
        <v/>
      </c>
      <c r="AO587" s="81">
        <f>IF(E587=$AO$6,1,"")</f>
        <v/>
      </c>
      <c r="AP587" s="81">
        <f>IF(E587=$AP$6,1,"")</f>
        <v/>
      </c>
      <c r="AQ587" s="81">
        <f>IF(E587=$AQ$6,1,"")</f>
        <v/>
      </c>
      <c r="AR587" s="81">
        <f>IF(E587=$AR$6,1,"")</f>
        <v/>
      </c>
      <c r="AS587" s="81" t="n"/>
    </row>
    <row r="588" ht="15.75" customHeight="1" s="80">
      <c r="A588" s="157" t="n"/>
      <c r="B588" s="124" t="n"/>
      <c r="C588" s="125" t="n"/>
      <c r="D588" s="126" t="n"/>
      <c r="E588" s="127" t="n"/>
      <c r="F588" s="128" t="n"/>
      <c r="G588" s="129">
        <f>IF(F588="","",ROUND(F588/60,2))</f>
        <v/>
      </c>
      <c r="H588" s="130" t="n"/>
      <c r="I588" s="131" t="n"/>
      <c r="J588" s="131">
        <f>IF(COUNTIF(B588:E588,"*")=0,"",IF(T588=1,"Invalid Service",IF(AND(V588=1,F588=""),"Add Session Mins",IF(AND(E588&gt;0,H588="",T588=""),"Enter Contract Rate",IF(AND(E588="IEP mtg, prep, rept",F588&gt;0),(G588*H588),IF(AND(E588&gt;0,F588&gt;0,H588&gt;0,I588=""),"Enter Travel",IF(AND(F588&gt;0,I588="Y"),(G588*H588)+$M$10,IF(AND(F588&gt;0,I588="N"),(G588*H588),H588))))))))</f>
        <v/>
      </c>
      <c r="K588" s="132">
        <f>J588</f>
        <v/>
      </c>
      <c r="L588" s="148" t="n"/>
      <c r="M588" s="148" t="n"/>
      <c r="N588" s="148" t="n"/>
      <c r="O588" s="87" t="n"/>
      <c r="P588" s="81" t="n"/>
      <c r="Q588" s="81" t="n"/>
      <c r="R588" s="81" t="n"/>
      <c r="S588" s="81" t="n"/>
      <c r="T588" s="136">
        <f>IF(AND(E588&gt;0,U588=0),1,"")</f>
        <v/>
      </c>
      <c r="U588" s="136">
        <f>SUM(X588:AR588)</f>
        <v/>
      </c>
      <c r="V588" s="136">
        <f>IF(E588=$Q$16,0,SUM(X588:AI588))</f>
        <v/>
      </c>
      <c r="W588" s="136">
        <f>SUM(AK588:AR588)</f>
        <v/>
      </c>
      <c r="X588" s="136">
        <f>IF(E588=$X$6,1,"")</f>
        <v/>
      </c>
      <c r="Y588" s="136">
        <f>IF(E588=$Y$6,1,"")</f>
        <v/>
      </c>
      <c r="Z588" s="136">
        <f>IF(E588=$Z$6,1,"")</f>
        <v/>
      </c>
      <c r="AA588" s="136">
        <f>IF(E588=$AA$6,1,"")</f>
        <v/>
      </c>
      <c r="AB588" s="136">
        <f>IF(E588=$AB$6,1,"")</f>
        <v/>
      </c>
      <c r="AC588" s="136">
        <f>IF(E588=$AC$6,1,"")</f>
        <v/>
      </c>
      <c r="AD588" s="136">
        <f>IF(E588=$AD$6,1,"")</f>
        <v/>
      </c>
      <c r="AE588" s="136">
        <f>IF(E588=$AE$6,1,"")</f>
        <v/>
      </c>
      <c r="AF588" s="136">
        <f>IF(E588=$AF$6,1,"")</f>
        <v/>
      </c>
      <c r="AG588" s="136">
        <f>IF(E588=$AG$6,1,"")</f>
        <v/>
      </c>
      <c r="AH588" s="136">
        <f>IF(E588=$AH$6,1,"")</f>
        <v/>
      </c>
      <c r="AI588" s="136">
        <f>IF(E588=$AI$6,1,"")</f>
        <v/>
      </c>
      <c r="AJ588" s="136">
        <f>IF(E588=$AJ$6,1,"")</f>
        <v/>
      </c>
      <c r="AK588" s="81">
        <f>IF(E588=$AK$6,1,"")</f>
        <v/>
      </c>
      <c r="AL588" s="81">
        <f>IF(E588=$AL$6,1,"")</f>
        <v/>
      </c>
      <c r="AM588" s="81">
        <f>IF(E588=$AM$6,1,"")</f>
        <v/>
      </c>
      <c r="AN588" s="81">
        <f>IF(E588=$AN$6,1,"")</f>
        <v/>
      </c>
      <c r="AO588" s="81">
        <f>IF(E588=$AO$6,1,"")</f>
        <v/>
      </c>
      <c r="AP588" s="81">
        <f>IF(E588=$AP$6,1,"")</f>
        <v/>
      </c>
      <c r="AQ588" s="81">
        <f>IF(E588=$AQ$6,1,"")</f>
        <v/>
      </c>
      <c r="AR588" s="81">
        <f>IF(E588=$AR$6,1,"")</f>
        <v/>
      </c>
      <c r="AS588" s="81" t="n"/>
    </row>
    <row r="589" ht="15.75" customHeight="1" s="80">
      <c r="A589" s="157" t="n"/>
      <c r="B589" s="124" t="n"/>
      <c r="C589" s="125" t="n"/>
      <c r="D589" s="126" t="n"/>
      <c r="E589" s="127" t="n"/>
      <c r="F589" s="128" t="n"/>
      <c r="G589" s="129">
        <f>IF(F589="","",ROUND(F589/60,2))</f>
        <v/>
      </c>
      <c r="H589" s="130" t="n"/>
      <c r="I589" s="131" t="n"/>
      <c r="J589" s="131">
        <f>IF(COUNTIF(B589:E589,"*")=0,"",IF(T589=1,"Invalid Service",IF(AND(V589=1,F589=""),"Add Session Mins",IF(AND(E589&gt;0,H589="",T589=""),"Enter Contract Rate",IF(AND(E589="IEP mtg, prep, rept",F589&gt;0),(G589*H589),IF(AND(E589&gt;0,F589&gt;0,H589&gt;0,I589=""),"Enter Travel",IF(AND(F589&gt;0,I589="Y"),(G589*H589)+$M$10,IF(AND(F589&gt;0,I589="N"),(G589*H589),H589))))))))</f>
        <v/>
      </c>
      <c r="K589" s="132">
        <f>J589</f>
        <v/>
      </c>
      <c r="L589" s="148" t="n"/>
      <c r="M589" s="148" t="n"/>
      <c r="N589" s="148" t="n"/>
      <c r="O589" s="87" t="n"/>
      <c r="P589" s="81" t="n"/>
      <c r="Q589" s="81" t="n"/>
      <c r="R589" s="81" t="n"/>
      <c r="S589" s="81" t="n"/>
      <c r="T589" s="136">
        <f>IF(AND(E589&gt;0,U589=0),1,"")</f>
        <v/>
      </c>
      <c r="U589" s="136">
        <f>SUM(X589:AR589)</f>
        <v/>
      </c>
      <c r="V589" s="136">
        <f>IF(E589=$Q$16,0,SUM(X589:AI589))</f>
        <v/>
      </c>
      <c r="W589" s="136">
        <f>SUM(AK589:AR589)</f>
        <v/>
      </c>
      <c r="X589" s="136">
        <f>IF(E589=$X$6,1,"")</f>
        <v/>
      </c>
      <c r="Y589" s="136">
        <f>IF(E589=$Y$6,1,"")</f>
        <v/>
      </c>
      <c r="Z589" s="136">
        <f>IF(E589=$Z$6,1,"")</f>
        <v/>
      </c>
      <c r="AA589" s="136">
        <f>IF(E589=$AA$6,1,"")</f>
        <v/>
      </c>
      <c r="AB589" s="136">
        <f>IF(E589=$AB$6,1,"")</f>
        <v/>
      </c>
      <c r="AC589" s="136">
        <f>IF(E589=$AC$6,1,"")</f>
        <v/>
      </c>
      <c r="AD589" s="136">
        <f>IF(E589=$AD$6,1,"")</f>
        <v/>
      </c>
      <c r="AE589" s="136">
        <f>IF(E589=$AE$6,1,"")</f>
        <v/>
      </c>
      <c r="AF589" s="136">
        <f>IF(E589=$AF$6,1,"")</f>
        <v/>
      </c>
      <c r="AG589" s="136">
        <f>IF(E589=$AG$6,1,"")</f>
        <v/>
      </c>
      <c r="AH589" s="136">
        <f>IF(E589=$AH$6,1,"")</f>
        <v/>
      </c>
      <c r="AI589" s="136">
        <f>IF(E589=$AI$6,1,"")</f>
        <v/>
      </c>
      <c r="AJ589" s="136">
        <f>IF(E589=$AJ$6,1,"")</f>
        <v/>
      </c>
      <c r="AK589" s="81">
        <f>IF(E589=$AK$6,1,"")</f>
        <v/>
      </c>
      <c r="AL589" s="81">
        <f>IF(E589=$AL$6,1,"")</f>
        <v/>
      </c>
      <c r="AM589" s="81">
        <f>IF(E589=$AM$6,1,"")</f>
        <v/>
      </c>
      <c r="AN589" s="81">
        <f>IF(E589=$AN$6,1,"")</f>
        <v/>
      </c>
      <c r="AO589" s="81">
        <f>IF(E589=$AO$6,1,"")</f>
        <v/>
      </c>
      <c r="AP589" s="81">
        <f>IF(E589=$AP$6,1,"")</f>
        <v/>
      </c>
      <c r="AQ589" s="81">
        <f>IF(E589=$AQ$6,1,"")</f>
        <v/>
      </c>
      <c r="AR589" s="81">
        <f>IF(E589=$AR$6,1,"")</f>
        <v/>
      </c>
      <c r="AS589" s="81" t="n"/>
    </row>
    <row r="590" ht="15.75" customHeight="1" s="80">
      <c r="A590" s="157" t="n"/>
      <c r="B590" s="124" t="n"/>
      <c r="C590" s="125" t="n"/>
      <c r="D590" s="126" t="n"/>
      <c r="E590" s="127" t="n"/>
      <c r="F590" s="128" t="n"/>
      <c r="G590" s="129">
        <f>IF(F590="","",ROUND(F590/60,2))</f>
        <v/>
      </c>
      <c r="H590" s="130" t="n"/>
      <c r="I590" s="131" t="n"/>
      <c r="J590" s="131">
        <f>IF(COUNTIF(B590:E590,"*")=0,"",IF(T590=1,"Invalid Service",IF(AND(V590=1,F590=""),"Add Session Mins",IF(AND(E590&gt;0,H590="",T590=""),"Enter Contract Rate",IF(AND(E590="IEP mtg, prep, rept",F590&gt;0),(G590*H590),IF(AND(E590&gt;0,F590&gt;0,H590&gt;0,I590=""),"Enter Travel",IF(AND(F590&gt;0,I590="Y"),(G590*H590)+$M$10,IF(AND(F590&gt;0,I590="N"),(G590*H590),H590))))))))</f>
        <v/>
      </c>
      <c r="K590" s="132">
        <f>J590</f>
        <v/>
      </c>
      <c r="L590" s="148" t="n"/>
      <c r="M590" s="148" t="n"/>
      <c r="N590" s="148" t="n"/>
      <c r="O590" s="87" t="n"/>
      <c r="P590" s="81" t="n"/>
      <c r="Q590" s="81" t="n"/>
      <c r="R590" s="81" t="n"/>
      <c r="S590" s="81" t="n"/>
      <c r="T590" s="136">
        <f>IF(AND(E590&gt;0,U590=0),1,"")</f>
        <v/>
      </c>
      <c r="U590" s="136">
        <f>SUM(X590:AR590)</f>
        <v/>
      </c>
      <c r="V590" s="136">
        <f>IF(E590=$Q$16,0,SUM(X590:AI590))</f>
        <v/>
      </c>
      <c r="W590" s="136">
        <f>SUM(AK590:AR590)</f>
        <v/>
      </c>
      <c r="X590" s="136">
        <f>IF(E590=$X$6,1,"")</f>
        <v/>
      </c>
      <c r="Y590" s="136">
        <f>IF(E590=$Y$6,1,"")</f>
        <v/>
      </c>
      <c r="Z590" s="136">
        <f>IF(E590=$Z$6,1,"")</f>
        <v/>
      </c>
      <c r="AA590" s="136">
        <f>IF(E590=$AA$6,1,"")</f>
        <v/>
      </c>
      <c r="AB590" s="136">
        <f>IF(E590=$AB$6,1,"")</f>
        <v/>
      </c>
      <c r="AC590" s="136">
        <f>IF(E590=$AC$6,1,"")</f>
        <v/>
      </c>
      <c r="AD590" s="136">
        <f>IF(E590=$AD$6,1,"")</f>
        <v/>
      </c>
      <c r="AE590" s="136">
        <f>IF(E590=$AE$6,1,"")</f>
        <v/>
      </c>
      <c r="AF590" s="136">
        <f>IF(E590=$AF$6,1,"")</f>
        <v/>
      </c>
      <c r="AG590" s="136">
        <f>IF(E590=$AG$6,1,"")</f>
        <v/>
      </c>
      <c r="AH590" s="136">
        <f>IF(E590=$AH$6,1,"")</f>
        <v/>
      </c>
      <c r="AI590" s="136">
        <f>IF(E590=$AI$6,1,"")</f>
        <v/>
      </c>
      <c r="AJ590" s="136">
        <f>IF(E590=$AJ$6,1,"")</f>
        <v/>
      </c>
      <c r="AK590" s="81">
        <f>IF(E590=$AK$6,1,"")</f>
        <v/>
      </c>
      <c r="AL590" s="81">
        <f>IF(E590=$AL$6,1,"")</f>
        <v/>
      </c>
      <c r="AM590" s="81">
        <f>IF(E590=$AM$6,1,"")</f>
        <v/>
      </c>
      <c r="AN590" s="81">
        <f>IF(E590=$AN$6,1,"")</f>
        <v/>
      </c>
      <c r="AO590" s="81">
        <f>IF(E590=$AO$6,1,"")</f>
        <v/>
      </c>
      <c r="AP590" s="81">
        <f>IF(E590=$AP$6,1,"")</f>
        <v/>
      </c>
      <c r="AQ590" s="81">
        <f>IF(E590=$AQ$6,1,"")</f>
        <v/>
      </c>
      <c r="AR590" s="81">
        <f>IF(E590=$AR$6,1,"")</f>
        <v/>
      </c>
      <c r="AS590" s="81" t="n"/>
    </row>
    <row r="591" ht="15.75" customHeight="1" s="80">
      <c r="A591" s="157" t="n"/>
      <c r="B591" s="124" t="n"/>
      <c r="C591" s="125" t="n"/>
      <c r="D591" s="126" t="n"/>
      <c r="E591" s="127" t="n"/>
      <c r="F591" s="128" t="n"/>
      <c r="G591" s="129">
        <f>IF(F591="","",ROUND(F591/60,2))</f>
        <v/>
      </c>
      <c r="H591" s="130" t="n"/>
      <c r="I591" s="131" t="n"/>
      <c r="J591" s="131">
        <f>IF(COUNTIF(B591:E591,"*")=0,"",IF(T591=1,"Invalid Service",IF(AND(V591=1,F591=""),"Add Session Mins",IF(AND(E591&gt;0,H591="",T591=""),"Enter Contract Rate",IF(AND(E591="IEP mtg, prep, rept",F591&gt;0),(G591*H591),IF(AND(E591&gt;0,F591&gt;0,H591&gt;0,I591=""),"Enter Travel",IF(AND(F591&gt;0,I591="Y"),(G591*H591)+$M$10,IF(AND(F591&gt;0,I591="N"),(G591*H591),H591))))))))</f>
        <v/>
      </c>
      <c r="K591" s="132">
        <f>J591</f>
        <v/>
      </c>
      <c r="L591" s="148" t="n"/>
      <c r="M591" s="148" t="n"/>
      <c r="N591" s="148" t="n"/>
      <c r="O591" s="87" t="n"/>
      <c r="P591" s="81" t="n"/>
      <c r="Q591" s="81" t="n"/>
      <c r="R591" s="81" t="n"/>
      <c r="S591" s="81" t="n"/>
      <c r="T591" s="136">
        <f>IF(AND(E591&gt;0,U591=0),1,"")</f>
        <v/>
      </c>
      <c r="U591" s="136">
        <f>SUM(X591:AR591)</f>
        <v/>
      </c>
      <c r="V591" s="136">
        <f>IF(E591=$Q$16,0,SUM(X591:AI591))</f>
        <v/>
      </c>
      <c r="W591" s="136">
        <f>SUM(AK591:AR591)</f>
        <v/>
      </c>
      <c r="X591" s="136">
        <f>IF(E591=$X$6,1,"")</f>
        <v/>
      </c>
      <c r="Y591" s="136">
        <f>IF(E591=$Y$6,1,"")</f>
        <v/>
      </c>
      <c r="Z591" s="136">
        <f>IF(E591=$Z$6,1,"")</f>
        <v/>
      </c>
      <c r="AA591" s="136">
        <f>IF(E591=$AA$6,1,"")</f>
        <v/>
      </c>
      <c r="AB591" s="136">
        <f>IF(E591=$AB$6,1,"")</f>
        <v/>
      </c>
      <c r="AC591" s="136">
        <f>IF(E591=$AC$6,1,"")</f>
        <v/>
      </c>
      <c r="AD591" s="136">
        <f>IF(E591=$AD$6,1,"")</f>
        <v/>
      </c>
      <c r="AE591" s="136">
        <f>IF(E591=$AE$6,1,"")</f>
        <v/>
      </c>
      <c r="AF591" s="136">
        <f>IF(E591=$AF$6,1,"")</f>
        <v/>
      </c>
      <c r="AG591" s="136">
        <f>IF(E591=$AG$6,1,"")</f>
        <v/>
      </c>
      <c r="AH591" s="136">
        <f>IF(E591=$AH$6,1,"")</f>
        <v/>
      </c>
      <c r="AI591" s="136">
        <f>IF(E591=$AI$6,1,"")</f>
        <v/>
      </c>
      <c r="AJ591" s="136">
        <f>IF(E591=$AJ$6,1,"")</f>
        <v/>
      </c>
      <c r="AK591" s="81">
        <f>IF(E591=$AK$6,1,"")</f>
        <v/>
      </c>
      <c r="AL591" s="81">
        <f>IF(E591=$AL$6,1,"")</f>
        <v/>
      </c>
      <c r="AM591" s="81">
        <f>IF(E591=$AM$6,1,"")</f>
        <v/>
      </c>
      <c r="AN591" s="81">
        <f>IF(E591=$AN$6,1,"")</f>
        <v/>
      </c>
      <c r="AO591" s="81">
        <f>IF(E591=$AO$6,1,"")</f>
        <v/>
      </c>
      <c r="AP591" s="81">
        <f>IF(E591=$AP$6,1,"")</f>
        <v/>
      </c>
      <c r="AQ591" s="81">
        <f>IF(E591=$AQ$6,1,"")</f>
        <v/>
      </c>
      <c r="AR591" s="81">
        <f>IF(E591=$AR$6,1,"")</f>
        <v/>
      </c>
      <c r="AS591" s="81" t="n"/>
    </row>
    <row r="592" ht="15.75" customHeight="1" s="80">
      <c r="A592" s="157" t="n"/>
      <c r="B592" s="124" t="n"/>
      <c r="C592" s="125" t="n"/>
      <c r="D592" s="126" t="n"/>
      <c r="E592" s="127" t="n"/>
      <c r="F592" s="128" t="n"/>
      <c r="G592" s="129">
        <f>IF(F592="","",ROUND(F592/60,2))</f>
        <v/>
      </c>
      <c r="H592" s="130" t="n"/>
      <c r="I592" s="131" t="n"/>
      <c r="J592" s="131">
        <f>IF(COUNTIF(B592:E592,"*")=0,"",IF(T592=1,"Invalid Service",IF(AND(V592=1,F592=""),"Add Session Mins",IF(AND(E592&gt;0,H592="",T592=""),"Enter Contract Rate",IF(AND(E592="IEP mtg, prep, rept",F592&gt;0),(G592*H592),IF(AND(E592&gt;0,F592&gt;0,H592&gt;0,I592=""),"Enter Travel",IF(AND(F592&gt;0,I592="Y"),(G592*H592)+$M$10,IF(AND(F592&gt;0,I592="N"),(G592*H592),H592))))))))</f>
        <v/>
      </c>
      <c r="K592" s="132">
        <f>J592</f>
        <v/>
      </c>
      <c r="L592" s="148" t="n"/>
      <c r="M592" s="148" t="n"/>
      <c r="N592" s="148" t="n"/>
      <c r="O592" s="87" t="n"/>
      <c r="P592" s="81" t="n"/>
      <c r="Q592" s="81" t="n"/>
      <c r="R592" s="81" t="n"/>
      <c r="S592" s="81" t="n"/>
      <c r="T592" s="136">
        <f>IF(AND(E592&gt;0,U592=0),1,"")</f>
        <v/>
      </c>
      <c r="U592" s="136">
        <f>SUM(X592:AR592)</f>
        <v/>
      </c>
      <c r="V592" s="136">
        <f>IF(E592=$Q$16,0,SUM(X592:AI592))</f>
        <v/>
      </c>
      <c r="W592" s="136">
        <f>SUM(AK592:AR592)</f>
        <v/>
      </c>
      <c r="X592" s="136">
        <f>IF(E592=$X$6,1,"")</f>
        <v/>
      </c>
      <c r="Y592" s="136">
        <f>IF(E592=$Y$6,1,"")</f>
        <v/>
      </c>
      <c r="Z592" s="136">
        <f>IF(E592=$Z$6,1,"")</f>
        <v/>
      </c>
      <c r="AA592" s="136">
        <f>IF(E592=$AA$6,1,"")</f>
        <v/>
      </c>
      <c r="AB592" s="136">
        <f>IF(E592=$AB$6,1,"")</f>
        <v/>
      </c>
      <c r="AC592" s="136">
        <f>IF(E592=$AC$6,1,"")</f>
        <v/>
      </c>
      <c r="AD592" s="136">
        <f>IF(E592=$AD$6,1,"")</f>
        <v/>
      </c>
      <c r="AE592" s="136">
        <f>IF(E592=$AE$6,1,"")</f>
        <v/>
      </c>
      <c r="AF592" s="136">
        <f>IF(E592=$AF$6,1,"")</f>
        <v/>
      </c>
      <c r="AG592" s="136">
        <f>IF(E592=$AG$6,1,"")</f>
        <v/>
      </c>
      <c r="AH592" s="136">
        <f>IF(E592=$AH$6,1,"")</f>
        <v/>
      </c>
      <c r="AI592" s="136">
        <f>IF(E592=$AI$6,1,"")</f>
        <v/>
      </c>
      <c r="AJ592" s="136">
        <f>IF(E592=$AJ$6,1,"")</f>
        <v/>
      </c>
      <c r="AK592" s="81">
        <f>IF(E592=$AK$6,1,"")</f>
        <v/>
      </c>
      <c r="AL592" s="81">
        <f>IF(E592=$AL$6,1,"")</f>
        <v/>
      </c>
      <c r="AM592" s="81">
        <f>IF(E592=$AM$6,1,"")</f>
        <v/>
      </c>
      <c r="AN592" s="81">
        <f>IF(E592=$AN$6,1,"")</f>
        <v/>
      </c>
      <c r="AO592" s="81">
        <f>IF(E592=$AO$6,1,"")</f>
        <v/>
      </c>
      <c r="AP592" s="81">
        <f>IF(E592=$AP$6,1,"")</f>
        <v/>
      </c>
      <c r="AQ592" s="81">
        <f>IF(E592=$AQ$6,1,"")</f>
        <v/>
      </c>
      <c r="AR592" s="81">
        <f>IF(E592=$AR$6,1,"")</f>
        <v/>
      </c>
      <c r="AS592" s="81" t="n"/>
    </row>
    <row r="593" ht="15.75" customHeight="1" s="80">
      <c r="A593" s="157" t="n"/>
      <c r="B593" s="124" t="n"/>
      <c r="C593" s="125" t="n"/>
      <c r="D593" s="126" t="n"/>
      <c r="E593" s="127" t="n"/>
      <c r="F593" s="128" t="n"/>
      <c r="G593" s="129">
        <f>IF(F593="","",ROUND(F593/60,2))</f>
        <v/>
      </c>
      <c r="H593" s="130" t="n"/>
      <c r="I593" s="131" t="n"/>
      <c r="J593" s="131">
        <f>IF(COUNTIF(B593:E593,"*")=0,"",IF(T593=1,"Invalid Service",IF(AND(V593=1,F593=""),"Add Session Mins",IF(AND(E593&gt;0,H593="",T593=""),"Enter Contract Rate",IF(AND(E593="IEP mtg, prep, rept",F593&gt;0),(G593*H593),IF(AND(E593&gt;0,F593&gt;0,H593&gt;0,I593=""),"Enter Travel",IF(AND(F593&gt;0,I593="Y"),(G593*H593)+$M$10,IF(AND(F593&gt;0,I593="N"),(G593*H593),H593))))))))</f>
        <v/>
      </c>
      <c r="K593" s="132">
        <f>J593</f>
        <v/>
      </c>
      <c r="L593" s="148" t="n"/>
      <c r="M593" s="148" t="n"/>
      <c r="N593" s="148" t="n"/>
      <c r="O593" s="87" t="n"/>
      <c r="P593" s="81" t="n"/>
      <c r="Q593" s="81" t="n"/>
      <c r="R593" s="81" t="n"/>
      <c r="S593" s="81" t="n"/>
      <c r="T593" s="136">
        <f>IF(AND(E593&gt;0,U593=0),1,"")</f>
        <v/>
      </c>
      <c r="U593" s="136">
        <f>SUM(X593:AR593)</f>
        <v/>
      </c>
      <c r="V593" s="136">
        <f>IF(E593=$Q$16,0,SUM(X593:AI593))</f>
        <v/>
      </c>
      <c r="W593" s="136">
        <f>SUM(AK593:AR593)</f>
        <v/>
      </c>
      <c r="X593" s="136">
        <f>IF(E593=$X$6,1,"")</f>
        <v/>
      </c>
      <c r="Y593" s="136">
        <f>IF(E593=$Y$6,1,"")</f>
        <v/>
      </c>
      <c r="Z593" s="136">
        <f>IF(E593=$Z$6,1,"")</f>
        <v/>
      </c>
      <c r="AA593" s="136">
        <f>IF(E593=$AA$6,1,"")</f>
        <v/>
      </c>
      <c r="AB593" s="136">
        <f>IF(E593=$AB$6,1,"")</f>
        <v/>
      </c>
      <c r="AC593" s="136">
        <f>IF(E593=$AC$6,1,"")</f>
        <v/>
      </c>
      <c r="AD593" s="136">
        <f>IF(E593=$AD$6,1,"")</f>
        <v/>
      </c>
      <c r="AE593" s="136">
        <f>IF(E593=$AE$6,1,"")</f>
        <v/>
      </c>
      <c r="AF593" s="136">
        <f>IF(E593=$AF$6,1,"")</f>
        <v/>
      </c>
      <c r="AG593" s="136">
        <f>IF(E593=$AG$6,1,"")</f>
        <v/>
      </c>
      <c r="AH593" s="136">
        <f>IF(E593=$AH$6,1,"")</f>
        <v/>
      </c>
      <c r="AI593" s="136">
        <f>IF(E593=$AI$6,1,"")</f>
        <v/>
      </c>
      <c r="AJ593" s="136">
        <f>IF(E593=$AJ$6,1,"")</f>
        <v/>
      </c>
      <c r="AK593" s="81">
        <f>IF(E593=$AK$6,1,"")</f>
        <v/>
      </c>
      <c r="AL593" s="81">
        <f>IF(E593=$AL$6,1,"")</f>
        <v/>
      </c>
      <c r="AM593" s="81">
        <f>IF(E593=$AM$6,1,"")</f>
        <v/>
      </c>
      <c r="AN593" s="81">
        <f>IF(E593=$AN$6,1,"")</f>
        <v/>
      </c>
      <c r="AO593" s="81">
        <f>IF(E593=$AO$6,1,"")</f>
        <v/>
      </c>
      <c r="AP593" s="81">
        <f>IF(E593=$AP$6,1,"")</f>
        <v/>
      </c>
      <c r="AQ593" s="81">
        <f>IF(E593=$AQ$6,1,"")</f>
        <v/>
      </c>
      <c r="AR593" s="81">
        <f>IF(E593=$AR$6,1,"")</f>
        <v/>
      </c>
      <c r="AS593" s="81" t="n"/>
    </row>
    <row r="594" ht="15.75" customHeight="1" s="80">
      <c r="A594" s="157" t="n"/>
      <c r="B594" s="124" t="n"/>
      <c r="C594" s="125" t="n"/>
      <c r="D594" s="126" t="n"/>
      <c r="E594" s="127" t="n"/>
      <c r="F594" s="128" t="n"/>
      <c r="G594" s="129">
        <f>IF(F594="","",ROUND(F594/60,2))</f>
        <v/>
      </c>
      <c r="H594" s="130" t="n"/>
      <c r="I594" s="131" t="n"/>
      <c r="J594" s="131">
        <f>IF(COUNTIF(B594:E594,"*")=0,"",IF(T594=1,"Invalid Service",IF(AND(V594=1,F594=""),"Add Session Mins",IF(AND(E594&gt;0,H594="",T594=""),"Enter Contract Rate",IF(AND(E594="IEP mtg, prep, rept",F594&gt;0),(G594*H594),IF(AND(E594&gt;0,F594&gt;0,H594&gt;0,I594=""),"Enter Travel",IF(AND(F594&gt;0,I594="Y"),(G594*H594)+$M$10,IF(AND(F594&gt;0,I594="N"),(G594*H594),H594))))))))</f>
        <v/>
      </c>
      <c r="K594" s="132">
        <f>J594</f>
        <v/>
      </c>
      <c r="L594" s="148" t="n"/>
      <c r="M594" s="148" t="n"/>
      <c r="N594" s="148" t="n"/>
      <c r="O594" s="87" t="n"/>
      <c r="P594" s="81" t="n"/>
      <c r="Q594" s="81" t="n"/>
      <c r="R594" s="81" t="n"/>
      <c r="S594" s="81" t="n"/>
      <c r="T594" s="136">
        <f>IF(AND(E594&gt;0,U594=0),1,"")</f>
        <v/>
      </c>
      <c r="U594" s="136">
        <f>SUM(X594:AR594)</f>
        <v/>
      </c>
      <c r="V594" s="136">
        <f>IF(E594=$Q$16,0,SUM(X594:AI594))</f>
        <v/>
      </c>
      <c r="W594" s="136">
        <f>SUM(AK594:AR594)</f>
        <v/>
      </c>
      <c r="X594" s="136">
        <f>IF(E594=$X$6,1,"")</f>
        <v/>
      </c>
      <c r="Y594" s="136">
        <f>IF(E594=$Y$6,1,"")</f>
        <v/>
      </c>
      <c r="Z594" s="136">
        <f>IF(E594=$Z$6,1,"")</f>
        <v/>
      </c>
      <c r="AA594" s="136">
        <f>IF(E594=$AA$6,1,"")</f>
        <v/>
      </c>
      <c r="AB594" s="136">
        <f>IF(E594=$AB$6,1,"")</f>
        <v/>
      </c>
      <c r="AC594" s="136">
        <f>IF(E594=$AC$6,1,"")</f>
        <v/>
      </c>
      <c r="AD594" s="136">
        <f>IF(E594=$AD$6,1,"")</f>
        <v/>
      </c>
      <c r="AE594" s="136">
        <f>IF(E594=$AE$6,1,"")</f>
        <v/>
      </c>
      <c r="AF594" s="136">
        <f>IF(E594=$AF$6,1,"")</f>
        <v/>
      </c>
      <c r="AG594" s="136">
        <f>IF(E594=$AG$6,1,"")</f>
        <v/>
      </c>
      <c r="AH594" s="136">
        <f>IF(E594=$AH$6,1,"")</f>
        <v/>
      </c>
      <c r="AI594" s="136">
        <f>IF(E594=$AI$6,1,"")</f>
        <v/>
      </c>
      <c r="AJ594" s="136">
        <f>IF(E594=$AJ$6,1,"")</f>
        <v/>
      </c>
      <c r="AK594" s="81">
        <f>IF(E594=$AK$6,1,"")</f>
        <v/>
      </c>
      <c r="AL594" s="81">
        <f>IF(E594=$AL$6,1,"")</f>
        <v/>
      </c>
      <c r="AM594" s="81">
        <f>IF(E594=$AM$6,1,"")</f>
        <v/>
      </c>
      <c r="AN594" s="81">
        <f>IF(E594=$AN$6,1,"")</f>
        <v/>
      </c>
      <c r="AO594" s="81">
        <f>IF(E594=$AO$6,1,"")</f>
        <v/>
      </c>
      <c r="AP594" s="81">
        <f>IF(E594=$AP$6,1,"")</f>
        <v/>
      </c>
      <c r="AQ594" s="81">
        <f>IF(E594=$AQ$6,1,"")</f>
        <v/>
      </c>
      <c r="AR594" s="81">
        <f>IF(E594=$AR$6,1,"")</f>
        <v/>
      </c>
      <c r="AS594" s="81" t="n"/>
    </row>
    <row r="595" ht="15.75" customHeight="1" s="80">
      <c r="A595" s="157" t="n"/>
      <c r="B595" s="124" t="n"/>
      <c r="C595" s="125" t="n"/>
      <c r="D595" s="126" t="n"/>
      <c r="E595" s="127" t="n"/>
      <c r="F595" s="128" t="n"/>
      <c r="G595" s="129">
        <f>IF(F595="","",ROUND(F595/60,2))</f>
        <v/>
      </c>
      <c r="H595" s="130" t="n"/>
      <c r="I595" s="131" t="n"/>
      <c r="J595" s="131">
        <f>IF(COUNTIF(B595:E595,"*")=0,"",IF(T595=1,"Invalid Service",IF(AND(V595=1,F595=""),"Add Session Mins",IF(AND(E595&gt;0,H595="",T595=""),"Enter Contract Rate",IF(AND(E595="IEP mtg, prep, rept",F595&gt;0),(G595*H595),IF(AND(E595&gt;0,F595&gt;0,H595&gt;0,I595=""),"Enter Travel",IF(AND(F595&gt;0,I595="Y"),(G595*H595)+$M$10,IF(AND(F595&gt;0,I595="N"),(G595*H595),H595))))))))</f>
        <v/>
      </c>
      <c r="K595" s="132">
        <f>J595</f>
        <v/>
      </c>
      <c r="L595" s="148" t="n"/>
      <c r="M595" s="148" t="n"/>
      <c r="N595" s="148" t="n"/>
      <c r="O595" s="87" t="n"/>
      <c r="P595" s="81" t="n"/>
      <c r="Q595" s="81" t="n"/>
      <c r="R595" s="81" t="n"/>
      <c r="S595" s="81" t="n"/>
      <c r="T595" s="136">
        <f>IF(AND(E595&gt;0,U595=0),1,"")</f>
        <v/>
      </c>
      <c r="U595" s="136">
        <f>SUM(X595:AR595)</f>
        <v/>
      </c>
      <c r="V595" s="136">
        <f>IF(E595=$Q$16,0,SUM(X595:AI595))</f>
        <v/>
      </c>
      <c r="W595" s="136">
        <f>SUM(AK595:AR595)</f>
        <v/>
      </c>
      <c r="X595" s="136">
        <f>IF(E595=$X$6,1,"")</f>
        <v/>
      </c>
      <c r="Y595" s="136">
        <f>IF(E595=$Y$6,1,"")</f>
        <v/>
      </c>
      <c r="Z595" s="136">
        <f>IF(E595=$Z$6,1,"")</f>
        <v/>
      </c>
      <c r="AA595" s="136">
        <f>IF(E595=$AA$6,1,"")</f>
        <v/>
      </c>
      <c r="AB595" s="136">
        <f>IF(E595=$AB$6,1,"")</f>
        <v/>
      </c>
      <c r="AC595" s="136">
        <f>IF(E595=$AC$6,1,"")</f>
        <v/>
      </c>
      <c r="AD595" s="136">
        <f>IF(E595=$AD$6,1,"")</f>
        <v/>
      </c>
      <c r="AE595" s="136">
        <f>IF(E595=$AE$6,1,"")</f>
        <v/>
      </c>
      <c r="AF595" s="136">
        <f>IF(E595=$AF$6,1,"")</f>
        <v/>
      </c>
      <c r="AG595" s="136">
        <f>IF(E595=$AG$6,1,"")</f>
        <v/>
      </c>
      <c r="AH595" s="136">
        <f>IF(E595=$AH$6,1,"")</f>
        <v/>
      </c>
      <c r="AI595" s="136">
        <f>IF(E595=$AI$6,1,"")</f>
        <v/>
      </c>
      <c r="AJ595" s="136">
        <f>IF(E595=$AJ$6,1,"")</f>
        <v/>
      </c>
      <c r="AK595" s="81">
        <f>IF(E595=$AK$6,1,"")</f>
        <v/>
      </c>
      <c r="AL595" s="81">
        <f>IF(E595=$AL$6,1,"")</f>
        <v/>
      </c>
      <c r="AM595" s="81">
        <f>IF(E595=$AM$6,1,"")</f>
        <v/>
      </c>
      <c r="AN595" s="81">
        <f>IF(E595=$AN$6,1,"")</f>
        <v/>
      </c>
      <c r="AO595" s="81">
        <f>IF(E595=$AO$6,1,"")</f>
        <v/>
      </c>
      <c r="AP595" s="81">
        <f>IF(E595=$AP$6,1,"")</f>
        <v/>
      </c>
      <c r="AQ595" s="81">
        <f>IF(E595=$AQ$6,1,"")</f>
        <v/>
      </c>
      <c r="AR595" s="81">
        <f>IF(E595=$AR$6,1,"")</f>
        <v/>
      </c>
      <c r="AS595" s="81" t="n"/>
    </row>
    <row r="596" ht="15.75" customHeight="1" s="80">
      <c r="A596" s="157" t="n"/>
      <c r="B596" s="124" t="n"/>
      <c r="C596" s="125" t="n"/>
      <c r="D596" s="126" t="n"/>
      <c r="E596" s="127" t="n"/>
      <c r="F596" s="128" t="n"/>
      <c r="G596" s="129">
        <f>IF(F596="","",ROUND(F596/60,2))</f>
        <v/>
      </c>
      <c r="H596" s="130" t="n"/>
      <c r="I596" s="131" t="n"/>
      <c r="J596" s="131">
        <f>IF(COUNTIF(B596:E596,"*")=0,"",IF(T596=1,"Invalid Service",IF(AND(V596=1,F596=""),"Add Session Mins",IF(AND(E596&gt;0,H596="",T596=""),"Enter Contract Rate",IF(AND(E596="IEP mtg, prep, rept",F596&gt;0),(G596*H596),IF(AND(E596&gt;0,F596&gt;0,H596&gt;0,I596=""),"Enter Travel",IF(AND(F596&gt;0,I596="Y"),(G596*H596)+$M$10,IF(AND(F596&gt;0,I596="N"),(G596*H596),H596))))))))</f>
        <v/>
      </c>
      <c r="K596" s="132">
        <f>J596</f>
        <v/>
      </c>
      <c r="L596" s="148" t="n"/>
      <c r="M596" s="148" t="n"/>
      <c r="N596" s="148" t="n"/>
      <c r="O596" s="87" t="n"/>
      <c r="P596" s="81" t="n"/>
      <c r="Q596" s="81" t="n"/>
      <c r="R596" s="81" t="n"/>
      <c r="S596" s="81" t="n"/>
      <c r="T596" s="136">
        <f>IF(AND(E596&gt;0,U596=0),1,"")</f>
        <v/>
      </c>
      <c r="U596" s="136">
        <f>SUM(X596:AR596)</f>
        <v/>
      </c>
      <c r="V596" s="136">
        <f>IF(E596=$Q$16,0,SUM(X596:AI596))</f>
        <v/>
      </c>
      <c r="W596" s="136">
        <f>SUM(AK596:AR596)</f>
        <v/>
      </c>
      <c r="X596" s="136">
        <f>IF(E596=$X$6,1,"")</f>
        <v/>
      </c>
      <c r="Y596" s="136">
        <f>IF(E596=$Y$6,1,"")</f>
        <v/>
      </c>
      <c r="Z596" s="136">
        <f>IF(E596=$Z$6,1,"")</f>
        <v/>
      </c>
      <c r="AA596" s="136">
        <f>IF(E596=$AA$6,1,"")</f>
        <v/>
      </c>
      <c r="AB596" s="136">
        <f>IF(E596=$AB$6,1,"")</f>
        <v/>
      </c>
      <c r="AC596" s="136">
        <f>IF(E596=$AC$6,1,"")</f>
        <v/>
      </c>
      <c r="AD596" s="136">
        <f>IF(E596=$AD$6,1,"")</f>
        <v/>
      </c>
      <c r="AE596" s="136">
        <f>IF(E596=$AE$6,1,"")</f>
        <v/>
      </c>
      <c r="AF596" s="136">
        <f>IF(E596=$AF$6,1,"")</f>
        <v/>
      </c>
      <c r="AG596" s="136">
        <f>IF(E596=$AG$6,1,"")</f>
        <v/>
      </c>
      <c r="AH596" s="136">
        <f>IF(E596=$AH$6,1,"")</f>
        <v/>
      </c>
      <c r="AI596" s="136">
        <f>IF(E596=$AI$6,1,"")</f>
        <v/>
      </c>
      <c r="AJ596" s="136">
        <f>IF(E596=$AJ$6,1,"")</f>
        <v/>
      </c>
      <c r="AK596" s="81">
        <f>IF(E596=$AK$6,1,"")</f>
        <v/>
      </c>
      <c r="AL596" s="81">
        <f>IF(E596=$AL$6,1,"")</f>
        <v/>
      </c>
      <c r="AM596" s="81">
        <f>IF(E596=$AM$6,1,"")</f>
        <v/>
      </c>
      <c r="AN596" s="81">
        <f>IF(E596=$AN$6,1,"")</f>
        <v/>
      </c>
      <c r="AO596" s="81">
        <f>IF(E596=$AO$6,1,"")</f>
        <v/>
      </c>
      <c r="AP596" s="81">
        <f>IF(E596=$AP$6,1,"")</f>
        <v/>
      </c>
      <c r="AQ596" s="81">
        <f>IF(E596=$AQ$6,1,"")</f>
        <v/>
      </c>
      <c r="AR596" s="81">
        <f>IF(E596=$AR$6,1,"")</f>
        <v/>
      </c>
      <c r="AS596" s="81" t="n"/>
    </row>
    <row r="597" ht="15.75" customHeight="1" s="80">
      <c r="A597" s="157" t="n"/>
      <c r="B597" s="124" t="n"/>
      <c r="C597" s="125" t="n"/>
      <c r="D597" s="126" t="n"/>
      <c r="E597" s="127" t="n"/>
      <c r="F597" s="128" t="n"/>
      <c r="G597" s="129">
        <f>IF(F597="","",ROUND(F597/60,2))</f>
        <v/>
      </c>
      <c r="H597" s="130" t="n"/>
      <c r="I597" s="131" t="n"/>
      <c r="J597" s="131">
        <f>IF(COUNTIF(B597:E597,"*")=0,"",IF(T597=1,"Invalid Service",IF(AND(V597=1,F597=""),"Add Session Mins",IF(AND(E597&gt;0,H597="",T597=""),"Enter Contract Rate",IF(AND(E597="IEP mtg, prep, rept",F597&gt;0),(G597*H597),IF(AND(E597&gt;0,F597&gt;0,H597&gt;0,I597=""),"Enter Travel",IF(AND(F597&gt;0,I597="Y"),(G597*H597)+$M$10,IF(AND(F597&gt;0,I597="N"),(G597*H597),H597))))))))</f>
        <v/>
      </c>
      <c r="K597" s="132">
        <f>J597</f>
        <v/>
      </c>
      <c r="L597" s="148" t="n"/>
      <c r="M597" s="148" t="n"/>
      <c r="N597" s="148" t="n"/>
      <c r="O597" s="87" t="n"/>
      <c r="P597" s="81" t="n"/>
      <c r="Q597" s="81" t="n"/>
      <c r="R597" s="81" t="n"/>
      <c r="S597" s="81" t="n"/>
      <c r="T597" s="136">
        <f>IF(AND(E597&gt;0,U597=0),1,"")</f>
        <v/>
      </c>
      <c r="U597" s="136">
        <f>SUM(X597:AR597)</f>
        <v/>
      </c>
      <c r="V597" s="136">
        <f>IF(E597=$Q$16,0,SUM(X597:AI597))</f>
        <v/>
      </c>
      <c r="W597" s="136">
        <f>SUM(AK597:AR597)</f>
        <v/>
      </c>
      <c r="X597" s="136">
        <f>IF(E597=$X$6,1,"")</f>
        <v/>
      </c>
      <c r="Y597" s="136">
        <f>IF(E597=$Y$6,1,"")</f>
        <v/>
      </c>
      <c r="Z597" s="136">
        <f>IF(E597=$Z$6,1,"")</f>
        <v/>
      </c>
      <c r="AA597" s="136">
        <f>IF(E597=$AA$6,1,"")</f>
        <v/>
      </c>
      <c r="AB597" s="136">
        <f>IF(E597=$AB$6,1,"")</f>
        <v/>
      </c>
      <c r="AC597" s="136">
        <f>IF(E597=$AC$6,1,"")</f>
        <v/>
      </c>
      <c r="AD597" s="136">
        <f>IF(E597=$AD$6,1,"")</f>
        <v/>
      </c>
      <c r="AE597" s="136">
        <f>IF(E597=$AE$6,1,"")</f>
        <v/>
      </c>
      <c r="AF597" s="136">
        <f>IF(E597=$AF$6,1,"")</f>
        <v/>
      </c>
      <c r="AG597" s="136">
        <f>IF(E597=$AG$6,1,"")</f>
        <v/>
      </c>
      <c r="AH597" s="136">
        <f>IF(E597=$AH$6,1,"")</f>
        <v/>
      </c>
      <c r="AI597" s="136">
        <f>IF(E597=$AI$6,1,"")</f>
        <v/>
      </c>
      <c r="AJ597" s="136">
        <f>IF(E597=$AJ$6,1,"")</f>
        <v/>
      </c>
      <c r="AK597" s="81">
        <f>IF(E597=$AK$6,1,"")</f>
        <v/>
      </c>
      <c r="AL597" s="81">
        <f>IF(E597=$AL$6,1,"")</f>
        <v/>
      </c>
      <c r="AM597" s="81">
        <f>IF(E597=$AM$6,1,"")</f>
        <v/>
      </c>
      <c r="AN597" s="81">
        <f>IF(E597=$AN$6,1,"")</f>
        <v/>
      </c>
      <c r="AO597" s="81">
        <f>IF(E597=$AO$6,1,"")</f>
        <v/>
      </c>
      <c r="AP597" s="81">
        <f>IF(E597=$AP$6,1,"")</f>
        <v/>
      </c>
      <c r="AQ597" s="81">
        <f>IF(E597=$AQ$6,1,"")</f>
        <v/>
      </c>
      <c r="AR597" s="81">
        <f>IF(E597=$AR$6,1,"")</f>
        <v/>
      </c>
      <c r="AS597" s="81" t="n"/>
    </row>
    <row r="598" ht="15.75" customHeight="1" s="80">
      <c r="A598" s="157" t="n"/>
      <c r="B598" s="124" t="n"/>
      <c r="C598" s="125" t="n"/>
      <c r="D598" s="126" t="n"/>
      <c r="E598" s="127" t="n"/>
      <c r="F598" s="128" t="n"/>
      <c r="G598" s="129">
        <f>IF(F598="","",ROUND(F598/60,2))</f>
        <v/>
      </c>
      <c r="H598" s="130" t="n"/>
      <c r="I598" s="131" t="n"/>
      <c r="J598" s="131">
        <f>IF(COUNTIF(B598:E598,"*")=0,"",IF(T598=1,"Invalid Service",IF(AND(V598=1,F598=""),"Add Session Mins",IF(AND(E598&gt;0,H598="",T598=""),"Enter Contract Rate",IF(AND(E598="IEP mtg, prep, rept",F598&gt;0),(G598*H598),IF(AND(E598&gt;0,F598&gt;0,H598&gt;0,I598=""),"Enter Travel",IF(AND(F598&gt;0,I598="Y"),(G598*H598)+$M$10,IF(AND(F598&gt;0,I598="N"),(G598*H598),H598))))))))</f>
        <v/>
      </c>
      <c r="K598" s="132">
        <f>J598</f>
        <v/>
      </c>
      <c r="L598" s="148" t="n"/>
      <c r="M598" s="148" t="n"/>
      <c r="N598" s="148" t="n"/>
      <c r="O598" s="87" t="n"/>
      <c r="P598" s="81" t="n"/>
      <c r="Q598" s="81" t="n"/>
      <c r="R598" s="81" t="n"/>
      <c r="S598" s="81" t="n"/>
      <c r="T598" s="136">
        <f>IF(AND(E598&gt;0,U598=0),1,"")</f>
        <v/>
      </c>
      <c r="U598" s="136">
        <f>SUM(X598:AR598)</f>
        <v/>
      </c>
      <c r="V598" s="136">
        <f>IF(E598=$Q$16,0,SUM(X598:AI598))</f>
        <v/>
      </c>
      <c r="W598" s="136">
        <f>SUM(AK598:AR598)</f>
        <v/>
      </c>
      <c r="X598" s="136">
        <f>IF(E598=$X$6,1,"")</f>
        <v/>
      </c>
      <c r="Y598" s="136">
        <f>IF(E598=$Y$6,1,"")</f>
        <v/>
      </c>
      <c r="Z598" s="136">
        <f>IF(E598=$Z$6,1,"")</f>
        <v/>
      </c>
      <c r="AA598" s="136">
        <f>IF(E598=$AA$6,1,"")</f>
        <v/>
      </c>
      <c r="AB598" s="136">
        <f>IF(E598=$AB$6,1,"")</f>
        <v/>
      </c>
      <c r="AC598" s="136">
        <f>IF(E598=$AC$6,1,"")</f>
        <v/>
      </c>
      <c r="AD598" s="136">
        <f>IF(E598=$AD$6,1,"")</f>
        <v/>
      </c>
      <c r="AE598" s="136">
        <f>IF(E598=$AE$6,1,"")</f>
        <v/>
      </c>
      <c r="AF598" s="136">
        <f>IF(E598=$AF$6,1,"")</f>
        <v/>
      </c>
      <c r="AG598" s="136">
        <f>IF(E598=$AG$6,1,"")</f>
        <v/>
      </c>
      <c r="AH598" s="136">
        <f>IF(E598=$AH$6,1,"")</f>
        <v/>
      </c>
      <c r="AI598" s="136">
        <f>IF(E598=$AI$6,1,"")</f>
        <v/>
      </c>
      <c r="AJ598" s="136">
        <f>IF(E598=$AJ$6,1,"")</f>
        <v/>
      </c>
      <c r="AK598" s="81">
        <f>IF(E598=$AK$6,1,"")</f>
        <v/>
      </c>
      <c r="AL598" s="81">
        <f>IF(E598=$AL$6,1,"")</f>
        <v/>
      </c>
      <c r="AM598" s="81">
        <f>IF(E598=$AM$6,1,"")</f>
        <v/>
      </c>
      <c r="AN598" s="81">
        <f>IF(E598=$AN$6,1,"")</f>
        <v/>
      </c>
      <c r="AO598" s="81">
        <f>IF(E598=$AO$6,1,"")</f>
        <v/>
      </c>
      <c r="AP598" s="81">
        <f>IF(E598=$AP$6,1,"")</f>
        <v/>
      </c>
      <c r="AQ598" s="81">
        <f>IF(E598=$AQ$6,1,"")</f>
        <v/>
      </c>
      <c r="AR598" s="81">
        <f>IF(E598=$AR$6,1,"")</f>
        <v/>
      </c>
      <c r="AS598" s="81" t="n"/>
    </row>
    <row r="599" ht="15.75" customHeight="1" s="80">
      <c r="A599" s="157" t="n"/>
      <c r="B599" s="124" t="n"/>
      <c r="C599" s="125" t="n"/>
      <c r="D599" s="126" t="n"/>
      <c r="E599" s="127" t="n"/>
      <c r="F599" s="128" t="n"/>
      <c r="G599" s="129">
        <f>IF(F599="","",ROUND(F599/60,2))</f>
        <v/>
      </c>
      <c r="H599" s="130" t="n"/>
      <c r="I599" s="131" t="n"/>
      <c r="J599" s="131">
        <f>IF(COUNTIF(B599:E599,"*")=0,"",IF(T599=1,"Invalid Service",IF(AND(V599=1,F599=""),"Add Session Mins",IF(AND(E599&gt;0,H599="",T599=""),"Enter Contract Rate",IF(AND(E599="IEP mtg, prep, rept",F599&gt;0),(G599*H599),IF(AND(E599&gt;0,F599&gt;0,H599&gt;0,I599=""),"Enter Travel",IF(AND(F599&gt;0,I599="Y"),(G599*H599)+$M$10,IF(AND(F599&gt;0,I599="N"),(G599*H599),H599))))))))</f>
        <v/>
      </c>
      <c r="K599" s="132">
        <f>J599</f>
        <v/>
      </c>
      <c r="L599" s="148" t="n"/>
      <c r="M599" s="148" t="n"/>
      <c r="N599" s="148" t="n"/>
      <c r="O599" s="87" t="n"/>
      <c r="P599" s="81" t="n"/>
      <c r="Q599" s="81" t="n"/>
      <c r="R599" s="81" t="n"/>
      <c r="S599" s="81" t="n"/>
      <c r="T599" s="136">
        <f>IF(AND(E599&gt;0,U599=0),1,"")</f>
        <v/>
      </c>
      <c r="U599" s="136">
        <f>SUM(X599:AR599)</f>
        <v/>
      </c>
      <c r="V599" s="136">
        <f>IF(E599=$Q$16,0,SUM(X599:AI599))</f>
        <v/>
      </c>
      <c r="W599" s="136">
        <f>SUM(AK599:AR599)</f>
        <v/>
      </c>
      <c r="X599" s="136">
        <f>IF(E599=$X$6,1,"")</f>
        <v/>
      </c>
      <c r="Y599" s="136">
        <f>IF(E599=$Y$6,1,"")</f>
        <v/>
      </c>
      <c r="Z599" s="136">
        <f>IF(E599=$Z$6,1,"")</f>
        <v/>
      </c>
      <c r="AA599" s="136">
        <f>IF(E599=$AA$6,1,"")</f>
        <v/>
      </c>
      <c r="AB599" s="136">
        <f>IF(E599=$AB$6,1,"")</f>
        <v/>
      </c>
      <c r="AC599" s="136">
        <f>IF(E599=$AC$6,1,"")</f>
        <v/>
      </c>
      <c r="AD599" s="136">
        <f>IF(E599=$AD$6,1,"")</f>
        <v/>
      </c>
      <c r="AE599" s="136">
        <f>IF(E599=$AE$6,1,"")</f>
        <v/>
      </c>
      <c r="AF599" s="136">
        <f>IF(E599=$AF$6,1,"")</f>
        <v/>
      </c>
      <c r="AG599" s="136">
        <f>IF(E599=$AG$6,1,"")</f>
        <v/>
      </c>
      <c r="AH599" s="136">
        <f>IF(E599=$AH$6,1,"")</f>
        <v/>
      </c>
      <c r="AI599" s="136">
        <f>IF(E599=$AI$6,1,"")</f>
        <v/>
      </c>
      <c r="AJ599" s="136">
        <f>IF(E599=$AJ$6,1,"")</f>
        <v/>
      </c>
      <c r="AK599" s="81">
        <f>IF(E599=$AK$6,1,"")</f>
        <v/>
      </c>
      <c r="AL599" s="81">
        <f>IF(E599=$AL$6,1,"")</f>
        <v/>
      </c>
      <c r="AM599" s="81">
        <f>IF(E599=$AM$6,1,"")</f>
        <v/>
      </c>
      <c r="AN599" s="81">
        <f>IF(E599=$AN$6,1,"")</f>
        <v/>
      </c>
      <c r="AO599" s="81">
        <f>IF(E599=$AO$6,1,"")</f>
        <v/>
      </c>
      <c r="AP599" s="81">
        <f>IF(E599=$AP$6,1,"")</f>
        <v/>
      </c>
      <c r="AQ599" s="81">
        <f>IF(E599=$AQ$6,1,"")</f>
        <v/>
      </c>
      <c r="AR599" s="81">
        <f>IF(E599=$AR$6,1,"")</f>
        <v/>
      </c>
      <c r="AS599" s="81" t="n"/>
    </row>
    <row r="600" ht="15.75" customHeight="1" s="80">
      <c r="A600" s="157" t="n"/>
      <c r="B600" s="124" t="n"/>
      <c r="C600" s="125" t="n"/>
      <c r="D600" s="126" t="n"/>
      <c r="E600" s="127" t="n"/>
      <c r="F600" s="128" t="n"/>
      <c r="G600" s="129">
        <f>IF(F600="","",ROUND(F600/60,2))</f>
        <v/>
      </c>
      <c r="H600" s="130" t="n"/>
      <c r="I600" s="131" t="n"/>
      <c r="J600" s="131">
        <f>IF(COUNTIF(B600:E600,"*")=0,"",IF(T600=1,"Invalid Service",IF(AND(V600=1,F600=""),"Add Session Mins",IF(AND(E600&gt;0,H600="",T600=""),"Enter Contract Rate",IF(AND(E600="IEP mtg, prep, rept",F600&gt;0),(G600*H600),IF(AND(E600&gt;0,F600&gt;0,H600&gt;0,I600=""),"Enter Travel",IF(AND(F600&gt;0,I600="Y"),(G600*H600)+$M$10,IF(AND(F600&gt;0,I600="N"),(G600*H600),H600))))))))</f>
        <v/>
      </c>
      <c r="K600" s="132">
        <f>J600</f>
        <v/>
      </c>
      <c r="L600" s="148" t="n"/>
      <c r="M600" s="148" t="n"/>
      <c r="N600" s="148" t="n"/>
      <c r="O600" s="87" t="n"/>
      <c r="P600" s="81" t="n"/>
      <c r="Q600" s="81" t="n"/>
      <c r="R600" s="81" t="n"/>
      <c r="S600" s="81" t="n"/>
      <c r="T600" s="136">
        <f>IF(AND(E600&gt;0,U600=0),1,"")</f>
        <v/>
      </c>
      <c r="U600" s="136">
        <f>SUM(X600:AR600)</f>
        <v/>
      </c>
      <c r="V600" s="136">
        <f>IF(E600=$Q$16,0,SUM(X600:AI600))</f>
        <v/>
      </c>
      <c r="W600" s="136">
        <f>SUM(AK600:AR600)</f>
        <v/>
      </c>
      <c r="X600" s="136">
        <f>IF(E600=$X$6,1,"")</f>
        <v/>
      </c>
      <c r="Y600" s="136">
        <f>IF(E600=$Y$6,1,"")</f>
        <v/>
      </c>
      <c r="Z600" s="136">
        <f>IF(E600=$Z$6,1,"")</f>
        <v/>
      </c>
      <c r="AA600" s="136">
        <f>IF(E600=$AA$6,1,"")</f>
        <v/>
      </c>
      <c r="AB600" s="136">
        <f>IF(E600=$AB$6,1,"")</f>
        <v/>
      </c>
      <c r="AC600" s="136">
        <f>IF(E600=$AC$6,1,"")</f>
        <v/>
      </c>
      <c r="AD600" s="136">
        <f>IF(E600=$AD$6,1,"")</f>
        <v/>
      </c>
      <c r="AE600" s="136">
        <f>IF(E600=$AE$6,1,"")</f>
        <v/>
      </c>
      <c r="AF600" s="136">
        <f>IF(E600=$AF$6,1,"")</f>
        <v/>
      </c>
      <c r="AG600" s="136">
        <f>IF(E600=$AG$6,1,"")</f>
        <v/>
      </c>
      <c r="AH600" s="136">
        <f>IF(E600=$AH$6,1,"")</f>
        <v/>
      </c>
      <c r="AI600" s="136">
        <f>IF(E600=$AI$6,1,"")</f>
        <v/>
      </c>
      <c r="AJ600" s="136">
        <f>IF(E600=$AJ$6,1,"")</f>
        <v/>
      </c>
      <c r="AK600" s="81">
        <f>IF(E600=$AK$6,1,"")</f>
        <v/>
      </c>
      <c r="AL600" s="81">
        <f>IF(E600=$AL$6,1,"")</f>
        <v/>
      </c>
      <c r="AM600" s="81">
        <f>IF(E600=$AM$6,1,"")</f>
        <v/>
      </c>
      <c r="AN600" s="81">
        <f>IF(E600=$AN$6,1,"")</f>
        <v/>
      </c>
      <c r="AO600" s="81">
        <f>IF(E600=$AO$6,1,"")</f>
        <v/>
      </c>
      <c r="AP600" s="81">
        <f>IF(E600=$AP$6,1,"")</f>
        <v/>
      </c>
      <c r="AQ600" s="81">
        <f>IF(E600=$AQ$6,1,"")</f>
        <v/>
      </c>
      <c r="AR600" s="81">
        <f>IF(E600=$AR$6,1,"")</f>
        <v/>
      </c>
      <c r="AS600" s="81" t="n"/>
    </row>
    <row r="601" ht="15.75" customHeight="1" s="80">
      <c r="A601" s="157" t="n"/>
      <c r="B601" s="124" t="n"/>
      <c r="C601" s="125" t="n"/>
      <c r="D601" s="126" t="n"/>
      <c r="E601" s="127" t="n"/>
      <c r="F601" s="128" t="n"/>
      <c r="G601" s="129">
        <f>IF(F601="","",ROUND(F601/60,2))</f>
        <v/>
      </c>
      <c r="H601" s="130" t="n"/>
      <c r="I601" s="131" t="n"/>
      <c r="J601" s="131">
        <f>IF(COUNTIF(B601:E601,"*")=0,"",IF(T601=1,"Invalid Service",IF(AND(V601=1,F601=""),"Add Session Mins",IF(AND(E601&gt;0,H601="",T601=""),"Enter Contract Rate",IF(AND(E601="IEP mtg, prep, rept",F601&gt;0),(G601*H601),IF(AND(E601&gt;0,F601&gt;0,H601&gt;0,I601=""),"Enter Travel",IF(AND(F601&gt;0,I601="Y"),(G601*H601)+$M$10,IF(AND(F601&gt;0,I601="N"),(G601*H601),H601))))))))</f>
        <v/>
      </c>
      <c r="K601" s="132">
        <f>J601</f>
        <v/>
      </c>
      <c r="L601" s="148" t="n"/>
      <c r="M601" s="148" t="n"/>
      <c r="N601" s="148" t="n"/>
      <c r="O601" s="87" t="n"/>
      <c r="P601" s="81" t="n"/>
      <c r="Q601" s="81" t="n"/>
      <c r="R601" s="81" t="n"/>
      <c r="S601" s="81" t="n"/>
      <c r="T601" s="136">
        <f>IF(AND(E601&gt;0,U601=0),1,"")</f>
        <v/>
      </c>
      <c r="U601" s="136">
        <f>SUM(X601:AR601)</f>
        <v/>
      </c>
      <c r="V601" s="136">
        <f>IF(E601=$Q$16,0,SUM(X601:AI601))</f>
        <v/>
      </c>
      <c r="W601" s="136">
        <f>SUM(AK601:AR601)</f>
        <v/>
      </c>
      <c r="X601" s="136">
        <f>IF(E601=$X$6,1,"")</f>
        <v/>
      </c>
      <c r="Y601" s="136">
        <f>IF(E601=$Y$6,1,"")</f>
        <v/>
      </c>
      <c r="Z601" s="136">
        <f>IF(E601=$Z$6,1,"")</f>
        <v/>
      </c>
      <c r="AA601" s="136">
        <f>IF(E601=$AA$6,1,"")</f>
        <v/>
      </c>
      <c r="AB601" s="136">
        <f>IF(E601=$AB$6,1,"")</f>
        <v/>
      </c>
      <c r="AC601" s="136">
        <f>IF(E601=$AC$6,1,"")</f>
        <v/>
      </c>
      <c r="AD601" s="136">
        <f>IF(E601=$AD$6,1,"")</f>
        <v/>
      </c>
      <c r="AE601" s="136">
        <f>IF(E601=$AE$6,1,"")</f>
        <v/>
      </c>
      <c r="AF601" s="136">
        <f>IF(E601=$AF$6,1,"")</f>
        <v/>
      </c>
      <c r="AG601" s="136">
        <f>IF(E601=$AG$6,1,"")</f>
        <v/>
      </c>
      <c r="AH601" s="136">
        <f>IF(E601=$AH$6,1,"")</f>
        <v/>
      </c>
      <c r="AI601" s="136">
        <f>IF(E601=$AI$6,1,"")</f>
        <v/>
      </c>
      <c r="AJ601" s="136">
        <f>IF(E601=$AJ$6,1,"")</f>
        <v/>
      </c>
      <c r="AK601" s="81">
        <f>IF(E601=$AK$6,1,"")</f>
        <v/>
      </c>
      <c r="AL601" s="81">
        <f>IF(E601=$AL$6,1,"")</f>
        <v/>
      </c>
      <c r="AM601" s="81">
        <f>IF(E601=$AM$6,1,"")</f>
        <v/>
      </c>
      <c r="AN601" s="81">
        <f>IF(E601=$AN$6,1,"")</f>
        <v/>
      </c>
      <c r="AO601" s="81">
        <f>IF(E601=$AO$6,1,"")</f>
        <v/>
      </c>
      <c r="AP601" s="81">
        <f>IF(E601=$AP$6,1,"")</f>
        <v/>
      </c>
      <c r="AQ601" s="81">
        <f>IF(E601=$AQ$6,1,"")</f>
        <v/>
      </c>
      <c r="AR601" s="81">
        <f>IF(E601=$AR$6,1,"")</f>
        <v/>
      </c>
      <c r="AS601" s="81" t="n"/>
    </row>
    <row r="602" ht="15.75" customHeight="1" s="80">
      <c r="A602" s="157" t="n"/>
      <c r="B602" s="124" t="n"/>
      <c r="C602" s="125" t="n"/>
      <c r="D602" s="126" t="n"/>
      <c r="E602" s="127" t="n"/>
      <c r="F602" s="128" t="n"/>
      <c r="G602" s="129">
        <f>IF(F602="","",ROUND(F602/60,2))</f>
        <v/>
      </c>
      <c r="H602" s="130" t="n"/>
      <c r="I602" s="131" t="n"/>
      <c r="J602" s="131">
        <f>IF(COUNTIF(B602:E602,"*")=0,"",IF(T602=1,"Invalid Service",IF(AND(V602=1,F602=""),"Add Session Mins",IF(AND(E602&gt;0,H602="",T602=""),"Enter Contract Rate",IF(AND(E602="IEP mtg, prep, rept",F602&gt;0),(G602*H602),IF(AND(E602&gt;0,F602&gt;0,H602&gt;0,I602=""),"Enter Travel",IF(AND(F602&gt;0,I602="Y"),(G602*H602)+$M$10,IF(AND(F602&gt;0,I602="N"),(G602*H602),H602))))))))</f>
        <v/>
      </c>
      <c r="K602" s="132">
        <f>J602</f>
        <v/>
      </c>
      <c r="L602" s="148" t="n"/>
      <c r="M602" s="148" t="n"/>
      <c r="N602" s="148" t="n"/>
      <c r="O602" s="87" t="n"/>
      <c r="P602" s="81" t="n"/>
      <c r="Q602" s="81" t="n"/>
      <c r="R602" s="81" t="n"/>
      <c r="S602" s="81" t="n"/>
      <c r="T602" s="136">
        <f>IF(AND(E602&gt;0,U602=0),1,"")</f>
        <v/>
      </c>
      <c r="U602" s="136">
        <f>SUM(X602:AR602)</f>
        <v/>
      </c>
      <c r="V602" s="136">
        <f>IF(E602=$Q$16,0,SUM(X602:AI602))</f>
        <v/>
      </c>
      <c r="W602" s="136">
        <f>SUM(AK602:AR602)</f>
        <v/>
      </c>
      <c r="X602" s="136">
        <f>IF(E602=$X$6,1,"")</f>
        <v/>
      </c>
      <c r="Y602" s="136">
        <f>IF(E602=$Y$6,1,"")</f>
        <v/>
      </c>
      <c r="Z602" s="136">
        <f>IF(E602=$Z$6,1,"")</f>
        <v/>
      </c>
      <c r="AA602" s="136">
        <f>IF(E602=$AA$6,1,"")</f>
        <v/>
      </c>
      <c r="AB602" s="136">
        <f>IF(E602=$AB$6,1,"")</f>
        <v/>
      </c>
      <c r="AC602" s="136">
        <f>IF(E602=$AC$6,1,"")</f>
        <v/>
      </c>
      <c r="AD602" s="136">
        <f>IF(E602=$AD$6,1,"")</f>
        <v/>
      </c>
      <c r="AE602" s="136">
        <f>IF(E602=$AE$6,1,"")</f>
        <v/>
      </c>
      <c r="AF602" s="136">
        <f>IF(E602=$AF$6,1,"")</f>
        <v/>
      </c>
      <c r="AG602" s="136">
        <f>IF(E602=$AG$6,1,"")</f>
        <v/>
      </c>
      <c r="AH602" s="136">
        <f>IF(E602=$AH$6,1,"")</f>
        <v/>
      </c>
      <c r="AI602" s="136">
        <f>IF(E602=$AI$6,1,"")</f>
        <v/>
      </c>
      <c r="AJ602" s="136">
        <f>IF(E602=$AJ$6,1,"")</f>
        <v/>
      </c>
      <c r="AK602" s="81">
        <f>IF(E602=$AK$6,1,"")</f>
        <v/>
      </c>
      <c r="AL602" s="81">
        <f>IF(E602=$AL$6,1,"")</f>
        <v/>
      </c>
      <c r="AM602" s="81">
        <f>IF(E602=$AM$6,1,"")</f>
        <v/>
      </c>
      <c r="AN602" s="81">
        <f>IF(E602=$AN$6,1,"")</f>
        <v/>
      </c>
      <c r="AO602" s="81">
        <f>IF(E602=$AO$6,1,"")</f>
        <v/>
      </c>
      <c r="AP602" s="81">
        <f>IF(E602=$AP$6,1,"")</f>
        <v/>
      </c>
      <c r="AQ602" s="81">
        <f>IF(E602=$AQ$6,1,"")</f>
        <v/>
      </c>
      <c r="AR602" s="81">
        <f>IF(E602=$AR$6,1,"")</f>
        <v/>
      </c>
      <c r="AS602" s="81" t="n"/>
    </row>
    <row r="603" ht="15.75" customHeight="1" s="80">
      <c r="A603" s="157" t="n"/>
      <c r="B603" s="124" t="n"/>
      <c r="C603" s="125" t="n"/>
      <c r="D603" s="126" t="n"/>
      <c r="E603" s="127" t="n"/>
      <c r="F603" s="128" t="n"/>
      <c r="G603" s="129">
        <f>IF(F603="","",ROUND(F603/60,2))</f>
        <v/>
      </c>
      <c r="H603" s="130" t="n"/>
      <c r="I603" s="131" t="n"/>
      <c r="J603" s="131">
        <f>IF(COUNTIF(B603:E603,"*")=0,"",IF(T603=1,"Invalid Service",IF(AND(V603=1,F603=""),"Add Session Mins",IF(AND(E603&gt;0,H603="",T603=""),"Enter Contract Rate",IF(AND(E603="IEP mtg, prep, rept",F603&gt;0),(G603*H603),IF(AND(E603&gt;0,F603&gt;0,H603&gt;0,I603=""),"Enter Travel",IF(AND(F603&gt;0,I603="Y"),(G603*H603)+$M$10,IF(AND(F603&gt;0,I603="N"),(G603*H603),H603))))))))</f>
        <v/>
      </c>
      <c r="K603" s="132">
        <f>J603</f>
        <v/>
      </c>
      <c r="L603" s="148" t="n"/>
      <c r="M603" s="148" t="n"/>
      <c r="N603" s="148" t="n"/>
      <c r="O603" s="87" t="n"/>
      <c r="P603" s="81" t="n"/>
      <c r="Q603" s="81" t="n"/>
      <c r="R603" s="81" t="n"/>
      <c r="S603" s="81" t="n"/>
      <c r="T603" s="136">
        <f>IF(AND(E603&gt;0,U603=0),1,"")</f>
        <v/>
      </c>
      <c r="U603" s="136">
        <f>SUM(X603:AR603)</f>
        <v/>
      </c>
      <c r="V603" s="136">
        <f>IF(E603=$Q$16,0,SUM(X603:AI603))</f>
        <v/>
      </c>
      <c r="W603" s="136">
        <f>SUM(AK603:AR603)</f>
        <v/>
      </c>
      <c r="X603" s="136">
        <f>IF(E603=$X$6,1,"")</f>
        <v/>
      </c>
      <c r="Y603" s="136">
        <f>IF(E603=$Y$6,1,"")</f>
        <v/>
      </c>
      <c r="Z603" s="136">
        <f>IF(E603=$Z$6,1,"")</f>
        <v/>
      </c>
      <c r="AA603" s="136">
        <f>IF(E603=$AA$6,1,"")</f>
        <v/>
      </c>
      <c r="AB603" s="136">
        <f>IF(E603=$AB$6,1,"")</f>
        <v/>
      </c>
      <c r="AC603" s="136">
        <f>IF(E603=$AC$6,1,"")</f>
        <v/>
      </c>
      <c r="AD603" s="136">
        <f>IF(E603=$AD$6,1,"")</f>
        <v/>
      </c>
      <c r="AE603" s="136">
        <f>IF(E603=$AE$6,1,"")</f>
        <v/>
      </c>
      <c r="AF603" s="136">
        <f>IF(E603=$AF$6,1,"")</f>
        <v/>
      </c>
      <c r="AG603" s="136">
        <f>IF(E603=$AG$6,1,"")</f>
        <v/>
      </c>
      <c r="AH603" s="136">
        <f>IF(E603=$AH$6,1,"")</f>
        <v/>
      </c>
      <c r="AI603" s="136">
        <f>IF(E603=$AI$6,1,"")</f>
        <v/>
      </c>
      <c r="AJ603" s="136">
        <f>IF(E603=$AJ$6,1,"")</f>
        <v/>
      </c>
      <c r="AK603" s="81">
        <f>IF(E603=$AK$6,1,"")</f>
        <v/>
      </c>
      <c r="AL603" s="81">
        <f>IF(E603=$AL$6,1,"")</f>
        <v/>
      </c>
      <c r="AM603" s="81">
        <f>IF(E603=$AM$6,1,"")</f>
        <v/>
      </c>
      <c r="AN603" s="81">
        <f>IF(E603=$AN$6,1,"")</f>
        <v/>
      </c>
      <c r="AO603" s="81">
        <f>IF(E603=$AO$6,1,"")</f>
        <v/>
      </c>
      <c r="AP603" s="81">
        <f>IF(E603=$AP$6,1,"")</f>
        <v/>
      </c>
      <c r="AQ603" s="81">
        <f>IF(E603=$AQ$6,1,"")</f>
        <v/>
      </c>
      <c r="AR603" s="81">
        <f>IF(E603=$AR$6,1,"")</f>
        <v/>
      </c>
      <c r="AS603" s="81" t="n"/>
    </row>
    <row r="604" ht="15.75" customHeight="1" s="80">
      <c r="A604" s="157" t="n"/>
      <c r="B604" s="124" t="n"/>
      <c r="C604" s="125" t="n"/>
      <c r="D604" s="126" t="n"/>
      <c r="E604" s="127" t="n"/>
      <c r="F604" s="128" t="n"/>
      <c r="G604" s="129">
        <f>IF(F604="","",ROUND(F604/60,2))</f>
        <v/>
      </c>
      <c r="H604" s="130" t="n"/>
      <c r="I604" s="131" t="n"/>
      <c r="J604" s="131">
        <f>IF(COUNTIF(B604:E604,"*")=0,"",IF(T604=1,"Invalid Service",IF(AND(V604=1,F604=""),"Add Session Mins",IF(AND(E604&gt;0,H604="",T604=""),"Enter Contract Rate",IF(AND(E604="IEP mtg, prep, rept",F604&gt;0),(G604*H604),IF(AND(E604&gt;0,F604&gt;0,H604&gt;0,I604=""),"Enter Travel",IF(AND(F604&gt;0,I604="Y"),(G604*H604)+$M$10,IF(AND(F604&gt;0,I604="N"),(G604*H604),H604))))))))</f>
        <v/>
      </c>
      <c r="K604" s="132">
        <f>J604</f>
        <v/>
      </c>
      <c r="L604" s="148" t="n"/>
      <c r="M604" s="148" t="n"/>
      <c r="N604" s="148" t="n"/>
      <c r="O604" s="87" t="n"/>
      <c r="P604" s="81" t="n"/>
      <c r="Q604" s="81" t="n"/>
      <c r="R604" s="81" t="n"/>
      <c r="S604" s="81" t="n"/>
      <c r="T604" s="136">
        <f>IF(AND(E604&gt;0,U604=0),1,"")</f>
        <v/>
      </c>
      <c r="U604" s="136">
        <f>SUM(X604:AR604)</f>
        <v/>
      </c>
      <c r="V604" s="136">
        <f>IF(E604=$Q$16,0,SUM(X604:AI604))</f>
        <v/>
      </c>
      <c r="W604" s="136">
        <f>SUM(AK604:AR604)</f>
        <v/>
      </c>
      <c r="X604" s="136">
        <f>IF(E604=$X$6,1,"")</f>
        <v/>
      </c>
      <c r="Y604" s="136">
        <f>IF(E604=$Y$6,1,"")</f>
        <v/>
      </c>
      <c r="Z604" s="136">
        <f>IF(E604=$Z$6,1,"")</f>
        <v/>
      </c>
      <c r="AA604" s="136">
        <f>IF(E604=$AA$6,1,"")</f>
        <v/>
      </c>
      <c r="AB604" s="136">
        <f>IF(E604=$AB$6,1,"")</f>
        <v/>
      </c>
      <c r="AC604" s="136">
        <f>IF(E604=$AC$6,1,"")</f>
        <v/>
      </c>
      <c r="AD604" s="136">
        <f>IF(E604=$AD$6,1,"")</f>
        <v/>
      </c>
      <c r="AE604" s="136">
        <f>IF(E604=$AE$6,1,"")</f>
        <v/>
      </c>
      <c r="AF604" s="136">
        <f>IF(E604=$AF$6,1,"")</f>
        <v/>
      </c>
      <c r="AG604" s="136">
        <f>IF(E604=$AG$6,1,"")</f>
        <v/>
      </c>
      <c r="AH604" s="136">
        <f>IF(E604=$AH$6,1,"")</f>
        <v/>
      </c>
      <c r="AI604" s="136">
        <f>IF(E604=$AI$6,1,"")</f>
        <v/>
      </c>
      <c r="AJ604" s="136">
        <f>IF(E604=$AJ$6,1,"")</f>
        <v/>
      </c>
      <c r="AK604" s="81">
        <f>IF(E604=$AK$6,1,"")</f>
        <v/>
      </c>
      <c r="AL604" s="81">
        <f>IF(E604=$AL$6,1,"")</f>
        <v/>
      </c>
      <c r="AM604" s="81">
        <f>IF(E604=$AM$6,1,"")</f>
        <v/>
      </c>
      <c r="AN604" s="81">
        <f>IF(E604=$AN$6,1,"")</f>
        <v/>
      </c>
      <c r="AO604" s="81">
        <f>IF(E604=$AO$6,1,"")</f>
        <v/>
      </c>
      <c r="AP604" s="81">
        <f>IF(E604=$AP$6,1,"")</f>
        <v/>
      </c>
      <c r="AQ604" s="81">
        <f>IF(E604=$AQ$6,1,"")</f>
        <v/>
      </c>
      <c r="AR604" s="81">
        <f>IF(E604=$AR$6,1,"")</f>
        <v/>
      </c>
      <c r="AS604" s="81" t="n"/>
    </row>
    <row r="605" ht="15.75" customHeight="1" s="80">
      <c r="A605" s="157" t="n"/>
      <c r="B605" s="124" t="n"/>
      <c r="C605" s="125" t="n"/>
      <c r="D605" s="126" t="n"/>
      <c r="E605" s="127" t="n"/>
      <c r="F605" s="128" t="n"/>
      <c r="G605" s="129">
        <f>IF(F605="","",ROUND(F605/60,2))</f>
        <v/>
      </c>
      <c r="H605" s="130" t="n"/>
      <c r="I605" s="131" t="n"/>
      <c r="J605" s="131">
        <f>IF(COUNTIF(B605:E605,"*")=0,"",IF(T605=1,"Invalid Service",IF(AND(V605=1,F605=""),"Add Session Mins",IF(AND(E605&gt;0,H605="",T605=""),"Enter Contract Rate",IF(AND(E605="IEP mtg, prep, rept",F605&gt;0),(G605*H605),IF(AND(E605&gt;0,F605&gt;0,H605&gt;0,I605=""),"Enter Travel",IF(AND(F605&gt;0,I605="Y"),(G605*H605)+$M$10,IF(AND(F605&gt;0,I605="N"),(G605*H605),H605))))))))</f>
        <v/>
      </c>
      <c r="K605" s="132">
        <f>J605</f>
        <v/>
      </c>
      <c r="L605" s="148" t="n"/>
      <c r="M605" s="148" t="n"/>
      <c r="N605" s="148" t="n"/>
      <c r="O605" s="87" t="n"/>
      <c r="P605" s="81" t="n"/>
      <c r="Q605" s="81" t="n"/>
      <c r="R605" s="81" t="n"/>
      <c r="S605" s="81" t="n"/>
      <c r="T605" s="136">
        <f>IF(AND(E605&gt;0,U605=0),1,"")</f>
        <v/>
      </c>
      <c r="U605" s="136">
        <f>SUM(X605:AR605)</f>
        <v/>
      </c>
      <c r="V605" s="136">
        <f>IF(E605=$Q$16,0,SUM(X605:AI605))</f>
        <v/>
      </c>
      <c r="W605" s="136">
        <f>SUM(AK605:AR605)</f>
        <v/>
      </c>
      <c r="X605" s="136">
        <f>IF(E605=$X$6,1,"")</f>
        <v/>
      </c>
      <c r="Y605" s="136">
        <f>IF(E605=$Y$6,1,"")</f>
        <v/>
      </c>
      <c r="Z605" s="136">
        <f>IF(E605=$Z$6,1,"")</f>
        <v/>
      </c>
      <c r="AA605" s="136">
        <f>IF(E605=$AA$6,1,"")</f>
        <v/>
      </c>
      <c r="AB605" s="136">
        <f>IF(E605=$AB$6,1,"")</f>
        <v/>
      </c>
      <c r="AC605" s="136">
        <f>IF(E605=$AC$6,1,"")</f>
        <v/>
      </c>
      <c r="AD605" s="136">
        <f>IF(E605=$AD$6,1,"")</f>
        <v/>
      </c>
      <c r="AE605" s="136">
        <f>IF(E605=$AE$6,1,"")</f>
        <v/>
      </c>
      <c r="AF605" s="136">
        <f>IF(E605=$AF$6,1,"")</f>
        <v/>
      </c>
      <c r="AG605" s="136">
        <f>IF(E605=$AG$6,1,"")</f>
        <v/>
      </c>
      <c r="AH605" s="136">
        <f>IF(E605=$AH$6,1,"")</f>
        <v/>
      </c>
      <c r="AI605" s="136">
        <f>IF(E605=$AI$6,1,"")</f>
        <v/>
      </c>
      <c r="AJ605" s="136">
        <f>IF(E605=$AJ$6,1,"")</f>
        <v/>
      </c>
      <c r="AK605" s="81">
        <f>IF(E605=$AK$6,1,"")</f>
        <v/>
      </c>
      <c r="AL605" s="81">
        <f>IF(E605=$AL$6,1,"")</f>
        <v/>
      </c>
      <c r="AM605" s="81">
        <f>IF(E605=$AM$6,1,"")</f>
        <v/>
      </c>
      <c r="AN605" s="81">
        <f>IF(E605=$AN$6,1,"")</f>
        <v/>
      </c>
      <c r="AO605" s="81">
        <f>IF(E605=$AO$6,1,"")</f>
        <v/>
      </c>
      <c r="AP605" s="81">
        <f>IF(E605=$AP$6,1,"")</f>
        <v/>
      </c>
      <c r="AQ605" s="81">
        <f>IF(E605=$AQ$6,1,"")</f>
        <v/>
      </c>
      <c r="AR605" s="81">
        <f>IF(E605=$AR$6,1,"")</f>
        <v/>
      </c>
      <c r="AS605" s="81" t="n"/>
    </row>
    <row r="606" ht="15.75" customHeight="1" s="80">
      <c r="A606" s="157" t="n"/>
      <c r="B606" s="124" t="n"/>
      <c r="C606" s="125" t="n"/>
      <c r="D606" s="126" t="n"/>
      <c r="E606" s="127" t="n"/>
      <c r="F606" s="128" t="n"/>
      <c r="G606" s="129">
        <f>IF(F606="","",ROUND(F606/60,2))</f>
        <v/>
      </c>
      <c r="H606" s="130" t="n"/>
      <c r="I606" s="131" t="n"/>
      <c r="J606" s="131">
        <f>IF(COUNTIF(B606:E606,"*")=0,"",IF(T606=1,"Invalid Service",IF(AND(V606=1,F606=""),"Add Session Mins",IF(AND(E606&gt;0,H606="",T606=""),"Enter Contract Rate",IF(AND(E606="IEP mtg, prep, rept",F606&gt;0),(G606*H606),IF(AND(E606&gt;0,F606&gt;0,H606&gt;0,I606=""),"Enter Travel",IF(AND(F606&gt;0,I606="Y"),(G606*H606)+$M$10,IF(AND(F606&gt;0,I606="N"),(G606*H606),H606))))))))</f>
        <v/>
      </c>
      <c r="K606" s="132">
        <f>J606</f>
        <v/>
      </c>
      <c r="L606" s="148" t="n"/>
      <c r="M606" s="148" t="n"/>
      <c r="N606" s="148" t="n"/>
      <c r="O606" s="87" t="n"/>
      <c r="P606" s="81" t="n"/>
      <c r="Q606" s="81" t="n"/>
      <c r="R606" s="81" t="n"/>
      <c r="S606" s="81" t="n"/>
      <c r="T606" s="136">
        <f>IF(AND(E606&gt;0,U606=0),1,"")</f>
        <v/>
      </c>
      <c r="U606" s="136">
        <f>SUM(X606:AR606)</f>
        <v/>
      </c>
      <c r="V606" s="136">
        <f>IF(E606=$Q$16,0,SUM(X606:AI606))</f>
        <v/>
      </c>
      <c r="W606" s="136">
        <f>SUM(AK606:AR606)</f>
        <v/>
      </c>
      <c r="X606" s="136">
        <f>IF(E606=$X$6,1,"")</f>
        <v/>
      </c>
      <c r="Y606" s="136">
        <f>IF(E606=$Y$6,1,"")</f>
        <v/>
      </c>
      <c r="Z606" s="136">
        <f>IF(E606=$Z$6,1,"")</f>
        <v/>
      </c>
      <c r="AA606" s="136">
        <f>IF(E606=$AA$6,1,"")</f>
        <v/>
      </c>
      <c r="AB606" s="136">
        <f>IF(E606=$AB$6,1,"")</f>
        <v/>
      </c>
      <c r="AC606" s="136">
        <f>IF(E606=$AC$6,1,"")</f>
        <v/>
      </c>
      <c r="AD606" s="136">
        <f>IF(E606=$AD$6,1,"")</f>
        <v/>
      </c>
      <c r="AE606" s="136">
        <f>IF(E606=$AE$6,1,"")</f>
        <v/>
      </c>
      <c r="AF606" s="136">
        <f>IF(E606=$AF$6,1,"")</f>
        <v/>
      </c>
      <c r="AG606" s="136">
        <f>IF(E606=$AG$6,1,"")</f>
        <v/>
      </c>
      <c r="AH606" s="136">
        <f>IF(E606=$AH$6,1,"")</f>
        <v/>
      </c>
      <c r="AI606" s="136">
        <f>IF(E606=$AI$6,1,"")</f>
        <v/>
      </c>
      <c r="AJ606" s="136">
        <f>IF(E606=$AJ$6,1,"")</f>
        <v/>
      </c>
      <c r="AK606" s="81">
        <f>IF(E606=$AK$6,1,"")</f>
        <v/>
      </c>
      <c r="AL606" s="81">
        <f>IF(E606=$AL$6,1,"")</f>
        <v/>
      </c>
      <c r="AM606" s="81">
        <f>IF(E606=$AM$6,1,"")</f>
        <v/>
      </c>
      <c r="AN606" s="81">
        <f>IF(E606=$AN$6,1,"")</f>
        <v/>
      </c>
      <c r="AO606" s="81">
        <f>IF(E606=$AO$6,1,"")</f>
        <v/>
      </c>
      <c r="AP606" s="81">
        <f>IF(E606=$AP$6,1,"")</f>
        <v/>
      </c>
      <c r="AQ606" s="81">
        <f>IF(E606=$AQ$6,1,"")</f>
        <v/>
      </c>
      <c r="AR606" s="81">
        <f>IF(E606=$AR$6,1,"")</f>
        <v/>
      </c>
      <c r="AS606" s="81" t="n"/>
    </row>
    <row r="607" ht="15.75" customHeight="1" s="80">
      <c r="A607" s="157" t="n"/>
      <c r="B607" s="124" t="n"/>
      <c r="C607" s="125" t="n"/>
      <c r="D607" s="126" t="n"/>
      <c r="E607" s="127" t="n"/>
      <c r="F607" s="128" t="n"/>
      <c r="G607" s="129">
        <f>IF(F607="","",ROUND(F607/60,2))</f>
        <v/>
      </c>
      <c r="H607" s="130" t="n"/>
      <c r="I607" s="131" t="n"/>
      <c r="J607" s="131">
        <f>IF(COUNTIF(B607:E607,"*")=0,"",IF(T607=1,"Invalid Service",IF(AND(V607=1,F607=""),"Add Session Mins",IF(AND(E607&gt;0,H607="",T607=""),"Enter Contract Rate",IF(AND(E607="IEP mtg, prep, rept",F607&gt;0),(G607*H607),IF(AND(E607&gt;0,F607&gt;0,H607&gt;0,I607=""),"Enter Travel",IF(AND(F607&gt;0,I607="Y"),(G607*H607)+$M$10,IF(AND(F607&gt;0,I607="N"),(G607*H607),H607))))))))</f>
        <v/>
      </c>
      <c r="K607" s="132">
        <f>J607</f>
        <v/>
      </c>
      <c r="L607" s="148" t="n"/>
      <c r="M607" s="148" t="n"/>
      <c r="N607" s="148" t="n"/>
      <c r="O607" s="87" t="n"/>
      <c r="P607" s="81" t="n"/>
      <c r="Q607" s="81" t="n"/>
      <c r="R607" s="81" t="n"/>
      <c r="S607" s="81" t="n"/>
      <c r="T607" s="136">
        <f>IF(AND(E607&gt;0,U607=0),1,"")</f>
        <v/>
      </c>
      <c r="U607" s="136">
        <f>SUM(X607:AR607)</f>
        <v/>
      </c>
      <c r="V607" s="136">
        <f>IF(E607=$Q$16,0,SUM(X607:AI607))</f>
        <v/>
      </c>
      <c r="W607" s="136">
        <f>SUM(AK607:AR607)</f>
        <v/>
      </c>
      <c r="X607" s="136">
        <f>IF(E607=$X$6,1,"")</f>
        <v/>
      </c>
      <c r="Y607" s="136">
        <f>IF(E607=$Y$6,1,"")</f>
        <v/>
      </c>
      <c r="Z607" s="136">
        <f>IF(E607=$Z$6,1,"")</f>
        <v/>
      </c>
      <c r="AA607" s="136">
        <f>IF(E607=$AA$6,1,"")</f>
        <v/>
      </c>
      <c r="AB607" s="136">
        <f>IF(E607=$AB$6,1,"")</f>
        <v/>
      </c>
      <c r="AC607" s="136">
        <f>IF(E607=$AC$6,1,"")</f>
        <v/>
      </c>
      <c r="AD607" s="136">
        <f>IF(E607=$AD$6,1,"")</f>
        <v/>
      </c>
      <c r="AE607" s="136">
        <f>IF(E607=$AE$6,1,"")</f>
        <v/>
      </c>
      <c r="AF607" s="136">
        <f>IF(E607=$AF$6,1,"")</f>
        <v/>
      </c>
      <c r="AG607" s="136">
        <f>IF(E607=$AG$6,1,"")</f>
        <v/>
      </c>
      <c r="AH607" s="136">
        <f>IF(E607=$AH$6,1,"")</f>
        <v/>
      </c>
      <c r="AI607" s="136">
        <f>IF(E607=$AI$6,1,"")</f>
        <v/>
      </c>
      <c r="AJ607" s="136">
        <f>IF(E607=$AJ$6,1,"")</f>
        <v/>
      </c>
      <c r="AK607" s="81">
        <f>IF(E607=$AK$6,1,"")</f>
        <v/>
      </c>
      <c r="AL607" s="81">
        <f>IF(E607=$AL$6,1,"")</f>
        <v/>
      </c>
      <c r="AM607" s="81">
        <f>IF(E607=$AM$6,1,"")</f>
        <v/>
      </c>
      <c r="AN607" s="81">
        <f>IF(E607=$AN$6,1,"")</f>
        <v/>
      </c>
      <c r="AO607" s="81">
        <f>IF(E607=$AO$6,1,"")</f>
        <v/>
      </c>
      <c r="AP607" s="81">
        <f>IF(E607=$AP$6,1,"")</f>
        <v/>
      </c>
      <c r="AQ607" s="81">
        <f>IF(E607=$AQ$6,1,"")</f>
        <v/>
      </c>
      <c r="AR607" s="81">
        <f>IF(E607=$AR$6,1,"")</f>
        <v/>
      </c>
      <c r="AS607" s="81" t="n"/>
    </row>
    <row r="608" ht="15.75" customHeight="1" s="80">
      <c r="A608" s="157" t="n"/>
      <c r="B608" s="124" t="n"/>
      <c r="C608" s="125" t="n"/>
      <c r="D608" s="126" t="n"/>
      <c r="E608" s="127" t="n"/>
      <c r="F608" s="128" t="n"/>
      <c r="G608" s="129">
        <f>IF(F608="","",ROUND(F608/60,2))</f>
        <v/>
      </c>
      <c r="H608" s="130" t="n"/>
      <c r="I608" s="131" t="n"/>
      <c r="J608" s="131">
        <f>IF(COUNTIF(B608:E608,"*")=0,"",IF(T608=1,"Invalid Service",IF(AND(V608=1,F608=""),"Add Session Mins",IF(AND(E608&gt;0,H608="",T608=""),"Enter Contract Rate",IF(AND(E608="IEP mtg, prep, rept",F608&gt;0),(G608*H608),IF(AND(E608&gt;0,F608&gt;0,H608&gt;0,I608=""),"Enter Travel",IF(AND(F608&gt;0,I608="Y"),(G608*H608)+$M$10,IF(AND(F608&gt;0,I608="N"),(G608*H608),H608))))))))</f>
        <v/>
      </c>
      <c r="K608" s="132">
        <f>J608</f>
        <v/>
      </c>
      <c r="L608" s="148" t="n"/>
      <c r="M608" s="148" t="n"/>
      <c r="N608" s="148" t="n"/>
      <c r="O608" s="87" t="n"/>
      <c r="P608" s="81" t="n"/>
      <c r="Q608" s="81" t="n"/>
      <c r="R608" s="81" t="n"/>
      <c r="S608" s="81" t="n"/>
      <c r="T608" s="136">
        <f>IF(AND(E608&gt;0,U608=0),1,"")</f>
        <v/>
      </c>
      <c r="U608" s="136">
        <f>SUM(X608:AR608)</f>
        <v/>
      </c>
      <c r="V608" s="136">
        <f>IF(E608=$Q$16,0,SUM(X608:AI608))</f>
        <v/>
      </c>
      <c r="W608" s="136">
        <f>SUM(AK608:AR608)</f>
        <v/>
      </c>
      <c r="X608" s="136">
        <f>IF(E608=$X$6,1,"")</f>
        <v/>
      </c>
      <c r="Y608" s="136">
        <f>IF(E608=$Y$6,1,"")</f>
        <v/>
      </c>
      <c r="Z608" s="136">
        <f>IF(E608=$Z$6,1,"")</f>
        <v/>
      </c>
      <c r="AA608" s="136">
        <f>IF(E608=$AA$6,1,"")</f>
        <v/>
      </c>
      <c r="AB608" s="136">
        <f>IF(E608=$AB$6,1,"")</f>
        <v/>
      </c>
      <c r="AC608" s="136">
        <f>IF(E608=$AC$6,1,"")</f>
        <v/>
      </c>
      <c r="AD608" s="136">
        <f>IF(E608=$AD$6,1,"")</f>
        <v/>
      </c>
      <c r="AE608" s="136">
        <f>IF(E608=$AE$6,1,"")</f>
        <v/>
      </c>
      <c r="AF608" s="136">
        <f>IF(E608=$AF$6,1,"")</f>
        <v/>
      </c>
      <c r="AG608" s="136">
        <f>IF(E608=$AG$6,1,"")</f>
        <v/>
      </c>
      <c r="AH608" s="136">
        <f>IF(E608=$AH$6,1,"")</f>
        <v/>
      </c>
      <c r="AI608" s="136">
        <f>IF(E608=$AI$6,1,"")</f>
        <v/>
      </c>
      <c r="AJ608" s="136">
        <f>IF(E608=$AJ$6,1,"")</f>
        <v/>
      </c>
      <c r="AK608" s="81">
        <f>IF(E608=$AK$6,1,"")</f>
        <v/>
      </c>
      <c r="AL608" s="81">
        <f>IF(E608=$AL$6,1,"")</f>
        <v/>
      </c>
      <c r="AM608" s="81">
        <f>IF(E608=$AM$6,1,"")</f>
        <v/>
      </c>
      <c r="AN608" s="81">
        <f>IF(E608=$AN$6,1,"")</f>
        <v/>
      </c>
      <c r="AO608" s="81">
        <f>IF(E608=$AO$6,1,"")</f>
        <v/>
      </c>
      <c r="AP608" s="81">
        <f>IF(E608=$AP$6,1,"")</f>
        <v/>
      </c>
      <c r="AQ608" s="81">
        <f>IF(E608=$AQ$6,1,"")</f>
        <v/>
      </c>
      <c r="AR608" s="81">
        <f>IF(E608=$AR$6,1,"")</f>
        <v/>
      </c>
      <c r="AS608" s="81" t="n"/>
    </row>
    <row r="609" ht="15.75" customHeight="1" s="80">
      <c r="A609" s="157" t="n"/>
      <c r="B609" s="124" t="n"/>
      <c r="C609" s="125" t="n"/>
      <c r="D609" s="126" t="n"/>
      <c r="E609" s="127" t="n"/>
      <c r="F609" s="128" t="n"/>
      <c r="G609" s="129">
        <f>IF(F609="","",ROUND(F609/60,2))</f>
        <v/>
      </c>
      <c r="H609" s="130" t="n"/>
      <c r="I609" s="131" t="n"/>
      <c r="J609" s="131">
        <f>IF(COUNTIF(B609:E609,"*")=0,"",IF(T609=1,"Invalid Service",IF(AND(V609=1,F609=""),"Add Session Mins",IF(AND(E609&gt;0,H609="",T609=""),"Enter Contract Rate",IF(AND(E609="IEP mtg, prep, rept",F609&gt;0),(G609*H609),IF(AND(E609&gt;0,F609&gt;0,H609&gt;0,I609=""),"Enter Travel",IF(AND(F609&gt;0,I609="Y"),(G609*H609)+$M$10,IF(AND(F609&gt;0,I609="N"),(G609*H609),H609))))))))</f>
        <v/>
      </c>
      <c r="K609" s="132">
        <f>J609</f>
        <v/>
      </c>
      <c r="L609" s="148" t="n"/>
      <c r="M609" s="148" t="n"/>
      <c r="N609" s="148" t="n"/>
      <c r="O609" s="87" t="n"/>
      <c r="P609" s="81" t="n"/>
      <c r="Q609" s="81" t="n"/>
      <c r="R609" s="81" t="n"/>
      <c r="S609" s="81" t="n"/>
      <c r="T609" s="136">
        <f>IF(AND(E609&gt;0,U609=0),1,"")</f>
        <v/>
      </c>
      <c r="U609" s="136">
        <f>SUM(X609:AR609)</f>
        <v/>
      </c>
      <c r="V609" s="136">
        <f>IF(E609=$Q$16,0,SUM(X609:AI609))</f>
        <v/>
      </c>
      <c r="W609" s="136">
        <f>SUM(AK609:AR609)</f>
        <v/>
      </c>
      <c r="X609" s="136">
        <f>IF(E609=$X$6,1,"")</f>
        <v/>
      </c>
      <c r="Y609" s="136">
        <f>IF(E609=$Y$6,1,"")</f>
        <v/>
      </c>
      <c r="Z609" s="136">
        <f>IF(E609=$Z$6,1,"")</f>
        <v/>
      </c>
      <c r="AA609" s="136">
        <f>IF(E609=$AA$6,1,"")</f>
        <v/>
      </c>
      <c r="AB609" s="136">
        <f>IF(E609=$AB$6,1,"")</f>
        <v/>
      </c>
      <c r="AC609" s="136">
        <f>IF(E609=$AC$6,1,"")</f>
        <v/>
      </c>
      <c r="AD609" s="136">
        <f>IF(E609=$AD$6,1,"")</f>
        <v/>
      </c>
      <c r="AE609" s="136">
        <f>IF(E609=$AE$6,1,"")</f>
        <v/>
      </c>
      <c r="AF609" s="136">
        <f>IF(E609=$AF$6,1,"")</f>
        <v/>
      </c>
      <c r="AG609" s="136">
        <f>IF(E609=$AG$6,1,"")</f>
        <v/>
      </c>
      <c r="AH609" s="136">
        <f>IF(E609=$AH$6,1,"")</f>
        <v/>
      </c>
      <c r="AI609" s="136">
        <f>IF(E609=$AI$6,1,"")</f>
        <v/>
      </c>
      <c r="AJ609" s="136">
        <f>IF(E609=$AJ$6,1,"")</f>
        <v/>
      </c>
      <c r="AK609" s="81">
        <f>IF(E609=$AK$6,1,"")</f>
        <v/>
      </c>
      <c r="AL609" s="81">
        <f>IF(E609=$AL$6,1,"")</f>
        <v/>
      </c>
      <c r="AM609" s="81">
        <f>IF(E609=$AM$6,1,"")</f>
        <v/>
      </c>
      <c r="AN609" s="81">
        <f>IF(E609=$AN$6,1,"")</f>
        <v/>
      </c>
      <c r="AO609" s="81">
        <f>IF(E609=$AO$6,1,"")</f>
        <v/>
      </c>
      <c r="AP609" s="81">
        <f>IF(E609=$AP$6,1,"")</f>
        <v/>
      </c>
      <c r="AQ609" s="81">
        <f>IF(E609=$AQ$6,1,"")</f>
        <v/>
      </c>
      <c r="AR609" s="81">
        <f>IF(E609=$AR$6,1,"")</f>
        <v/>
      </c>
      <c r="AS609" s="81" t="n"/>
    </row>
    <row r="610" ht="15.75" customHeight="1" s="80">
      <c r="A610" s="157" t="n"/>
      <c r="B610" s="124" t="n"/>
      <c r="C610" s="125" t="n"/>
      <c r="D610" s="126" t="n"/>
      <c r="E610" s="127" t="n"/>
      <c r="F610" s="128" t="n"/>
      <c r="G610" s="129">
        <f>IF(F610="","",ROUND(F610/60,2))</f>
        <v/>
      </c>
      <c r="H610" s="130" t="n"/>
      <c r="I610" s="131" t="n"/>
      <c r="J610" s="131">
        <f>IF(COUNTIF(B610:E610,"*")=0,"",IF(T610=1,"Invalid Service",IF(AND(V610=1,F610=""),"Add Session Mins",IF(AND(E610&gt;0,H610="",T610=""),"Enter Contract Rate",IF(AND(E610="IEP mtg, prep, rept",F610&gt;0),(G610*H610),IF(AND(E610&gt;0,F610&gt;0,H610&gt;0,I610=""),"Enter Travel",IF(AND(F610&gt;0,I610="Y"),(G610*H610)+$M$10,IF(AND(F610&gt;0,I610="N"),(G610*H610),H610))))))))</f>
        <v/>
      </c>
      <c r="K610" s="132">
        <f>J610</f>
        <v/>
      </c>
      <c r="L610" s="148" t="n"/>
      <c r="M610" s="148" t="n"/>
      <c r="N610" s="148" t="n"/>
      <c r="O610" s="87" t="n"/>
      <c r="P610" s="81" t="n"/>
      <c r="Q610" s="81" t="n"/>
      <c r="R610" s="81" t="n"/>
      <c r="S610" s="81" t="n"/>
      <c r="T610" s="136">
        <f>IF(AND(E610&gt;0,U610=0),1,"")</f>
        <v/>
      </c>
      <c r="U610" s="136">
        <f>SUM(X610:AR610)</f>
        <v/>
      </c>
      <c r="V610" s="136">
        <f>IF(E610=$Q$16,0,SUM(X610:AI610))</f>
        <v/>
      </c>
      <c r="W610" s="136">
        <f>SUM(AK610:AR610)</f>
        <v/>
      </c>
      <c r="X610" s="136">
        <f>IF(E610=$X$6,1,"")</f>
        <v/>
      </c>
      <c r="Y610" s="136">
        <f>IF(E610=$Y$6,1,"")</f>
        <v/>
      </c>
      <c r="Z610" s="136">
        <f>IF(E610=$Z$6,1,"")</f>
        <v/>
      </c>
      <c r="AA610" s="136">
        <f>IF(E610=$AA$6,1,"")</f>
        <v/>
      </c>
      <c r="AB610" s="136">
        <f>IF(E610=$AB$6,1,"")</f>
        <v/>
      </c>
      <c r="AC610" s="136">
        <f>IF(E610=$AC$6,1,"")</f>
        <v/>
      </c>
      <c r="AD610" s="136">
        <f>IF(E610=$AD$6,1,"")</f>
        <v/>
      </c>
      <c r="AE610" s="136">
        <f>IF(E610=$AE$6,1,"")</f>
        <v/>
      </c>
      <c r="AF610" s="136">
        <f>IF(E610=$AF$6,1,"")</f>
        <v/>
      </c>
      <c r="AG610" s="136">
        <f>IF(E610=$AG$6,1,"")</f>
        <v/>
      </c>
      <c r="AH610" s="136">
        <f>IF(E610=$AH$6,1,"")</f>
        <v/>
      </c>
      <c r="AI610" s="136">
        <f>IF(E610=$AI$6,1,"")</f>
        <v/>
      </c>
      <c r="AJ610" s="136">
        <f>IF(E610=$AJ$6,1,"")</f>
        <v/>
      </c>
      <c r="AK610" s="81">
        <f>IF(E610=$AK$6,1,"")</f>
        <v/>
      </c>
      <c r="AL610" s="81">
        <f>IF(E610=$AL$6,1,"")</f>
        <v/>
      </c>
      <c r="AM610" s="81">
        <f>IF(E610=$AM$6,1,"")</f>
        <v/>
      </c>
      <c r="AN610" s="81">
        <f>IF(E610=$AN$6,1,"")</f>
        <v/>
      </c>
      <c r="AO610" s="81">
        <f>IF(E610=$AO$6,1,"")</f>
        <v/>
      </c>
      <c r="AP610" s="81">
        <f>IF(E610=$AP$6,1,"")</f>
        <v/>
      </c>
      <c r="AQ610" s="81">
        <f>IF(E610=$AQ$6,1,"")</f>
        <v/>
      </c>
      <c r="AR610" s="81">
        <f>IF(E610=$AR$6,1,"")</f>
        <v/>
      </c>
      <c r="AS610" s="81" t="n"/>
    </row>
    <row r="611" ht="15.75" customHeight="1" s="80">
      <c r="A611" s="157" t="n"/>
      <c r="B611" s="124" t="n"/>
      <c r="C611" s="125" t="n"/>
      <c r="D611" s="126" t="n"/>
      <c r="E611" s="127" t="n"/>
      <c r="F611" s="128" t="n"/>
      <c r="G611" s="129">
        <f>IF(F611="","",ROUND(F611/60,2))</f>
        <v/>
      </c>
      <c r="H611" s="130" t="n"/>
      <c r="I611" s="131" t="n"/>
      <c r="J611" s="131">
        <f>IF(COUNTIF(B611:E611,"*")=0,"",IF(T611=1,"Invalid Service",IF(AND(V611=1,F611=""),"Add Session Mins",IF(AND(E611&gt;0,H611="",T611=""),"Enter Contract Rate",IF(AND(E611="IEP mtg, prep, rept",F611&gt;0),(G611*H611),IF(AND(E611&gt;0,F611&gt;0,H611&gt;0,I611=""),"Enter Travel",IF(AND(F611&gt;0,I611="Y"),(G611*H611)+$M$10,IF(AND(F611&gt;0,I611="N"),(G611*H611),H611))))))))</f>
        <v/>
      </c>
      <c r="K611" s="132">
        <f>J611</f>
        <v/>
      </c>
      <c r="L611" s="148" t="n"/>
      <c r="M611" s="148" t="n"/>
      <c r="N611" s="148" t="n"/>
      <c r="O611" s="87" t="n"/>
      <c r="P611" s="81" t="n"/>
      <c r="Q611" s="81" t="n"/>
      <c r="R611" s="81" t="n"/>
      <c r="S611" s="81" t="n"/>
      <c r="T611" s="136">
        <f>IF(AND(E611&gt;0,U611=0),1,"")</f>
        <v/>
      </c>
      <c r="U611" s="136">
        <f>SUM(X611:AR611)</f>
        <v/>
      </c>
      <c r="V611" s="136">
        <f>IF(E611=$Q$16,0,SUM(X611:AI611))</f>
        <v/>
      </c>
      <c r="W611" s="136">
        <f>SUM(AK611:AR611)</f>
        <v/>
      </c>
      <c r="X611" s="136">
        <f>IF(E611=$X$6,1,"")</f>
        <v/>
      </c>
      <c r="Y611" s="136">
        <f>IF(E611=$Y$6,1,"")</f>
        <v/>
      </c>
      <c r="Z611" s="136">
        <f>IF(E611=$Z$6,1,"")</f>
        <v/>
      </c>
      <c r="AA611" s="136">
        <f>IF(E611=$AA$6,1,"")</f>
        <v/>
      </c>
      <c r="AB611" s="136">
        <f>IF(E611=$AB$6,1,"")</f>
        <v/>
      </c>
      <c r="AC611" s="136">
        <f>IF(E611=$AC$6,1,"")</f>
        <v/>
      </c>
      <c r="AD611" s="136">
        <f>IF(E611=$AD$6,1,"")</f>
        <v/>
      </c>
      <c r="AE611" s="136">
        <f>IF(E611=$AE$6,1,"")</f>
        <v/>
      </c>
      <c r="AF611" s="136">
        <f>IF(E611=$AF$6,1,"")</f>
        <v/>
      </c>
      <c r="AG611" s="136">
        <f>IF(E611=$AG$6,1,"")</f>
        <v/>
      </c>
      <c r="AH611" s="136">
        <f>IF(E611=$AH$6,1,"")</f>
        <v/>
      </c>
      <c r="AI611" s="136">
        <f>IF(E611=$AI$6,1,"")</f>
        <v/>
      </c>
      <c r="AJ611" s="136">
        <f>IF(E611=$AJ$6,1,"")</f>
        <v/>
      </c>
      <c r="AK611" s="81">
        <f>IF(E611=$AK$6,1,"")</f>
        <v/>
      </c>
      <c r="AL611" s="81">
        <f>IF(E611=$AL$6,1,"")</f>
        <v/>
      </c>
      <c r="AM611" s="81">
        <f>IF(E611=$AM$6,1,"")</f>
        <v/>
      </c>
      <c r="AN611" s="81">
        <f>IF(E611=$AN$6,1,"")</f>
        <v/>
      </c>
      <c r="AO611" s="81">
        <f>IF(E611=$AO$6,1,"")</f>
        <v/>
      </c>
      <c r="AP611" s="81">
        <f>IF(E611=$AP$6,1,"")</f>
        <v/>
      </c>
      <c r="AQ611" s="81">
        <f>IF(E611=$AQ$6,1,"")</f>
        <v/>
      </c>
      <c r="AR611" s="81">
        <f>IF(E611=$AR$6,1,"")</f>
        <v/>
      </c>
      <c r="AS611" s="81" t="n"/>
    </row>
    <row r="612" ht="15.75" customHeight="1" s="80">
      <c r="A612" s="157" t="n"/>
      <c r="B612" s="124" t="n"/>
      <c r="C612" s="125" t="n"/>
      <c r="D612" s="126" t="n"/>
      <c r="E612" s="127" t="n"/>
      <c r="F612" s="128" t="n"/>
      <c r="G612" s="129">
        <f>IF(F612="","",ROUND(F612/60,2))</f>
        <v/>
      </c>
      <c r="H612" s="130" t="n"/>
      <c r="I612" s="131" t="n"/>
      <c r="J612" s="131">
        <f>IF(COUNTIF(B612:E612,"*")=0,"",IF(T612=1,"Invalid Service",IF(AND(V612=1,F612=""),"Add Session Mins",IF(AND(E612&gt;0,H612="",T612=""),"Enter Contract Rate",IF(AND(E612="IEP mtg, prep, rept",F612&gt;0),(G612*H612),IF(AND(E612&gt;0,F612&gt;0,H612&gt;0,I612=""),"Enter Travel",IF(AND(F612&gt;0,I612="Y"),(G612*H612)+$M$10,IF(AND(F612&gt;0,I612="N"),(G612*H612),H612))))))))</f>
        <v/>
      </c>
      <c r="K612" s="132">
        <f>J612</f>
        <v/>
      </c>
      <c r="L612" s="148" t="n"/>
      <c r="M612" s="148" t="n"/>
      <c r="N612" s="148" t="n"/>
      <c r="O612" s="87" t="n"/>
      <c r="P612" s="81" t="n"/>
      <c r="Q612" s="81" t="n"/>
      <c r="R612" s="81" t="n"/>
      <c r="S612" s="81" t="n"/>
      <c r="T612" s="136">
        <f>IF(AND(E612&gt;0,U612=0),1,"")</f>
        <v/>
      </c>
      <c r="U612" s="136">
        <f>SUM(X612:AR612)</f>
        <v/>
      </c>
      <c r="V612" s="136">
        <f>IF(E612=$Q$16,0,SUM(X612:AI612))</f>
        <v/>
      </c>
      <c r="W612" s="136">
        <f>SUM(AK612:AR612)</f>
        <v/>
      </c>
      <c r="X612" s="136">
        <f>IF(E612=$X$6,1,"")</f>
        <v/>
      </c>
      <c r="Y612" s="136">
        <f>IF(E612=$Y$6,1,"")</f>
        <v/>
      </c>
      <c r="Z612" s="136">
        <f>IF(E612=$Z$6,1,"")</f>
        <v/>
      </c>
      <c r="AA612" s="136">
        <f>IF(E612=$AA$6,1,"")</f>
        <v/>
      </c>
      <c r="AB612" s="136">
        <f>IF(E612=$AB$6,1,"")</f>
        <v/>
      </c>
      <c r="AC612" s="136">
        <f>IF(E612=$AC$6,1,"")</f>
        <v/>
      </c>
      <c r="AD612" s="136">
        <f>IF(E612=$AD$6,1,"")</f>
        <v/>
      </c>
      <c r="AE612" s="136">
        <f>IF(E612=$AE$6,1,"")</f>
        <v/>
      </c>
      <c r="AF612" s="136">
        <f>IF(E612=$AF$6,1,"")</f>
        <v/>
      </c>
      <c r="AG612" s="136">
        <f>IF(E612=$AG$6,1,"")</f>
        <v/>
      </c>
      <c r="AH612" s="136">
        <f>IF(E612=$AH$6,1,"")</f>
        <v/>
      </c>
      <c r="AI612" s="136">
        <f>IF(E612=$AI$6,1,"")</f>
        <v/>
      </c>
      <c r="AJ612" s="136">
        <f>IF(E612=$AJ$6,1,"")</f>
        <v/>
      </c>
      <c r="AK612" s="81">
        <f>IF(E612=$AK$6,1,"")</f>
        <v/>
      </c>
      <c r="AL612" s="81">
        <f>IF(E612=$AL$6,1,"")</f>
        <v/>
      </c>
      <c r="AM612" s="81">
        <f>IF(E612=$AM$6,1,"")</f>
        <v/>
      </c>
      <c r="AN612" s="81">
        <f>IF(E612=$AN$6,1,"")</f>
        <v/>
      </c>
      <c r="AO612" s="81">
        <f>IF(E612=$AO$6,1,"")</f>
        <v/>
      </c>
      <c r="AP612" s="81">
        <f>IF(E612=$AP$6,1,"")</f>
        <v/>
      </c>
      <c r="AQ612" s="81">
        <f>IF(E612=$AQ$6,1,"")</f>
        <v/>
      </c>
      <c r="AR612" s="81">
        <f>IF(E612=$AR$6,1,"")</f>
        <v/>
      </c>
      <c r="AS612" s="81" t="n"/>
    </row>
    <row r="613" ht="15.75" customHeight="1" s="80">
      <c r="A613" s="157" t="n"/>
      <c r="B613" s="124" t="n"/>
      <c r="C613" s="125" t="n"/>
      <c r="D613" s="126" t="n"/>
      <c r="E613" s="127" t="n"/>
      <c r="F613" s="128" t="n"/>
      <c r="G613" s="129">
        <f>IF(F613="","",ROUND(F613/60,2))</f>
        <v/>
      </c>
      <c r="H613" s="130" t="n"/>
      <c r="I613" s="131" t="n"/>
      <c r="J613" s="131">
        <f>IF(COUNTIF(B613:E613,"*")=0,"",IF(T613=1,"Invalid Service",IF(AND(V613=1,F613=""),"Add Session Mins",IF(AND(E613&gt;0,H613="",T613=""),"Enter Contract Rate",IF(AND(E613="IEP mtg, prep, rept",F613&gt;0),(G613*H613),IF(AND(E613&gt;0,F613&gt;0,H613&gt;0,I613=""),"Enter Travel",IF(AND(F613&gt;0,I613="Y"),(G613*H613)+$M$10,IF(AND(F613&gt;0,I613="N"),(G613*H613),H613))))))))</f>
        <v/>
      </c>
      <c r="K613" s="132">
        <f>J613</f>
        <v/>
      </c>
      <c r="L613" s="148" t="n"/>
      <c r="M613" s="148" t="n"/>
      <c r="N613" s="148" t="n"/>
      <c r="O613" s="87" t="n"/>
      <c r="P613" s="81" t="n"/>
      <c r="Q613" s="81" t="n"/>
      <c r="R613" s="81" t="n"/>
      <c r="S613" s="81" t="n"/>
      <c r="T613" s="136">
        <f>IF(AND(E613&gt;0,U613=0),1,"")</f>
        <v/>
      </c>
      <c r="U613" s="136">
        <f>SUM(X613:AR613)</f>
        <v/>
      </c>
      <c r="V613" s="136">
        <f>IF(E613=$Q$16,0,SUM(X613:AI613))</f>
        <v/>
      </c>
      <c r="W613" s="136">
        <f>SUM(AK613:AR613)</f>
        <v/>
      </c>
      <c r="X613" s="136">
        <f>IF(E613=$X$6,1,"")</f>
        <v/>
      </c>
      <c r="Y613" s="136">
        <f>IF(E613=$Y$6,1,"")</f>
        <v/>
      </c>
      <c r="Z613" s="136">
        <f>IF(E613=$Z$6,1,"")</f>
        <v/>
      </c>
      <c r="AA613" s="136">
        <f>IF(E613=$AA$6,1,"")</f>
        <v/>
      </c>
      <c r="AB613" s="136">
        <f>IF(E613=$AB$6,1,"")</f>
        <v/>
      </c>
      <c r="AC613" s="136">
        <f>IF(E613=$AC$6,1,"")</f>
        <v/>
      </c>
      <c r="AD613" s="136">
        <f>IF(E613=$AD$6,1,"")</f>
        <v/>
      </c>
      <c r="AE613" s="136">
        <f>IF(E613=$AE$6,1,"")</f>
        <v/>
      </c>
      <c r="AF613" s="136">
        <f>IF(E613=$AF$6,1,"")</f>
        <v/>
      </c>
      <c r="AG613" s="136">
        <f>IF(E613=$AG$6,1,"")</f>
        <v/>
      </c>
      <c r="AH613" s="136">
        <f>IF(E613=$AH$6,1,"")</f>
        <v/>
      </c>
      <c r="AI613" s="136">
        <f>IF(E613=$AI$6,1,"")</f>
        <v/>
      </c>
      <c r="AJ613" s="136">
        <f>IF(E613=$AJ$6,1,"")</f>
        <v/>
      </c>
      <c r="AK613" s="81">
        <f>IF(E613=$AK$6,1,"")</f>
        <v/>
      </c>
      <c r="AL613" s="81">
        <f>IF(E613=$AL$6,1,"")</f>
        <v/>
      </c>
      <c r="AM613" s="81">
        <f>IF(E613=$AM$6,1,"")</f>
        <v/>
      </c>
      <c r="AN613" s="81">
        <f>IF(E613=$AN$6,1,"")</f>
        <v/>
      </c>
      <c r="AO613" s="81">
        <f>IF(E613=$AO$6,1,"")</f>
        <v/>
      </c>
      <c r="AP613" s="81">
        <f>IF(E613=$AP$6,1,"")</f>
        <v/>
      </c>
      <c r="AQ613" s="81">
        <f>IF(E613=$AQ$6,1,"")</f>
        <v/>
      </c>
      <c r="AR613" s="81">
        <f>IF(E613=$AR$6,1,"")</f>
        <v/>
      </c>
      <c r="AS613" s="81" t="n"/>
    </row>
    <row r="614" ht="15.75" customHeight="1" s="80">
      <c r="A614" s="157" t="n"/>
      <c r="B614" s="124" t="n"/>
      <c r="C614" s="125" t="n"/>
      <c r="D614" s="126" t="n"/>
      <c r="E614" s="127" t="n"/>
      <c r="F614" s="128" t="n"/>
      <c r="G614" s="129">
        <f>IF(F614="","",ROUND(F614/60,2))</f>
        <v/>
      </c>
      <c r="H614" s="130" t="n"/>
      <c r="I614" s="131" t="n"/>
      <c r="J614" s="131">
        <f>IF(COUNTIF(B614:E614,"*")=0,"",IF(T614=1,"Invalid Service",IF(AND(V614=1,F614=""),"Add Session Mins",IF(AND(E614&gt;0,H614="",T614=""),"Enter Contract Rate",IF(AND(E614="IEP mtg, prep, rept",F614&gt;0),(G614*H614),IF(AND(E614&gt;0,F614&gt;0,H614&gt;0,I614=""),"Enter Travel",IF(AND(F614&gt;0,I614="Y"),(G614*H614)+$M$10,IF(AND(F614&gt;0,I614="N"),(G614*H614),H614))))))))</f>
        <v/>
      </c>
      <c r="K614" s="132">
        <f>J614</f>
        <v/>
      </c>
      <c r="L614" s="148" t="n"/>
      <c r="M614" s="148" t="n"/>
      <c r="N614" s="148" t="n"/>
      <c r="O614" s="87" t="n"/>
      <c r="P614" s="81" t="n"/>
      <c r="Q614" s="81" t="n"/>
      <c r="R614" s="81" t="n"/>
      <c r="S614" s="81" t="n"/>
      <c r="T614" s="136">
        <f>IF(AND(E614&gt;0,U614=0),1,"")</f>
        <v/>
      </c>
      <c r="U614" s="136">
        <f>SUM(X614:AR614)</f>
        <v/>
      </c>
      <c r="V614" s="136">
        <f>IF(E614=$Q$16,0,SUM(X614:AI614))</f>
        <v/>
      </c>
      <c r="W614" s="136">
        <f>SUM(AK614:AR614)</f>
        <v/>
      </c>
      <c r="X614" s="136">
        <f>IF(E614=$X$6,1,"")</f>
        <v/>
      </c>
      <c r="Y614" s="136">
        <f>IF(E614=$Y$6,1,"")</f>
        <v/>
      </c>
      <c r="Z614" s="136">
        <f>IF(E614=$Z$6,1,"")</f>
        <v/>
      </c>
      <c r="AA614" s="136">
        <f>IF(E614=$AA$6,1,"")</f>
        <v/>
      </c>
      <c r="AB614" s="136">
        <f>IF(E614=$AB$6,1,"")</f>
        <v/>
      </c>
      <c r="AC614" s="136">
        <f>IF(E614=$AC$6,1,"")</f>
        <v/>
      </c>
      <c r="AD614" s="136">
        <f>IF(E614=$AD$6,1,"")</f>
        <v/>
      </c>
      <c r="AE614" s="136">
        <f>IF(E614=$AE$6,1,"")</f>
        <v/>
      </c>
      <c r="AF614" s="136">
        <f>IF(E614=$AF$6,1,"")</f>
        <v/>
      </c>
      <c r="AG614" s="136">
        <f>IF(E614=$AG$6,1,"")</f>
        <v/>
      </c>
      <c r="AH614" s="136">
        <f>IF(E614=$AH$6,1,"")</f>
        <v/>
      </c>
      <c r="AI614" s="136">
        <f>IF(E614=$AI$6,1,"")</f>
        <v/>
      </c>
      <c r="AJ614" s="136">
        <f>IF(E614=$AJ$6,1,"")</f>
        <v/>
      </c>
      <c r="AK614" s="81">
        <f>IF(E614=$AK$6,1,"")</f>
        <v/>
      </c>
      <c r="AL614" s="81">
        <f>IF(E614=$AL$6,1,"")</f>
        <v/>
      </c>
      <c r="AM614" s="81">
        <f>IF(E614=$AM$6,1,"")</f>
        <v/>
      </c>
      <c r="AN614" s="81">
        <f>IF(E614=$AN$6,1,"")</f>
        <v/>
      </c>
      <c r="AO614" s="81">
        <f>IF(E614=$AO$6,1,"")</f>
        <v/>
      </c>
      <c r="AP614" s="81">
        <f>IF(E614=$AP$6,1,"")</f>
        <v/>
      </c>
      <c r="AQ614" s="81">
        <f>IF(E614=$AQ$6,1,"")</f>
        <v/>
      </c>
      <c r="AR614" s="81">
        <f>IF(E614=$AR$6,1,"")</f>
        <v/>
      </c>
      <c r="AS614" s="81" t="n"/>
    </row>
    <row r="615" ht="15.75" customHeight="1" s="80">
      <c r="A615" s="157" t="n"/>
      <c r="B615" s="124" t="n"/>
      <c r="C615" s="125" t="n"/>
      <c r="D615" s="126" t="n"/>
      <c r="E615" s="127" t="n"/>
      <c r="F615" s="128" t="n"/>
      <c r="G615" s="129">
        <f>IF(F615="","",ROUND(F615/60,2))</f>
        <v/>
      </c>
      <c r="H615" s="130" t="n"/>
      <c r="I615" s="131" t="n"/>
      <c r="J615" s="131">
        <f>IF(COUNTIF(B615:E615,"*")=0,"",IF(T615=1,"Invalid Service",IF(AND(V615=1,F615=""),"Add Session Mins",IF(AND(E615&gt;0,H615="",T615=""),"Enter Contract Rate",IF(AND(E615="IEP mtg, prep, rept",F615&gt;0),(G615*H615),IF(AND(E615&gt;0,F615&gt;0,H615&gt;0,I615=""),"Enter Travel",IF(AND(F615&gt;0,I615="Y"),(G615*H615)+$M$10,IF(AND(F615&gt;0,I615="N"),(G615*H615),H615))))))))</f>
        <v/>
      </c>
      <c r="K615" s="132">
        <f>J615</f>
        <v/>
      </c>
      <c r="L615" s="148" t="n"/>
      <c r="M615" s="148" t="n"/>
      <c r="N615" s="148" t="n"/>
      <c r="O615" s="87" t="n"/>
      <c r="P615" s="81" t="n"/>
      <c r="Q615" s="81" t="n"/>
      <c r="R615" s="81" t="n"/>
      <c r="S615" s="81" t="n"/>
      <c r="T615" s="136">
        <f>IF(AND(E615&gt;0,U615=0),1,"")</f>
        <v/>
      </c>
      <c r="U615" s="136">
        <f>SUM(X615:AR615)</f>
        <v/>
      </c>
      <c r="V615" s="136">
        <f>IF(E615=$Q$16,0,SUM(X615:AI615))</f>
        <v/>
      </c>
      <c r="W615" s="136">
        <f>SUM(AK615:AR615)</f>
        <v/>
      </c>
      <c r="X615" s="136">
        <f>IF(E615=$X$6,1,"")</f>
        <v/>
      </c>
      <c r="Y615" s="136">
        <f>IF(E615=$Y$6,1,"")</f>
        <v/>
      </c>
      <c r="Z615" s="136">
        <f>IF(E615=$Z$6,1,"")</f>
        <v/>
      </c>
      <c r="AA615" s="136">
        <f>IF(E615=$AA$6,1,"")</f>
        <v/>
      </c>
      <c r="AB615" s="136">
        <f>IF(E615=$AB$6,1,"")</f>
        <v/>
      </c>
      <c r="AC615" s="136">
        <f>IF(E615=$AC$6,1,"")</f>
        <v/>
      </c>
      <c r="AD615" s="136">
        <f>IF(E615=$AD$6,1,"")</f>
        <v/>
      </c>
      <c r="AE615" s="136">
        <f>IF(E615=$AE$6,1,"")</f>
        <v/>
      </c>
      <c r="AF615" s="136">
        <f>IF(E615=$AF$6,1,"")</f>
        <v/>
      </c>
      <c r="AG615" s="136">
        <f>IF(E615=$AG$6,1,"")</f>
        <v/>
      </c>
      <c r="AH615" s="136">
        <f>IF(E615=$AH$6,1,"")</f>
        <v/>
      </c>
      <c r="AI615" s="136">
        <f>IF(E615=$AI$6,1,"")</f>
        <v/>
      </c>
      <c r="AJ615" s="136">
        <f>IF(E615=$AJ$6,1,"")</f>
        <v/>
      </c>
      <c r="AK615" s="81">
        <f>IF(E615=$AK$6,1,"")</f>
        <v/>
      </c>
      <c r="AL615" s="81">
        <f>IF(E615=$AL$6,1,"")</f>
        <v/>
      </c>
      <c r="AM615" s="81">
        <f>IF(E615=$AM$6,1,"")</f>
        <v/>
      </c>
      <c r="AN615" s="81">
        <f>IF(E615=$AN$6,1,"")</f>
        <v/>
      </c>
      <c r="AO615" s="81">
        <f>IF(E615=$AO$6,1,"")</f>
        <v/>
      </c>
      <c r="AP615" s="81">
        <f>IF(E615=$AP$6,1,"")</f>
        <v/>
      </c>
      <c r="AQ615" s="81">
        <f>IF(E615=$AQ$6,1,"")</f>
        <v/>
      </c>
      <c r="AR615" s="81">
        <f>IF(E615=$AR$6,1,"")</f>
        <v/>
      </c>
      <c r="AS615" s="81" t="n"/>
    </row>
    <row r="616" ht="15.75" customHeight="1" s="80">
      <c r="A616" s="157" t="n"/>
      <c r="B616" s="124" t="n"/>
      <c r="C616" s="125" t="n"/>
      <c r="D616" s="126" t="n"/>
      <c r="E616" s="127" t="n"/>
      <c r="F616" s="128" t="n"/>
      <c r="G616" s="129">
        <f>IF(F616="","",ROUND(F616/60,2))</f>
        <v/>
      </c>
      <c r="H616" s="130" t="n"/>
      <c r="I616" s="131" t="n"/>
      <c r="J616" s="131">
        <f>IF(COUNTIF(B616:E616,"*")=0,"",IF(T616=1,"Invalid Service",IF(AND(V616=1,F616=""),"Add Session Mins",IF(AND(E616&gt;0,H616="",T616=""),"Enter Contract Rate",IF(AND(E616="IEP mtg, prep, rept",F616&gt;0),(G616*H616),IF(AND(E616&gt;0,F616&gt;0,H616&gt;0,I616=""),"Enter Travel",IF(AND(F616&gt;0,I616="Y"),(G616*H616)+$M$10,IF(AND(F616&gt;0,I616="N"),(G616*H616),H616))))))))</f>
        <v/>
      </c>
      <c r="K616" s="132">
        <f>J616</f>
        <v/>
      </c>
      <c r="L616" s="148" t="n"/>
      <c r="M616" s="148" t="n"/>
      <c r="N616" s="148" t="n"/>
      <c r="O616" s="87" t="n"/>
      <c r="P616" s="81" t="n"/>
      <c r="Q616" s="81" t="n"/>
      <c r="R616" s="81" t="n"/>
      <c r="S616" s="81" t="n"/>
      <c r="T616" s="136">
        <f>IF(AND(E616&gt;0,U616=0),1,"")</f>
        <v/>
      </c>
      <c r="U616" s="136">
        <f>SUM(X616:AR616)</f>
        <v/>
      </c>
      <c r="V616" s="136">
        <f>IF(E616=$Q$16,0,SUM(X616:AI616))</f>
        <v/>
      </c>
      <c r="W616" s="136">
        <f>SUM(AK616:AR616)</f>
        <v/>
      </c>
      <c r="X616" s="136">
        <f>IF(E616=$X$6,1,"")</f>
        <v/>
      </c>
      <c r="Y616" s="136">
        <f>IF(E616=$Y$6,1,"")</f>
        <v/>
      </c>
      <c r="Z616" s="136">
        <f>IF(E616=$Z$6,1,"")</f>
        <v/>
      </c>
      <c r="AA616" s="136">
        <f>IF(E616=$AA$6,1,"")</f>
        <v/>
      </c>
      <c r="AB616" s="136">
        <f>IF(E616=$AB$6,1,"")</f>
        <v/>
      </c>
      <c r="AC616" s="136">
        <f>IF(E616=$AC$6,1,"")</f>
        <v/>
      </c>
      <c r="AD616" s="136">
        <f>IF(E616=$AD$6,1,"")</f>
        <v/>
      </c>
      <c r="AE616" s="136">
        <f>IF(E616=$AE$6,1,"")</f>
        <v/>
      </c>
      <c r="AF616" s="136">
        <f>IF(E616=$AF$6,1,"")</f>
        <v/>
      </c>
      <c r="AG616" s="136">
        <f>IF(E616=$AG$6,1,"")</f>
        <v/>
      </c>
      <c r="AH616" s="136">
        <f>IF(E616=$AH$6,1,"")</f>
        <v/>
      </c>
      <c r="AI616" s="136">
        <f>IF(E616=$AI$6,1,"")</f>
        <v/>
      </c>
      <c r="AJ616" s="136">
        <f>IF(E616=$AJ$6,1,"")</f>
        <v/>
      </c>
      <c r="AK616" s="81">
        <f>IF(E616=$AK$6,1,"")</f>
        <v/>
      </c>
      <c r="AL616" s="81">
        <f>IF(E616=$AL$6,1,"")</f>
        <v/>
      </c>
      <c r="AM616" s="81">
        <f>IF(E616=$AM$6,1,"")</f>
        <v/>
      </c>
      <c r="AN616" s="81">
        <f>IF(E616=$AN$6,1,"")</f>
        <v/>
      </c>
      <c r="AO616" s="81">
        <f>IF(E616=$AO$6,1,"")</f>
        <v/>
      </c>
      <c r="AP616" s="81">
        <f>IF(E616=$AP$6,1,"")</f>
        <v/>
      </c>
      <c r="AQ616" s="81">
        <f>IF(E616=$AQ$6,1,"")</f>
        <v/>
      </c>
      <c r="AR616" s="81">
        <f>IF(E616=$AR$6,1,"")</f>
        <v/>
      </c>
      <c r="AS616" s="81" t="n"/>
    </row>
    <row r="617" ht="15.75" customHeight="1" s="80">
      <c r="A617" s="157" t="n"/>
      <c r="B617" s="124" t="n"/>
      <c r="C617" s="125" t="n"/>
      <c r="D617" s="126" t="n"/>
      <c r="E617" s="127" t="n"/>
      <c r="F617" s="128" t="n"/>
      <c r="G617" s="129">
        <f>IF(F617="","",ROUND(F617/60,2))</f>
        <v/>
      </c>
      <c r="H617" s="130" t="n"/>
      <c r="I617" s="131" t="n"/>
      <c r="J617" s="131">
        <f>IF(COUNTIF(B617:E617,"*")=0,"",IF(T617=1,"Invalid Service",IF(AND(V617=1,F617=""),"Add Session Mins",IF(AND(E617&gt;0,H617="",T617=""),"Enter Contract Rate",IF(AND(E617="IEP mtg, prep, rept",F617&gt;0),(G617*H617),IF(AND(E617&gt;0,F617&gt;0,H617&gt;0,I617=""),"Enter Travel",IF(AND(F617&gt;0,I617="Y"),(G617*H617)+$M$10,IF(AND(F617&gt;0,I617="N"),(G617*H617),H617))))))))</f>
        <v/>
      </c>
      <c r="K617" s="132">
        <f>J617</f>
        <v/>
      </c>
      <c r="L617" s="148" t="n"/>
      <c r="M617" s="148" t="n"/>
      <c r="N617" s="148" t="n"/>
      <c r="O617" s="87" t="n"/>
      <c r="P617" s="81" t="n"/>
      <c r="Q617" s="81" t="n"/>
      <c r="R617" s="81" t="n"/>
      <c r="S617" s="81" t="n"/>
      <c r="T617" s="136">
        <f>IF(AND(E617&gt;0,U617=0),1,"")</f>
        <v/>
      </c>
      <c r="U617" s="136">
        <f>SUM(X617:AR617)</f>
        <v/>
      </c>
      <c r="V617" s="136">
        <f>IF(E617=$Q$16,0,SUM(X617:AI617))</f>
        <v/>
      </c>
      <c r="W617" s="136">
        <f>SUM(AK617:AR617)</f>
        <v/>
      </c>
      <c r="X617" s="136">
        <f>IF(E617=$X$6,1,"")</f>
        <v/>
      </c>
      <c r="Y617" s="136">
        <f>IF(E617=$Y$6,1,"")</f>
        <v/>
      </c>
      <c r="Z617" s="136">
        <f>IF(E617=$Z$6,1,"")</f>
        <v/>
      </c>
      <c r="AA617" s="136">
        <f>IF(E617=$AA$6,1,"")</f>
        <v/>
      </c>
      <c r="AB617" s="136">
        <f>IF(E617=$AB$6,1,"")</f>
        <v/>
      </c>
      <c r="AC617" s="136">
        <f>IF(E617=$AC$6,1,"")</f>
        <v/>
      </c>
      <c r="AD617" s="136">
        <f>IF(E617=$AD$6,1,"")</f>
        <v/>
      </c>
      <c r="AE617" s="136">
        <f>IF(E617=$AE$6,1,"")</f>
        <v/>
      </c>
      <c r="AF617" s="136">
        <f>IF(E617=$AF$6,1,"")</f>
        <v/>
      </c>
      <c r="AG617" s="136">
        <f>IF(E617=$AG$6,1,"")</f>
        <v/>
      </c>
      <c r="AH617" s="136">
        <f>IF(E617=$AH$6,1,"")</f>
        <v/>
      </c>
      <c r="AI617" s="136">
        <f>IF(E617=$AI$6,1,"")</f>
        <v/>
      </c>
      <c r="AJ617" s="136">
        <f>IF(E617=$AJ$6,1,"")</f>
        <v/>
      </c>
      <c r="AK617" s="81">
        <f>IF(E617=$AK$6,1,"")</f>
        <v/>
      </c>
      <c r="AL617" s="81">
        <f>IF(E617=$AL$6,1,"")</f>
        <v/>
      </c>
      <c r="AM617" s="81">
        <f>IF(E617=$AM$6,1,"")</f>
        <v/>
      </c>
      <c r="AN617" s="81">
        <f>IF(E617=$AN$6,1,"")</f>
        <v/>
      </c>
      <c r="AO617" s="81">
        <f>IF(E617=$AO$6,1,"")</f>
        <v/>
      </c>
      <c r="AP617" s="81">
        <f>IF(E617=$AP$6,1,"")</f>
        <v/>
      </c>
      <c r="AQ617" s="81">
        <f>IF(E617=$AQ$6,1,"")</f>
        <v/>
      </c>
      <c r="AR617" s="81">
        <f>IF(E617=$AR$6,1,"")</f>
        <v/>
      </c>
      <c r="AS617" s="81" t="n"/>
    </row>
    <row r="618" ht="15.75" customHeight="1" s="80">
      <c r="A618" s="157" t="n"/>
      <c r="B618" s="124" t="n"/>
      <c r="C618" s="125" t="n"/>
      <c r="D618" s="126" t="n"/>
      <c r="E618" s="127" t="n"/>
      <c r="F618" s="128" t="n"/>
      <c r="G618" s="129">
        <f>IF(F618="","",ROUND(F618/60,2))</f>
        <v/>
      </c>
      <c r="H618" s="130" t="n"/>
      <c r="I618" s="131" t="n"/>
      <c r="J618" s="131">
        <f>IF(COUNTIF(B618:E618,"*")=0,"",IF(T618=1,"Invalid Service",IF(AND(V618=1,F618=""),"Add Session Mins",IF(AND(E618&gt;0,H618="",T618=""),"Enter Contract Rate",IF(AND(E618="IEP mtg, prep, rept",F618&gt;0),(G618*H618),IF(AND(E618&gt;0,F618&gt;0,H618&gt;0,I618=""),"Enter Travel",IF(AND(F618&gt;0,I618="Y"),(G618*H618)+$M$10,IF(AND(F618&gt;0,I618="N"),(G618*H618),H618))))))))</f>
        <v/>
      </c>
      <c r="K618" s="132">
        <f>J618</f>
        <v/>
      </c>
      <c r="L618" s="148" t="n"/>
      <c r="M618" s="148" t="n"/>
      <c r="N618" s="148" t="n"/>
      <c r="O618" s="87" t="n"/>
      <c r="P618" s="81" t="n"/>
      <c r="Q618" s="81" t="n"/>
      <c r="R618" s="81" t="n"/>
      <c r="S618" s="81" t="n"/>
      <c r="T618" s="136">
        <f>IF(AND(E618&gt;0,U618=0),1,"")</f>
        <v/>
      </c>
      <c r="U618" s="136">
        <f>SUM(X618:AR618)</f>
        <v/>
      </c>
      <c r="V618" s="136">
        <f>IF(E618=$Q$16,0,SUM(X618:AI618))</f>
        <v/>
      </c>
      <c r="W618" s="136">
        <f>SUM(AK618:AR618)</f>
        <v/>
      </c>
      <c r="X618" s="136">
        <f>IF(E618=$X$6,1,"")</f>
        <v/>
      </c>
      <c r="Y618" s="136">
        <f>IF(E618=$Y$6,1,"")</f>
        <v/>
      </c>
      <c r="Z618" s="136">
        <f>IF(E618=$Z$6,1,"")</f>
        <v/>
      </c>
      <c r="AA618" s="136">
        <f>IF(E618=$AA$6,1,"")</f>
        <v/>
      </c>
      <c r="AB618" s="136">
        <f>IF(E618=$AB$6,1,"")</f>
        <v/>
      </c>
      <c r="AC618" s="136">
        <f>IF(E618=$AC$6,1,"")</f>
        <v/>
      </c>
      <c r="AD618" s="136">
        <f>IF(E618=$AD$6,1,"")</f>
        <v/>
      </c>
      <c r="AE618" s="136">
        <f>IF(E618=$AE$6,1,"")</f>
        <v/>
      </c>
      <c r="AF618" s="136">
        <f>IF(E618=$AF$6,1,"")</f>
        <v/>
      </c>
      <c r="AG618" s="136">
        <f>IF(E618=$AG$6,1,"")</f>
        <v/>
      </c>
      <c r="AH618" s="136">
        <f>IF(E618=$AH$6,1,"")</f>
        <v/>
      </c>
      <c r="AI618" s="136">
        <f>IF(E618=$AI$6,1,"")</f>
        <v/>
      </c>
      <c r="AJ618" s="136">
        <f>IF(E618=$AJ$6,1,"")</f>
        <v/>
      </c>
      <c r="AK618" s="81">
        <f>IF(E618=$AK$6,1,"")</f>
        <v/>
      </c>
      <c r="AL618" s="81">
        <f>IF(E618=$AL$6,1,"")</f>
        <v/>
      </c>
      <c r="AM618" s="81">
        <f>IF(E618=$AM$6,1,"")</f>
        <v/>
      </c>
      <c r="AN618" s="81">
        <f>IF(E618=$AN$6,1,"")</f>
        <v/>
      </c>
      <c r="AO618" s="81">
        <f>IF(E618=$AO$6,1,"")</f>
        <v/>
      </c>
      <c r="AP618" s="81">
        <f>IF(E618=$AP$6,1,"")</f>
        <v/>
      </c>
      <c r="AQ618" s="81">
        <f>IF(E618=$AQ$6,1,"")</f>
        <v/>
      </c>
      <c r="AR618" s="81">
        <f>IF(E618=$AR$6,1,"")</f>
        <v/>
      </c>
      <c r="AS618" s="81" t="n"/>
    </row>
    <row r="619" ht="15.75" customHeight="1" s="80">
      <c r="A619" s="157" t="n"/>
      <c r="B619" s="124" t="n"/>
      <c r="C619" s="125" t="n"/>
      <c r="D619" s="126" t="n"/>
      <c r="E619" s="127" t="n"/>
      <c r="F619" s="128" t="n"/>
      <c r="G619" s="129">
        <f>IF(F619="","",ROUND(F619/60,2))</f>
        <v/>
      </c>
      <c r="H619" s="130" t="n"/>
      <c r="I619" s="131" t="n"/>
      <c r="J619" s="131">
        <f>IF(COUNTIF(B619:E619,"*")=0,"",IF(T619=1,"Invalid Service",IF(AND(V619=1,F619=""),"Add Session Mins",IF(AND(E619&gt;0,H619="",T619=""),"Enter Contract Rate",IF(AND(E619="IEP mtg, prep, rept",F619&gt;0),(G619*H619),IF(AND(E619&gt;0,F619&gt;0,H619&gt;0,I619=""),"Enter Travel",IF(AND(F619&gt;0,I619="Y"),(G619*H619)+$M$10,IF(AND(F619&gt;0,I619="N"),(G619*H619),H619))))))))</f>
        <v/>
      </c>
      <c r="K619" s="132">
        <f>J619</f>
        <v/>
      </c>
      <c r="L619" s="148" t="n"/>
      <c r="M619" s="148" t="n"/>
      <c r="N619" s="148" t="n"/>
      <c r="O619" s="87" t="n"/>
      <c r="P619" s="81" t="n"/>
      <c r="Q619" s="81" t="n"/>
      <c r="R619" s="81" t="n"/>
      <c r="S619" s="81" t="n"/>
      <c r="T619" s="136">
        <f>IF(AND(E619&gt;0,U619=0),1,"")</f>
        <v/>
      </c>
      <c r="U619" s="136">
        <f>SUM(X619:AR619)</f>
        <v/>
      </c>
      <c r="V619" s="136">
        <f>IF(E619=$Q$16,0,SUM(X619:AI619))</f>
        <v/>
      </c>
      <c r="W619" s="136">
        <f>SUM(AK619:AR619)</f>
        <v/>
      </c>
      <c r="X619" s="136">
        <f>IF(E619=$X$6,1,"")</f>
        <v/>
      </c>
      <c r="Y619" s="136">
        <f>IF(E619=$Y$6,1,"")</f>
        <v/>
      </c>
      <c r="Z619" s="136">
        <f>IF(E619=$Z$6,1,"")</f>
        <v/>
      </c>
      <c r="AA619" s="136">
        <f>IF(E619=$AA$6,1,"")</f>
        <v/>
      </c>
      <c r="AB619" s="136">
        <f>IF(E619=$AB$6,1,"")</f>
        <v/>
      </c>
      <c r="AC619" s="136">
        <f>IF(E619=$AC$6,1,"")</f>
        <v/>
      </c>
      <c r="AD619" s="136">
        <f>IF(E619=$AD$6,1,"")</f>
        <v/>
      </c>
      <c r="AE619" s="136">
        <f>IF(E619=$AE$6,1,"")</f>
        <v/>
      </c>
      <c r="AF619" s="136">
        <f>IF(E619=$AF$6,1,"")</f>
        <v/>
      </c>
      <c r="AG619" s="136">
        <f>IF(E619=$AG$6,1,"")</f>
        <v/>
      </c>
      <c r="AH619" s="136">
        <f>IF(E619=$AH$6,1,"")</f>
        <v/>
      </c>
      <c r="AI619" s="136">
        <f>IF(E619=$AI$6,1,"")</f>
        <v/>
      </c>
      <c r="AJ619" s="136">
        <f>IF(E619=$AJ$6,1,"")</f>
        <v/>
      </c>
      <c r="AK619" s="81">
        <f>IF(E619=$AK$6,1,"")</f>
        <v/>
      </c>
      <c r="AL619" s="81">
        <f>IF(E619=$AL$6,1,"")</f>
        <v/>
      </c>
      <c r="AM619" s="81">
        <f>IF(E619=$AM$6,1,"")</f>
        <v/>
      </c>
      <c r="AN619" s="81">
        <f>IF(E619=$AN$6,1,"")</f>
        <v/>
      </c>
      <c r="AO619" s="81">
        <f>IF(E619=$AO$6,1,"")</f>
        <v/>
      </c>
      <c r="AP619" s="81">
        <f>IF(E619=$AP$6,1,"")</f>
        <v/>
      </c>
      <c r="AQ619" s="81">
        <f>IF(E619=$AQ$6,1,"")</f>
        <v/>
      </c>
      <c r="AR619" s="81">
        <f>IF(E619=$AR$6,1,"")</f>
        <v/>
      </c>
      <c r="AS619" s="81" t="n"/>
    </row>
    <row r="620" ht="15.75" customHeight="1" s="80">
      <c r="A620" s="157" t="n"/>
      <c r="B620" s="124" t="n"/>
      <c r="C620" s="125" t="n"/>
      <c r="D620" s="126" t="n"/>
      <c r="E620" s="127" t="n"/>
      <c r="F620" s="128" t="n"/>
      <c r="G620" s="129">
        <f>IF(F620="","",ROUND(F620/60,2))</f>
        <v/>
      </c>
      <c r="H620" s="130" t="n"/>
      <c r="I620" s="131" t="n"/>
      <c r="J620" s="131">
        <f>IF(COUNTIF(B620:E620,"*")=0,"",IF(T620=1,"Invalid Service",IF(AND(V620=1,F620=""),"Add Session Mins",IF(AND(E620&gt;0,H620="",T620=""),"Enter Contract Rate",IF(AND(E620="IEP mtg, prep, rept",F620&gt;0),(G620*H620),IF(AND(E620&gt;0,F620&gt;0,H620&gt;0,I620=""),"Enter Travel",IF(AND(F620&gt;0,I620="Y"),(G620*H620)+$M$10,IF(AND(F620&gt;0,I620="N"),(G620*H620),H620))))))))</f>
        <v/>
      </c>
      <c r="K620" s="132">
        <f>J620</f>
        <v/>
      </c>
      <c r="L620" s="148" t="n"/>
      <c r="M620" s="148" t="n"/>
      <c r="N620" s="148" t="n"/>
      <c r="O620" s="87" t="n"/>
      <c r="P620" s="81" t="n"/>
      <c r="Q620" s="81" t="n"/>
      <c r="R620" s="81" t="n"/>
      <c r="S620" s="81" t="n"/>
      <c r="T620" s="136">
        <f>IF(AND(E620&gt;0,U620=0),1,"")</f>
        <v/>
      </c>
      <c r="U620" s="136">
        <f>SUM(X620:AR620)</f>
        <v/>
      </c>
      <c r="V620" s="136">
        <f>IF(E620=$Q$16,0,SUM(X620:AI620))</f>
        <v/>
      </c>
      <c r="W620" s="136">
        <f>SUM(AK620:AR620)</f>
        <v/>
      </c>
      <c r="X620" s="136">
        <f>IF(E620=$X$6,1,"")</f>
        <v/>
      </c>
      <c r="Y620" s="136">
        <f>IF(E620=$Y$6,1,"")</f>
        <v/>
      </c>
      <c r="Z620" s="136">
        <f>IF(E620=$Z$6,1,"")</f>
        <v/>
      </c>
      <c r="AA620" s="136">
        <f>IF(E620=$AA$6,1,"")</f>
        <v/>
      </c>
      <c r="AB620" s="136">
        <f>IF(E620=$AB$6,1,"")</f>
        <v/>
      </c>
      <c r="AC620" s="136">
        <f>IF(E620=$AC$6,1,"")</f>
        <v/>
      </c>
      <c r="AD620" s="136">
        <f>IF(E620=$AD$6,1,"")</f>
        <v/>
      </c>
      <c r="AE620" s="136">
        <f>IF(E620=$AE$6,1,"")</f>
        <v/>
      </c>
      <c r="AF620" s="136">
        <f>IF(E620=$AF$6,1,"")</f>
        <v/>
      </c>
      <c r="AG620" s="136">
        <f>IF(E620=$AG$6,1,"")</f>
        <v/>
      </c>
      <c r="AH620" s="136">
        <f>IF(E620=$AH$6,1,"")</f>
        <v/>
      </c>
      <c r="AI620" s="136">
        <f>IF(E620=$AI$6,1,"")</f>
        <v/>
      </c>
      <c r="AJ620" s="136">
        <f>IF(E620=$AJ$6,1,"")</f>
        <v/>
      </c>
      <c r="AK620" s="81">
        <f>IF(E620=$AK$6,1,"")</f>
        <v/>
      </c>
      <c r="AL620" s="81">
        <f>IF(E620=$AL$6,1,"")</f>
        <v/>
      </c>
      <c r="AM620" s="81">
        <f>IF(E620=$AM$6,1,"")</f>
        <v/>
      </c>
      <c r="AN620" s="81">
        <f>IF(E620=$AN$6,1,"")</f>
        <v/>
      </c>
      <c r="AO620" s="81">
        <f>IF(E620=$AO$6,1,"")</f>
        <v/>
      </c>
      <c r="AP620" s="81">
        <f>IF(E620=$AP$6,1,"")</f>
        <v/>
      </c>
      <c r="AQ620" s="81">
        <f>IF(E620=$AQ$6,1,"")</f>
        <v/>
      </c>
      <c r="AR620" s="81">
        <f>IF(E620=$AR$6,1,"")</f>
        <v/>
      </c>
      <c r="AS620" s="81" t="n"/>
    </row>
    <row r="621" ht="15.75" customHeight="1" s="80">
      <c r="A621" s="157" t="n"/>
      <c r="B621" s="124" t="n"/>
      <c r="C621" s="125" t="n"/>
      <c r="D621" s="126" t="n"/>
      <c r="E621" s="127" t="n"/>
      <c r="F621" s="128" t="n"/>
      <c r="G621" s="129">
        <f>IF(F621="","",ROUND(F621/60,2))</f>
        <v/>
      </c>
      <c r="H621" s="130" t="n"/>
      <c r="I621" s="131" t="n"/>
      <c r="J621" s="131">
        <f>IF(COUNTIF(B621:E621,"*")=0,"",IF(T621=1,"Invalid Service",IF(AND(V621=1,F621=""),"Add Session Mins",IF(AND(E621&gt;0,H621="",T621=""),"Enter Contract Rate",IF(AND(E621="IEP mtg, prep, rept",F621&gt;0),(G621*H621),IF(AND(E621&gt;0,F621&gt;0,H621&gt;0,I621=""),"Enter Travel",IF(AND(F621&gt;0,I621="Y"),(G621*H621)+$M$10,IF(AND(F621&gt;0,I621="N"),(G621*H621),H621))))))))</f>
        <v/>
      </c>
      <c r="K621" s="132">
        <f>J621</f>
        <v/>
      </c>
      <c r="L621" s="148" t="n"/>
      <c r="M621" s="148" t="n"/>
      <c r="N621" s="148" t="n"/>
      <c r="O621" s="87" t="n"/>
      <c r="P621" s="81" t="n"/>
      <c r="Q621" s="81" t="n"/>
      <c r="R621" s="81" t="n"/>
      <c r="S621" s="81" t="n"/>
      <c r="T621" s="136">
        <f>IF(AND(E621&gt;0,U621=0),1,"")</f>
        <v/>
      </c>
      <c r="U621" s="136">
        <f>SUM(X621:AR621)</f>
        <v/>
      </c>
      <c r="V621" s="136">
        <f>IF(E621=$Q$16,0,SUM(X621:AI621))</f>
        <v/>
      </c>
      <c r="W621" s="136">
        <f>SUM(AK621:AR621)</f>
        <v/>
      </c>
      <c r="X621" s="136">
        <f>IF(E621=$X$6,1,"")</f>
        <v/>
      </c>
      <c r="Y621" s="136">
        <f>IF(E621=$Y$6,1,"")</f>
        <v/>
      </c>
      <c r="Z621" s="136">
        <f>IF(E621=$Z$6,1,"")</f>
        <v/>
      </c>
      <c r="AA621" s="136">
        <f>IF(E621=$AA$6,1,"")</f>
        <v/>
      </c>
      <c r="AB621" s="136">
        <f>IF(E621=$AB$6,1,"")</f>
        <v/>
      </c>
      <c r="AC621" s="136">
        <f>IF(E621=$AC$6,1,"")</f>
        <v/>
      </c>
      <c r="AD621" s="136">
        <f>IF(E621=$AD$6,1,"")</f>
        <v/>
      </c>
      <c r="AE621" s="136">
        <f>IF(E621=$AE$6,1,"")</f>
        <v/>
      </c>
      <c r="AF621" s="136">
        <f>IF(E621=$AF$6,1,"")</f>
        <v/>
      </c>
      <c r="AG621" s="136">
        <f>IF(E621=$AG$6,1,"")</f>
        <v/>
      </c>
      <c r="AH621" s="136">
        <f>IF(E621=$AH$6,1,"")</f>
        <v/>
      </c>
      <c r="AI621" s="136">
        <f>IF(E621=$AI$6,1,"")</f>
        <v/>
      </c>
      <c r="AJ621" s="136">
        <f>IF(E621=$AJ$6,1,"")</f>
        <v/>
      </c>
      <c r="AK621" s="81">
        <f>IF(E621=$AK$6,1,"")</f>
        <v/>
      </c>
      <c r="AL621" s="81">
        <f>IF(E621=$AL$6,1,"")</f>
        <v/>
      </c>
      <c r="AM621" s="81">
        <f>IF(E621=$AM$6,1,"")</f>
        <v/>
      </c>
      <c r="AN621" s="81">
        <f>IF(E621=$AN$6,1,"")</f>
        <v/>
      </c>
      <c r="AO621" s="81">
        <f>IF(E621=$AO$6,1,"")</f>
        <v/>
      </c>
      <c r="AP621" s="81">
        <f>IF(E621=$AP$6,1,"")</f>
        <v/>
      </c>
      <c r="AQ621" s="81">
        <f>IF(E621=$AQ$6,1,"")</f>
        <v/>
      </c>
      <c r="AR621" s="81">
        <f>IF(E621=$AR$6,1,"")</f>
        <v/>
      </c>
      <c r="AS621" s="81" t="n"/>
    </row>
    <row r="622" ht="15.75" customHeight="1" s="80">
      <c r="A622" s="157" t="n"/>
      <c r="B622" s="124" t="n"/>
      <c r="C622" s="125" t="n"/>
      <c r="D622" s="126" t="n"/>
      <c r="E622" s="127" t="n"/>
      <c r="F622" s="128" t="n"/>
      <c r="G622" s="129">
        <f>IF(F622="","",ROUND(F622/60,2))</f>
        <v/>
      </c>
      <c r="H622" s="130" t="n"/>
      <c r="I622" s="131" t="n"/>
      <c r="J622" s="131">
        <f>IF(COUNTIF(B622:E622,"*")=0,"",IF(T622=1,"Invalid Service",IF(AND(V622=1,F622=""),"Add Session Mins",IF(AND(E622&gt;0,H622="",T622=""),"Enter Contract Rate",IF(AND(E622="IEP mtg, prep, rept",F622&gt;0),(G622*H622),IF(AND(E622&gt;0,F622&gt;0,H622&gt;0,I622=""),"Enter Travel",IF(AND(F622&gt;0,I622="Y"),(G622*H622)+$M$10,IF(AND(F622&gt;0,I622="N"),(G622*H622),H622))))))))</f>
        <v/>
      </c>
      <c r="K622" s="132">
        <f>J622</f>
        <v/>
      </c>
      <c r="L622" s="148" t="n"/>
      <c r="M622" s="148" t="n"/>
      <c r="N622" s="148" t="n"/>
      <c r="O622" s="87" t="n"/>
      <c r="P622" s="81" t="n"/>
      <c r="Q622" s="81" t="n"/>
      <c r="R622" s="81" t="n"/>
      <c r="S622" s="81" t="n"/>
      <c r="T622" s="136">
        <f>IF(AND(E622&gt;0,U622=0),1,"")</f>
        <v/>
      </c>
      <c r="U622" s="136">
        <f>SUM(X622:AR622)</f>
        <v/>
      </c>
      <c r="V622" s="136">
        <f>IF(E622=$Q$16,0,SUM(X622:AI622))</f>
        <v/>
      </c>
      <c r="W622" s="136">
        <f>SUM(AK622:AR622)</f>
        <v/>
      </c>
      <c r="X622" s="136">
        <f>IF(E622=$X$6,1,"")</f>
        <v/>
      </c>
      <c r="Y622" s="136">
        <f>IF(E622=$Y$6,1,"")</f>
        <v/>
      </c>
      <c r="Z622" s="136">
        <f>IF(E622=$Z$6,1,"")</f>
        <v/>
      </c>
      <c r="AA622" s="136">
        <f>IF(E622=$AA$6,1,"")</f>
        <v/>
      </c>
      <c r="AB622" s="136">
        <f>IF(E622=$AB$6,1,"")</f>
        <v/>
      </c>
      <c r="AC622" s="136">
        <f>IF(E622=$AC$6,1,"")</f>
        <v/>
      </c>
      <c r="AD622" s="136">
        <f>IF(E622=$AD$6,1,"")</f>
        <v/>
      </c>
      <c r="AE622" s="136">
        <f>IF(E622=$AE$6,1,"")</f>
        <v/>
      </c>
      <c r="AF622" s="136">
        <f>IF(E622=$AF$6,1,"")</f>
        <v/>
      </c>
      <c r="AG622" s="136">
        <f>IF(E622=$AG$6,1,"")</f>
        <v/>
      </c>
      <c r="AH622" s="136">
        <f>IF(E622=$AH$6,1,"")</f>
        <v/>
      </c>
      <c r="AI622" s="136">
        <f>IF(E622=$AI$6,1,"")</f>
        <v/>
      </c>
      <c r="AJ622" s="136">
        <f>IF(E622=$AJ$6,1,"")</f>
        <v/>
      </c>
      <c r="AK622" s="81">
        <f>IF(E622=$AK$6,1,"")</f>
        <v/>
      </c>
      <c r="AL622" s="81">
        <f>IF(E622=$AL$6,1,"")</f>
        <v/>
      </c>
      <c r="AM622" s="81">
        <f>IF(E622=$AM$6,1,"")</f>
        <v/>
      </c>
      <c r="AN622" s="81">
        <f>IF(E622=$AN$6,1,"")</f>
        <v/>
      </c>
      <c r="AO622" s="81">
        <f>IF(E622=$AO$6,1,"")</f>
        <v/>
      </c>
      <c r="AP622" s="81">
        <f>IF(E622=$AP$6,1,"")</f>
        <v/>
      </c>
      <c r="AQ622" s="81">
        <f>IF(E622=$AQ$6,1,"")</f>
        <v/>
      </c>
      <c r="AR622" s="81">
        <f>IF(E622=$AR$6,1,"")</f>
        <v/>
      </c>
      <c r="AS622" s="81" t="n"/>
    </row>
    <row r="623" ht="15.75" customHeight="1" s="80">
      <c r="A623" s="157" t="n"/>
      <c r="B623" s="124" t="n"/>
      <c r="C623" s="125" t="n"/>
      <c r="D623" s="126" t="n"/>
      <c r="E623" s="127" t="n"/>
      <c r="F623" s="128" t="n"/>
      <c r="G623" s="129">
        <f>IF(F623="","",ROUND(F623/60,2))</f>
        <v/>
      </c>
      <c r="H623" s="130" t="n"/>
      <c r="I623" s="131" t="n"/>
      <c r="J623" s="131">
        <f>IF(COUNTIF(B623:E623,"*")=0,"",IF(T623=1,"Invalid Service",IF(AND(V623=1,F623=""),"Add Session Mins",IF(AND(E623&gt;0,H623="",T623=""),"Enter Contract Rate",IF(AND(E623="IEP mtg, prep, rept",F623&gt;0),(G623*H623),IF(AND(E623&gt;0,F623&gt;0,H623&gt;0,I623=""),"Enter Travel",IF(AND(F623&gt;0,I623="Y"),(G623*H623)+$M$10,IF(AND(F623&gt;0,I623="N"),(G623*H623),H623))))))))</f>
        <v/>
      </c>
      <c r="K623" s="132">
        <f>J623</f>
        <v/>
      </c>
      <c r="L623" s="148" t="n"/>
      <c r="M623" s="148" t="n"/>
      <c r="N623" s="148" t="n"/>
      <c r="O623" s="87" t="n"/>
      <c r="P623" s="81" t="n"/>
      <c r="Q623" s="81" t="n"/>
      <c r="R623" s="81" t="n"/>
      <c r="S623" s="81" t="n"/>
      <c r="T623" s="136">
        <f>IF(AND(E623&gt;0,U623=0),1,"")</f>
        <v/>
      </c>
      <c r="U623" s="136">
        <f>SUM(X623:AR623)</f>
        <v/>
      </c>
      <c r="V623" s="136">
        <f>IF(E623=$Q$16,0,SUM(X623:AI623))</f>
        <v/>
      </c>
      <c r="W623" s="136">
        <f>SUM(AK623:AR623)</f>
        <v/>
      </c>
      <c r="X623" s="136">
        <f>IF(E623=$X$6,1,"")</f>
        <v/>
      </c>
      <c r="Y623" s="136">
        <f>IF(E623=$Y$6,1,"")</f>
        <v/>
      </c>
      <c r="Z623" s="136">
        <f>IF(E623=$Z$6,1,"")</f>
        <v/>
      </c>
      <c r="AA623" s="136">
        <f>IF(E623=$AA$6,1,"")</f>
        <v/>
      </c>
      <c r="AB623" s="136">
        <f>IF(E623=$AB$6,1,"")</f>
        <v/>
      </c>
      <c r="AC623" s="136">
        <f>IF(E623=$AC$6,1,"")</f>
        <v/>
      </c>
      <c r="AD623" s="136">
        <f>IF(E623=$AD$6,1,"")</f>
        <v/>
      </c>
      <c r="AE623" s="136">
        <f>IF(E623=$AE$6,1,"")</f>
        <v/>
      </c>
      <c r="AF623" s="136">
        <f>IF(E623=$AF$6,1,"")</f>
        <v/>
      </c>
      <c r="AG623" s="136">
        <f>IF(E623=$AG$6,1,"")</f>
        <v/>
      </c>
      <c r="AH623" s="136">
        <f>IF(E623=$AH$6,1,"")</f>
        <v/>
      </c>
      <c r="AI623" s="136">
        <f>IF(E623=$AI$6,1,"")</f>
        <v/>
      </c>
      <c r="AJ623" s="136">
        <f>IF(E623=$AJ$6,1,"")</f>
        <v/>
      </c>
      <c r="AK623" s="81">
        <f>IF(E623=$AK$6,1,"")</f>
        <v/>
      </c>
      <c r="AL623" s="81">
        <f>IF(E623=$AL$6,1,"")</f>
        <v/>
      </c>
      <c r="AM623" s="81">
        <f>IF(E623=$AM$6,1,"")</f>
        <v/>
      </c>
      <c r="AN623" s="81">
        <f>IF(E623=$AN$6,1,"")</f>
        <v/>
      </c>
      <c r="AO623" s="81">
        <f>IF(E623=$AO$6,1,"")</f>
        <v/>
      </c>
      <c r="AP623" s="81">
        <f>IF(E623=$AP$6,1,"")</f>
        <v/>
      </c>
      <c r="AQ623" s="81">
        <f>IF(E623=$AQ$6,1,"")</f>
        <v/>
      </c>
      <c r="AR623" s="81">
        <f>IF(E623=$AR$6,1,"")</f>
        <v/>
      </c>
      <c r="AS623" s="81" t="n"/>
    </row>
    <row r="624" ht="15.75" customHeight="1" s="80">
      <c r="A624" s="157" t="n"/>
      <c r="B624" s="124" t="n"/>
      <c r="C624" s="125" t="n"/>
      <c r="D624" s="126" t="n"/>
      <c r="E624" s="127" t="n"/>
      <c r="F624" s="128" t="n"/>
      <c r="G624" s="129">
        <f>IF(F624="","",ROUND(F624/60,2))</f>
        <v/>
      </c>
      <c r="H624" s="130" t="n"/>
      <c r="I624" s="131" t="n"/>
      <c r="J624" s="131">
        <f>IF(COUNTIF(B624:E624,"*")=0,"",IF(T624=1,"Invalid Service",IF(AND(V624=1,F624=""),"Add Session Mins",IF(AND(E624&gt;0,H624="",T624=""),"Enter Contract Rate",IF(AND(E624="IEP mtg, prep, rept",F624&gt;0),(G624*H624),IF(AND(E624&gt;0,F624&gt;0,H624&gt;0,I624=""),"Enter Travel",IF(AND(F624&gt;0,I624="Y"),(G624*H624)+$M$10,IF(AND(F624&gt;0,I624="N"),(G624*H624),H624))))))))</f>
        <v/>
      </c>
      <c r="K624" s="132">
        <f>J624</f>
        <v/>
      </c>
      <c r="L624" s="148" t="n"/>
      <c r="M624" s="148" t="n"/>
      <c r="N624" s="148" t="n"/>
      <c r="O624" s="87" t="n"/>
      <c r="P624" s="81" t="n"/>
      <c r="Q624" s="81" t="n"/>
      <c r="R624" s="81" t="n"/>
      <c r="S624" s="81" t="n"/>
      <c r="T624" s="136">
        <f>IF(AND(E624&gt;0,U624=0),1,"")</f>
        <v/>
      </c>
      <c r="U624" s="136">
        <f>SUM(X624:AR624)</f>
        <v/>
      </c>
      <c r="V624" s="136">
        <f>IF(E624=$Q$16,0,SUM(X624:AI624))</f>
        <v/>
      </c>
      <c r="W624" s="136">
        <f>SUM(AK624:AR624)</f>
        <v/>
      </c>
      <c r="X624" s="136">
        <f>IF(E624=$X$6,1,"")</f>
        <v/>
      </c>
      <c r="Y624" s="136">
        <f>IF(E624=$Y$6,1,"")</f>
        <v/>
      </c>
      <c r="Z624" s="136">
        <f>IF(E624=$Z$6,1,"")</f>
        <v/>
      </c>
      <c r="AA624" s="136">
        <f>IF(E624=$AA$6,1,"")</f>
        <v/>
      </c>
      <c r="AB624" s="136">
        <f>IF(E624=$AB$6,1,"")</f>
        <v/>
      </c>
      <c r="AC624" s="136">
        <f>IF(E624=$AC$6,1,"")</f>
        <v/>
      </c>
      <c r="AD624" s="136">
        <f>IF(E624=$AD$6,1,"")</f>
        <v/>
      </c>
      <c r="AE624" s="136">
        <f>IF(E624=$AE$6,1,"")</f>
        <v/>
      </c>
      <c r="AF624" s="136">
        <f>IF(E624=$AF$6,1,"")</f>
        <v/>
      </c>
      <c r="AG624" s="136">
        <f>IF(E624=$AG$6,1,"")</f>
        <v/>
      </c>
      <c r="AH624" s="136">
        <f>IF(E624=$AH$6,1,"")</f>
        <v/>
      </c>
      <c r="AI624" s="136">
        <f>IF(E624=$AI$6,1,"")</f>
        <v/>
      </c>
      <c r="AJ624" s="136">
        <f>IF(E624=$AJ$6,1,"")</f>
        <v/>
      </c>
      <c r="AK624" s="81">
        <f>IF(E624=$AK$6,1,"")</f>
        <v/>
      </c>
      <c r="AL624" s="81">
        <f>IF(E624=$AL$6,1,"")</f>
        <v/>
      </c>
      <c r="AM624" s="81">
        <f>IF(E624=$AM$6,1,"")</f>
        <v/>
      </c>
      <c r="AN624" s="81">
        <f>IF(E624=$AN$6,1,"")</f>
        <v/>
      </c>
      <c r="AO624" s="81">
        <f>IF(E624=$AO$6,1,"")</f>
        <v/>
      </c>
      <c r="AP624" s="81">
        <f>IF(E624=$AP$6,1,"")</f>
        <v/>
      </c>
      <c r="AQ624" s="81">
        <f>IF(E624=$AQ$6,1,"")</f>
        <v/>
      </c>
      <c r="AR624" s="81">
        <f>IF(E624=$AR$6,1,"")</f>
        <v/>
      </c>
      <c r="AS624" s="81" t="n"/>
    </row>
    <row r="625" ht="15.75" customHeight="1" s="80">
      <c r="A625" s="157" t="n"/>
      <c r="B625" s="124" t="n"/>
      <c r="C625" s="125" t="n"/>
      <c r="D625" s="126" t="n"/>
      <c r="E625" s="127" t="n"/>
      <c r="F625" s="128" t="n"/>
      <c r="G625" s="129">
        <f>IF(F625="","",ROUND(F625/60,2))</f>
        <v/>
      </c>
      <c r="H625" s="130" t="n"/>
      <c r="I625" s="131" t="n"/>
      <c r="J625" s="131">
        <f>IF(COUNTIF(B625:E625,"*")=0,"",IF(T625=1,"Invalid Service",IF(AND(V625=1,F625=""),"Add Session Mins",IF(AND(E625&gt;0,H625="",T625=""),"Enter Contract Rate",IF(AND(E625="IEP mtg, prep, rept",F625&gt;0),(G625*H625),IF(AND(E625&gt;0,F625&gt;0,H625&gt;0,I625=""),"Enter Travel",IF(AND(F625&gt;0,I625="Y"),(G625*H625)+$M$10,IF(AND(F625&gt;0,I625="N"),(G625*H625),H625))))))))</f>
        <v/>
      </c>
      <c r="K625" s="132">
        <f>J625</f>
        <v/>
      </c>
      <c r="L625" s="148" t="n"/>
      <c r="M625" s="148" t="n"/>
      <c r="N625" s="148" t="n"/>
      <c r="O625" s="87" t="n"/>
      <c r="P625" s="81" t="n"/>
      <c r="Q625" s="81" t="n"/>
      <c r="R625" s="81" t="n"/>
      <c r="S625" s="81" t="n"/>
      <c r="T625" s="136">
        <f>IF(AND(E625&gt;0,U625=0),1,"")</f>
        <v/>
      </c>
      <c r="U625" s="136">
        <f>SUM(X625:AR625)</f>
        <v/>
      </c>
      <c r="V625" s="136">
        <f>IF(E625=$Q$16,0,SUM(X625:AI625))</f>
        <v/>
      </c>
      <c r="W625" s="136">
        <f>SUM(AK625:AR625)</f>
        <v/>
      </c>
      <c r="X625" s="136">
        <f>IF(E625=$X$6,1,"")</f>
        <v/>
      </c>
      <c r="Y625" s="136">
        <f>IF(E625=$Y$6,1,"")</f>
        <v/>
      </c>
      <c r="Z625" s="136">
        <f>IF(E625=$Z$6,1,"")</f>
        <v/>
      </c>
      <c r="AA625" s="136">
        <f>IF(E625=$AA$6,1,"")</f>
        <v/>
      </c>
      <c r="AB625" s="136">
        <f>IF(E625=$AB$6,1,"")</f>
        <v/>
      </c>
      <c r="AC625" s="136">
        <f>IF(E625=$AC$6,1,"")</f>
        <v/>
      </c>
      <c r="AD625" s="136">
        <f>IF(E625=$AD$6,1,"")</f>
        <v/>
      </c>
      <c r="AE625" s="136">
        <f>IF(E625=$AE$6,1,"")</f>
        <v/>
      </c>
      <c r="AF625" s="136">
        <f>IF(E625=$AF$6,1,"")</f>
        <v/>
      </c>
      <c r="AG625" s="136">
        <f>IF(E625=$AG$6,1,"")</f>
        <v/>
      </c>
      <c r="AH625" s="136">
        <f>IF(E625=$AH$6,1,"")</f>
        <v/>
      </c>
      <c r="AI625" s="136">
        <f>IF(E625=$AI$6,1,"")</f>
        <v/>
      </c>
      <c r="AJ625" s="136">
        <f>IF(E625=$AJ$6,1,"")</f>
        <v/>
      </c>
      <c r="AK625" s="81">
        <f>IF(E625=$AK$6,1,"")</f>
        <v/>
      </c>
      <c r="AL625" s="81">
        <f>IF(E625=$AL$6,1,"")</f>
        <v/>
      </c>
      <c r="AM625" s="81">
        <f>IF(E625=$AM$6,1,"")</f>
        <v/>
      </c>
      <c r="AN625" s="81">
        <f>IF(E625=$AN$6,1,"")</f>
        <v/>
      </c>
      <c r="AO625" s="81">
        <f>IF(E625=$AO$6,1,"")</f>
        <v/>
      </c>
      <c r="AP625" s="81">
        <f>IF(E625=$AP$6,1,"")</f>
        <v/>
      </c>
      <c r="AQ625" s="81">
        <f>IF(E625=$AQ$6,1,"")</f>
        <v/>
      </c>
      <c r="AR625" s="81">
        <f>IF(E625=$AR$6,1,"")</f>
        <v/>
      </c>
      <c r="AS625" s="81" t="n"/>
    </row>
    <row r="626" ht="15.75" customHeight="1" s="80">
      <c r="A626" s="157" t="n"/>
      <c r="B626" s="124" t="n"/>
      <c r="C626" s="125" t="n"/>
      <c r="D626" s="126" t="n"/>
      <c r="E626" s="127" t="n"/>
      <c r="F626" s="128" t="n"/>
      <c r="G626" s="129">
        <f>IF(F626="","",ROUND(F626/60,2))</f>
        <v/>
      </c>
      <c r="H626" s="130" t="n"/>
      <c r="I626" s="131" t="n"/>
      <c r="J626" s="131">
        <f>IF(COUNTIF(B626:E626,"*")=0,"",IF(T626=1,"Invalid Service",IF(AND(V626=1,F626=""),"Add Session Mins",IF(AND(E626&gt;0,H626="",T626=""),"Enter Contract Rate",IF(AND(E626="IEP mtg, prep, rept",F626&gt;0),(G626*H626),IF(AND(E626&gt;0,F626&gt;0,H626&gt;0,I626=""),"Enter Travel",IF(AND(F626&gt;0,I626="Y"),(G626*H626)+$M$10,IF(AND(F626&gt;0,I626="N"),(G626*H626),H626))))))))</f>
        <v/>
      </c>
      <c r="K626" s="132">
        <f>J626</f>
        <v/>
      </c>
      <c r="L626" s="148" t="n"/>
      <c r="M626" s="148" t="n"/>
      <c r="N626" s="148" t="n"/>
      <c r="O626" s="87" t="n"/>
      <c r="P626" s="81" t="n"/>
      <c r="Q626" s="81" t="n"/>
      <c r="R626" s="81" t="n"/>
      <c r="S626" s="81" t="n"/>
      <c r="T626" s="136">
        <f>IF(AND(E626&gt;0,U626=0),1,"")</f>
        <v/>
      </c>
      <c r="U626" s="136">
        <f>SUM(X626:AR626)</f>
        <v/>
      </c>
      <c r="V626" s="136">
        <f>IF(E626=$Q$16,0,SUM(X626:AI626))</f>
        <v/>
      </c>
      <c r="W626" s="136">
        <f>SUM(AK626:AR626)</f>
        <v/>
      </c>
      <c r="X626" s="136">
        <f>IF(E626=$X$6,1,"")</f>
        <v/>
      </c>
      <c r="Y626" s="136">
        <f>IF(E626=$Y$6,1,"")</f>
        <v/>
      </c>
      <c r="Z626" s="136">
        <f>IF(E626=$Z$6,1,"")</f>
        <v/>
      </c>
      <c r="AA626" s="136">
        <f>IF(E626=$AA$6,1,"")</f>
        <v/>
      </c>
      <c r="AB626" s="136">
        <f>IF(E626=$AB$6,1,"")</f>
        <v/>
      </c>
      <c r="AC626" s="136">
        <f>IF(E626=$AC$6,1,"")</f>
        <v/>
      </c>
      <c r="AD626" s="136">
        <f>IF(E626=$AD$6,1,"")</f>
        <v/>
      </c>
      <c r="AE626" s="136">
        <f>IF(E626=$AE$6,1,"")</f>
        <v/>
      </c>
      <c r="AF626" s="136">
        <f>IF(E626=$AF$6,1,"")</f>
        <v/>
      </c>
      <c r="AG626" s="136">
        <f>IF(E626=$AG$6,1,"")</f>
        <v/>
      </c>
      <c r="AH626" s="136">
        <f>IF(E626=$AH$6,1,"")</f>
        <v/>
      </c>
      <c r="AI626" s="136">
        <f>IF(E626=$AI$6,1,"")</f>
        <v/>
      </c>
      <c r="AJ626" s="136">
        <f>IF(E626=$AJ$6,1,"")</f>
        <v/>
      </c>
      <c r="AK626" s="81">
        <f>IF(E626=$AK$6,1,"")</f>
        <v/>
      </c>
      <c r="AL626" s="81">
        <f>IF(E626=$AL$6,1,"")</f>
        <v/>
      </c>
      <c r="AM626" s="81">
        <f>IF(E626=$AM$6,1,"")</f>
        <v/>
      </c>
      <c r="AN626" s="81">
        <f>IF(E626=$AN$6,1,"")</f>
        <v/>
      </c>
      <c r="AO626" s="81">
        <f>IF(E626=$AO$6,1,"")</f>
        <v/>
      </c>
      <c r="AP626" s="81">
        <f>IF(E626=$AP$6,1,"")</f>
        <v/>
      </c>
      <c r="AQ626" s="81">
        <f>IF(E626=$AQ$6,1,"")</f>
        <v/>
      </c>
      <c r="AR626" s="81">
        <f>IF(E626=$AR$6,1,"")</f>
        <v/>
      </c>
      <c r="AS626" s="81" t="n"/>
    </row>
    <row r="627" ht="15.75" customHeight="1" s="80">
      <c r="A627" s="157" t="n"/>
      <c r="B627" s="124" t="n"/>
      <c r="C627" s="125" t="n"/>
      <c r="D627" s="126" t="n"/>
      <c r="E627" s="127" t="n"/>
      <c r="F627" s="128" t="n"/>
      <c r="G627" s="129">
        <f>IF(F627="","",ROUND(F627/60,2))</f>
        <v/>
      </c>
      <c r="H627" s="130" t="n"/>
      <c r="I627" s="131" t="n"/>
      <c r="J627" s="131">
        <f>IF(COUNTIF(B627:E627,"*")=0,"",IF(T627=1,"Invalid Service",IF(AND(V627=1,F627=""),"Add Session Mins",IF(AND(E627&gt;0,H627="",T627=""),"Enter Contract Rate",IF(AND(E627="IEP mtg, prep, rept",F627&gt;0),(G627*H627),IF(AND(E627&gt;0,F627&gt;0,H627&gt;0,I627=""),"Enter Travel",IF(AND(F627&gt;0,I627="Y"),(G627*H627)+$M$10,IF(AND(F627&gt;0,I627="N"),(G627*H627),H627))))))))</f>
        <v/>
      </c>
      <c r="K627" s="132">
        <f>J627</f>
        <v/>
      </c>
      <c r="L627" s="148" t="n"/>
      <c r="M627" s="148" t="n"/>
      <c r="N627" s="148" t="n"/>
      <c r="O627" s="87" t="n"/>
      <c r="P627" s="81" t="n"/>
      <c r="Q627" s="81" t="n"/>
      <c r="R627" s="81" t="n"/>
      <c r="S627" s="81" t="n"/>
      <c r="T627" s="136">
        <f>IF(AND(E627&gt;0,U627=0),1,"")</f>
        <v/>
      </c>
      <c r="U627" s="136">
        <f>SUM(X627:AR627)</f>
        <v/>
      </c>
      <c r="V627" s="136">
        <f>IF(E627=$Q$16,0,SUM(X627:AI627))</f>
        <v/>
      </c>
      <c r="W627" s="136">
        <f>SUM(AK627:AR627)</f>
        <v/>
      </c>
      <c r="X627" s="136">
        <f>IF(E627=$X$6,1,"")</f>
        <v/>
      </c>
      <c r="Y627" s="136">
        <f>IF(E627=$Y$6,1,"")</f>
        <v/>
      </c>
      <c r="Z627" s="136">
        <f>IF(E627=$Z$6,1,"")</f>
        <v/>
      </c>
      <c r="AA627" s="136">
        <f>IF(E627=$AA$6,1,"")</f>
        <v/>
      </c>
      <c r="AB627" s="136">
        <f>IF(E627=$AB$6,1,"")</f>
        <v/>
      </c>
      <c r="AC627" s="136">
        <f>IF(E627=$AC$6,1,"")</f>
        <v/>
      </c>
      <c r="AD627" s="136">
        <f>IF(E627=$AD$6,1,"")</f>
        <v/>
      </c>
      <c r="AE627" s="136">
        <f>IF(E627=$AE$6,1,"")</f>
        <v/>
      </c>
      <c r="AF627" s="136">
        <f>IF(E627=$AF$6,1,"")</f>
        <v/>
      </c>
      <c r="AG627" s="136">
        <f>IF(E627=$AG$6,1,"")</f>
        <v/>
      </c>
      <c r="AH627" s="136">
        <f>IF(E627=$AH$6,1,"")</f>
        <v/>
      </c>
      <c r="AI627" s="136">
        <f>IF(E627=$AI$6,1,"")</f>
        <v/>
      </c>
      <c r="AJ627" s="136">
        <f>IF(E627=$AJ$6,1,"")</f>
        <v/>
      </c>
      <c r="AK627" s="81">
        <f>IF(E627=$AK$6,1,"")</f>
        <v/>
      </c>
      <c r="AL627" s="81">
        <f>IF(E627=$AL$6,1,"")</f>
        <v/>
      </c>
      <c r="AM627" s="81">
        <f>IF(E627=$AM$6,1,"")</f>
        <v/>
      </c>
      <c r="AN627" s="81">
        <f>IF(E627=$AN$6,1,"")</f>
        <v/>
      </c>
      <c r="AO627" s="81">
        <f>IF(E627=$AO$6,1,"")</f>
        <v/>
      </c>
      <c r="AP627" s="81">
        <f>IF(E627=$AP$6,1,"")</f>
        <v/>
      </c>
      <c r="AQ627" s="81">
        <f>IF(E627=$AQ$6,1,"")</f>
        <v/>
      </c>
      <c r="AR627" s="81">
        <f>IF(E627=$AR$6,1,"")</f>
        <v/>
      </c>
      <c r="AS627" s="81" t="n"/>
    </row>
    <row r="628" ht="15.75" customHeight="1" s="80">
      <c r="A628" s="157" t="n"/>
      <c r="B628" s="124" t="n"/>
      <c r="C628" s="125" t="n"/>
      <c r="D628" s="126" t="n"/>
      <c r="E628" s="127" t="n"/>
      <c r="F628" s="128" t="n"/>
      <c r="G628" s="129">
        <f>IF(F628="","",ROUND(F628/60,2))</f>
        <v/>
      </c>
      <c r="H628" s="130" t="n"/>
      <c r="I628" s="131" t="n"/>
      <c r="J628" s="131">
        <f>IF(COUNTIF(B628:E628,"*")=0,"",IF(T628=1,"Invalid Service",IF(AND(V628=1,F628=""),"Add Session Mins",IF(AND(E628&gt;0,H628="",T628=""),"Enter Contract Rate",IF(AND(E628="IEP mtg, prep, rept",F628&gt;0),(G628*H628),IF(AND(E628&gt;0,F628&gt;0,H628&gt;0,I628=""),"Enter Travel",IF(AND(F628&gt;0,I628="Y"),(G628*H628)+$M$10,IF(AND(F628&gt;0,I628="N"),(G628*H628),H628))))))))</f>
        <v/>
      </c>
      <c r="K628" s="132">
        <f>J628</f>
        <v/>
      </c>
      <c r="L628" s="148" t="n"/>
      <c r="M628" s="148" t="n"/>
      <c r="N628" s="148" t="n"/>
      <c r="O628" s="87" t="n"/>
      <c r="P628" s="81" t="n"/>
      <c r="Q628" s="81" t="n"/>
      <c r="R628" s="81" t="n"/>
      <c r="S628" s="81" t="n"/>
      <c r="T628" s="136">
        <f>IF(AND(E628&gt;0,U628=0),1,"")</f>
        <v/>
      </c>
      <c r="U628" s="136">
        <f>SUM(X628:AR628)</f>
        <v/>
      </c>
      <c r="V628" s="136">
        <f>IF(E628=$Q$16,0,SUM(X628:AI628))</f>
        <v/>
      </c>
      <c r="W628" s="136">
        <f>SUM(AK628:AR628)</f>
        <v/>
      </c>
      <c r="X628" s="136">
        <f>IF(E628=$X$6,1,"")</f>
        <v/>
      </c>
      <c r="Y628" s="136">
        <f>IF(E628=$Y$6,1,"")</f>
        <v/>
      </c>
      <c r="Z628" s="136">
        <f>IF(E628=$Z$6,1,"")</f>
        <v/>
      </c>
      <c r="AA628" s="136">
        <f>IF(E628=$AA$6,1,"")</f>
        <v/>
      </c>
      <c r="AB628" s="136">
        <f>IF(E628=$AB$6,1,"")</f>
        <v/>
      </c>
      <c r="AC628" s="136">
        <f>IF(E628=$AC$6,1,"")</f>
        <v/>
      </c>
      <c r="AD628" s="136">
        <f>IF(E628=$AD$6,1,"")</f>
        <v/>
      </c>
      <c r="AE628" s="136">
        <f>IF(E628=$AE$6,1,"")</f>
        <v/>
      </c>
      <c r="AF628" s="136">
        <f>IF(E628=$AF$6,1,"")</f>
        <v/>
      </c>
      <c r="AG628" s="136">
        <f>IF(E628=$AG$6,1,"")</f>
        <v/>
      </c>
      <c r="AH628" s="136">
        <f>IF(E628=$AH$6,1,"")</f>
        <v/>
      </c>
      <c r="AI628" s="136">
        <f>IF(E628=$AI$6,1,"")</f>
        <v/>
      </c>
      <c r="AJ628" s="136">
        <f>IF(E628=$AJ$6,1,"")</f>
        <v/>
      </c>
      <c r="AK628" s="81">
        <f>IF(E628=$AK$6,1,"")</f>
        <v/>
      </c>
      <c r="AL628" s="81">
        <f>IF(E628=$AL$6,1,"")</f>
        <v/>
      </c>
      <c r="AM628" s="81">
        <f>IF(E628=$AM$6,1,"")</f>
        <v/>
      </c>
      <c r="AN628" s="81">
        <f>IF(E628=$AN$6,1,"")</f>
        <v/>
      </c>
      <c r="AO628" s="81">
        <f>IF(E628=$AO$6,1,"")</f>
        <v/>
      </c>
      <c r="AP628" s="81">
        <f>IF(E628=$AP$6,1,"")</f>
        <v/>
      </c>
      <c r="AQ628" s="81">
        <f>IF(E628=$AQ$6,1,"")</f>
        <v/>
      </c>
      <c r="AR628" s="81">
        <f>IF(E628=$AR$6,1,"")</f>
        <v/>
      </c>
      <c r="AS628" s="81" t="n"/>
    </row>
    <row r="629" ht="15.75" customHeight="1" s="80">
      <c r="A629" s="157" t="n"/>
      <c r="B629" s="124" t="n"/>
      <c r="C629" s="125" t="n"/>
      <c r="D629" s="126" t="n"/>
      <c r="E629" s="127" t="n"/>
      <c r="F629" s="128" t="n"/>
      <c r="G629" s="129">
        <f>IF(F629="","",ROUND(F629/60,2))</f>
        <v/>
      </c>
      <c r="H629" s="130" t="n"/>
      <c r="I629" s="131" t="n"/>
      <c r="J629" s="131">
        <f>IF(COUNTIF(B629:E629,"*")=0,"",IF(T629=1,"Invalid Service",IF(AND(V629=1,F629=""),"Add Session Mins",IF(AND(E629&gt;0,H629="",T629=""),"Enter Contract Rate",IF(AND(E629="IEP mtg, prep, rept",F629&gt;0),(G629*H629),IF(AND(E629&gt;0,F629&gt;0,H629&gt;0,I629=""),"Enter Travel",IF(AND(F629&gt;0,I629="Y"),(G629*H629)+$M$10,IF(AND(F629&gt;0,I629="N"),(G629*H629),H629))))))))</f>
        <v/>
      </c>
      <c r="K629" s="132">
        <f>J629</f>
        <v/>
      </c>
      <c r="L629" s="148" t="n"/>
      <c r="M629" s="148" t="n"/>
      <c r="N629" s="148" t="n"/>
      <c r="O629" s="87" t="n"/>
      <c r="P629" s="81" t="n"/>
      <c r="Q629" s="81" t="n"/>
      <c r="R629" s="81" t="n"/>
      <c r="S629" s="81" t="n"/>
      <c r="T629" s="136">
        <f>IF(AND(E629&gt;0,U629=0),1,"")</f>
        <v/>
      </c>
      <c r="U629" s="136">
        <f>SUM(X629:AR629)</f>
        <v/>
      </c>
      <c r="V629" s="136">
        <f>IF(E629=$Q$16,0,SUM(X629:AI629))</f>
        <v/>
      </c>
      <c r="W629" s="136">
        <f>SUM(AK629:AR629)</f>
        <v/>
      </c>
      <c r="X629" s="136">
        <f>IF(E629=$X$6,1,"")</f>
        <v/>
      </c>
      <c r="Y629" s="136">
        <f>IF(E629=$Y$6,1,"")</f>
        <v/>
      </c>
      <c r="Z629" s="136">
        <f>IF(E629=$Z$6,1,"")</f>
        <v/>
      </c>
      <c r="AA629" s="136">
        <f>IF(E629=$AA$6,1,"")</f>
        <v/>
      </c>
      <c r="AB629" s="136">
        <f>IF(E629=$AB$6,1,"")</f>
        <v/>
      </c>
      <c r="AC629" s="136">
        <f>IF(E629=$AC$6,1,"")</f>
        <v/>
      </c>
      <c r="AD629" s="136">
        <f>IF(E629=$AD$6,1,"")</f>
        <v/>
      </c>
      <c r="AE629" s="136">
        <f>IF(E629=$AE$6,1,"")</f>
        <v/>
      </c>
      <c r="AF629" s="136">
        <f>IF(E629=$AF$6,1,"")</f>
        <v/>
      </c>
      <c r="AG629" s="136">
        <f>IF(E629=$AG$6,1,"")</f>
        <v/>
      </c>
      <c r="AH629" s="136">
        <f>IF(E629=$AH$6,1,"")</f>
        <v/>
      </c>
      <c r="AI629" s="136">
        <f>IF(E629=$AI$6,1,"")</f>
        <v/>
      </c>
      <c r="AJ629" s="136">
        <f>IF(E629=$AJ$6,1,"")</f>
        <v/>
      </c>
      <c r="AK629" s="81">
        <f>IF(E629=$AK$6,1,"")</f>
        <v/>
      </c>
      <c r="AL629" s="81">
        <f>IF(E629=$AL$6,1,"")</f>
        <v/>
      </c>
      <c r="AM629" s="81">
        <f>IF(E629=$AM$6,1,"")</f>
        <v/>
      </c>
      <c r="AN629" s="81">
        <f>IF(E629=$AN$6,1,"")</f>
        <v/>
      </c>
      <c r="AO629" s="81">
        <f>IF(E629=$AO$6,1,"")</f>
        <v/>
      </c>
      <c r="AP629" s="81">
        <f>IF(E629=$AP$6,1,"")</f>
        <v/>
      </c>
      <c r="AQ629" s="81">
        <f>IF(E629=$AQ$6,1,"")</f>
        <v/>
      </c>
      <c r="AR629" s="81">
        <f>IF(E629=$AR$6,1,"")</f>
        <v/>
      </c>
      <c r="AS629" s="81" t="n"/>
    </row>
    <row r="630" ht="15.75" customHeight="1" s="80">
      <c r="A630" s="157" t="n"/>
      <c r="B630" s="124" t="n"/>
      <c r="C630" s="125" t="n"/>
      <c r="D630" s="126" t="n"/>
      <c r="E630" s="127" t="n"/>
      <c r="F630" s="128" t="n"/>
      <c r="G630" s="129">
        <f>IF(F630="","",ROUND(F630/60,2))</f>
        <v/>
      </c>
      <c r="H630" s="130" t="n"/>
      <c r="I630" s="131" t="n"/>
      <c r="J630" s="131">
        <f>IF(COUNTIF(B630:E630,"*")=0,"",IF(T630=1,"Invalid Service",IF(AND(V630=1,F630=""),"Add Session Mins",IF(AND(E630&gt;0,H630="",T630=""),"Enter Contract Rate",IF(AND(E630="IEP mtg, prep, rept",F630&gt;0),(G630*H630),IF(AND(E630&gt;0,F630&gt;0,H630&gt;0,I630=""),"Enter Travel",IF(AND(F630&gt;0,I630="Y"),(G630*H630)+$M$10,IF(AND(F630&gt;0,I630="N"),(G630*H630),H630))))))))</f>
        <v/>
      </c>
      <c r="K630" s="132">
        <f>J630</f>
        <v/>
      </c>
      <c r="L630" s="148" t="n"/>
      <c r="M630" s="148" t="n"/>
      <c r="N630" s="148" t="n"/>
      <c r="O630" s="87" t="n"/>
      <c r="P630" s="81" t="n"/>
      <c r="Q630" s="81" t="n"/>
      <c r="R630" s="81" t="n"/>
      <c r="S630" s="81" t="n"/>
      <c r="T630" s="136">
        <f>IF(AND(E630&gt;0,U630=0),1,"")</f>
        <v/>
      </c>
      <c r="U630" s="136">
        <f>SUM(X630:AR630)</f>
        <v/>
      </c>
      <c r="V630" s="136">
        <f>IF(E630=$Q$16,0,SUM(X630:AI630))</f>
        <v/>
      </c>
      <c r="W630" s="136">
        <f>SUM(AK630:AR630)</f>
        <v/>
      </c>
      <c r="X630" s="136">
        <f>IF(E630=$X$6,1,"")</f>
        <v/>
      </c>
      <c r="Y630" s="136">
        <f>IF(E630=$Y$6,1,"")</f>
        <v/>
      </c>
      <c r="Z630" s="136">
        <f>IF(E630=$Z$6,1,"")</f>
        <v/>
      </c>
      <c r="AA630" s="136">
        <f>IF(E630=$AA$6,1,"")</f>
        <v/>
      </c>
      <c r="AB630" s="136">
        <f>IF(E630=$AB$6,1,"")</f>
        <v/>
      </c>
      <c r="AC630" s="136">
        <f>IF(E630=$AC$6,1,"")</f>
        <v/>
      </c>
      <c r="AD630" s="136">
        <f>IF(E630=$AD$6,1,"")</f>
        <v/>
      </c>
      <c r="AE630" s="136">
        <f>IF(E630=$AE$6,1,"")</f>
        <v/>
      </c>
      <c r="AF630" s="136">
        <f>IF(E630=$AF$6,1,"")</f>
        <v/>
      </c>
      <c r="AG630" s="136">
        <f>IF(E630=$AG$6,1,"")</f>
        <v/>
      </c>
      <c r="AH630" s="136">
        <f>IF(E630=$AH$6,1,"")</f>
        <v/>
      </c>
      <c r="AI630" s="136">
        <f>IF(E630=$AI$6,1,"")</f>
        <v/>
      </c>
      <c r="AJ630" s="136">
        <f>IF(E630=$AJ$6,1,"")</f>
        <v/>
      </c>
      <c r="AK630" s="81">
        <f>IF(E630=$AK$6,1,"")</f>
        <v/>
      </c>
      <c r="AL630" s="81">
        <f>IF(E630=$AL$6,1,"")</f>
        <v/>
      </c>
      <c r="AM630" s="81">
        <f>IF(E630=$AM$6,1,"")</f>
        <v/>
      </c>
      <c r="AN630" s="81">
        <f>IF(E630=$AN$6,1,"")</f>
        <v/>
      </c>
      <c r="AO630" s="81">
        <f>IF(E630=$AO$6,1,"")</f>
        <v/>
      </c>
      <c r="AP630" s="81">
        <f>IF(E630=$AP$6,1,"")</f>
        <v/>
      </c>
      <c r="AQ630" s="81">
        <f>IF(E630=$AQ$6,1,"")</f>
        <v/>
      </c>
      <c r="AR630" s="81">
        <f>IF(E630=$AR$6,1,"")</f>
        <v/>
      </c>
      <c r="AS630" s="81" t="n"/>
    </row>
    <row r="631" ht="15.75" customHeight="1" s="80">
      <c r="A631" s="157" t="n"/>
      <c r="B631" s="124" t="n"/>
      <c r="C631" s="125" t="n"/>
      <c r="D631" s="126" t="n"/>
      <c r="E631" s="127" t="n"/>
      <c r="F631" s="128" t="n"/>
      <c r="G631" s="129">
        <f>IF(F631="","",ROUND(F631/60,2))</f>
        <v/>
      </c>
      <c r="H631" s="130" t="n"/>
      <c r="I631" s="131" t="n"/>
      <c r="J631" s="131">
        <f>IF(COUNTIF(B631:E631,"*")=0,"",IF(T631=1,"Invalid Service",IF(AND(V631=1,F631=""),"Add Session Mins",IF(AND(E631&gt;0,H631="",T631=""),"Enter Contract Rate",IF(AND(E631="IEP mtg, prep, rept",F631&gt;0),(G631*H631),IF(AND(E631&gt;0,F631&gt;0,H631&gt;0,I631=""),"Enter Travel",IF(AND(F631&gt;0,I631="Y"),(G631*H631)+$M$10,IF(AND(F631&gt;0,I631="N"),(G631*H631),H631))))))))</f>
        <v/>
      </c>
      <c r="K631" s="132">
        <f>J631</f>
        <v/>
      </c>
      <c r="L631" s="148" t="n"/>
      <c r="M631" s="148" t="n"/>
      <c r="N631" s="148" t="n"/>
      <c r="O631" s="87" t="n"/>
      <c r="P631" s="81" t="n"/>
      <c r="Q631" s="81" t="n"/>
      <c r="R631" s="81" t="n"/>
      <c r="S631" s="81" t="n"/>
      <c r="T631" s="136">
        <f>IF(AND(E631&gt;0,U631=0),1,"")</f>
        <v/>
      </c>
      <c r="U631" s="136">
        <f>SUM(X631:AR631)</f>
        <v/>
      </c>
      <c r="V631" s="136">
        <f>IF(E631=$Q$16,0,SUM(X631:AI631))</f>
        <v/>
      </c>
      <c r="W631" s="136">
        <f>SUM(AK631:AR631)</f>
        <v/>
      </c>
      <c r="X631" s="136">
        <f>IF(E631=$X$6,1,"")</f>
        <v/>
      </c>
      <c r="Y631" s="136">
        <f>IF(E631=$Y$6,1,"")</f>
        <v/>
      </c>
      <c r="Z631" s="136">
        <f>IF(E631=$Z$6,1,"")</f>
        <v/>
      </c>
      <c r="AA631" s="136">
        <f>IF(E631=$AA$6,1,"")</f>
        <v/>
      </c>
      <c r="AB631" s="136">
        <f>IF(E631=$AB$6,1,"")</f>
        <v/>
      </c>
      <c r="AC631" s="136">
        <f>IF(E631=$AC$6,1,"")</f>
        <v/>
      </c>
      <c r="AD631" s="136">
        <f>IF(E631=$AD$6,1,"")</f>
        <v/>
      </c>
      <c r="AE631" s="136">
        <f>IF(E631=$AE$6,1,"")</f>
        <v/>
      </c>
      <c r="AF631" s="136">
        <f>IF(E631=$AF$6,1,"")</f>
        <v/>
      </c>
      <c r="AG631" s="136">
        <f>IF(E631=$AG$6,1,"")</f>
        <v/>
      </c>
      <c r="AH631" s="136">
        <f>IF(E631=$AH$6,1,"")</f>
        <v/>
      </c>
      <c r="AI631" s="136">
        <f>IF(E631=$AI$6,1,"")</f>
        <v/>
      </c>
      <c r="AJ631" s="136">
        <f>IF(E631=$AJ$6,1,"")</f>
        <v/>
      </c>
      <c r="AK631" s="81">
        <f>IF(E631=$AK$6,1,"")</f>
        <v/>
      </c>
      <c r="AL631" s="81">
        <f>IF(E631=$AL$6,1,"")</f>
        <v/>
      </c>
      <c r="AM631" s="81">
        <f>IF(E631=$AM$6,1,"")</f>
        <v/>
      </c>
      <c r="AN631" s="81">
        <f>IF(E631=$AN$6,1,"")</f>
        <v/>
      </c>
      <c r="AO631" s="81">
        <f>IF(E631=$AO$6,1,"")</f>
        <v/>
      </c>
      <c r="AP631" s="81">
        <f>IF(E631=$AP$6,1,"")</f>
        <v/>
      </c>
      <c r="AQ631" s="81">
        <f>IF(E631=$AQ$6,1,"")</f>
        <v/>
      </c>
      <c r="AR631" s="81">
        <f>IF(E631=$AR$6,1,"")</f>
        <v/>
      </c>
      <c r="AS631" s="81" t="n"/>
    </row>
    <row r="632" ht="15.75" customHeight="1" s="80">
      <c r="A632" s="157" t="n"/>
      <c r="B632" s="124" t="n"/>
      <c r="C632" s="125" t="n"/>
      <c r="D632" s="126" t="n"/>
      <c r="E632" s="127" t="n"/>
      <c r="F632" s="128" t="n"/>
      <c r="G632" s="129">
        <f>IF(F632="","",ROUND(F632/60,2))</f>
        <v/>
      </c>
      <c r="H632" s="130" t="n"/>
      <c r="I632" s="131" t="n"/>
      <c r="J632" s="131">
        <f>IF(COUNTIF(B632:E632,"*")=0,"",IF(T632=1,"Invalid Service",IF(AND(V632=1,F632=""),"Add Session Mins",IF(AND(E632&gt;0,H632="",T632=""),"Enter Contract Rate",IF(AND(E632="IEP mtg, prep, rept",F632&gt;0),(G632*H632),IF(AND(E632&gt;0,F632&gt;0,H632&gt;0,I632=""),"Enter Travel",IF(AND(F632&gt;0,I632="Y"),(G632*H632)+$M$10,IF(AND(F632&gt;0,I632="N"),(G632*H632),H632))))))))</f>
        <v/>
      </c>
      <c r="K632" s="132">
        <f>J632</f>
        <v/>
      </c>
      <c r="L632" s="148" t="n"/>
      <c r="M632" s="148" t="n"/>
      <c r="N632" s="148" t="n"/>
      <c r="O632" s="87" t="n"/>
      <c r="P632" s="81" t="n"/>
      <c r="Q632" s="81" t="n"/>
      <c r="R632" s="81" t="n"/>
      <c r="S632" s="81" t="n"/>
      <c r="T632" s="136">
        <f>IF(AND(E632&gt;0,U632=0),1,"")</f>
        <v/>
      </c>
      <c r="U632" s="136">
        <f>SUM(X632:AR632)</f>
        <v/>
      </c>
      <c r="V632" s="136">
        <f>IF(E632=$Q$16,0,SUM(X632:AI632))</f>
        <v/>
      </c>
      <c r="W632" s="136">
        <f>SUM(AK632:AR632)</f>
        <v/>
      </c>
      <c r="X632" s="136">
        <f>IF(E632=$X$6,1,"")</f>
        <v/>
      </c>
      <c r="Y632" s="136">
        <f>IF(E632=$Y$6,1,"")</f>
        <v/>
      </c>
      <c r="Z632" s="136">
        <f>IF(E632=$Z$6,1,"")</f>
        <v/>
      </c>
      <c r="AA632" s="136">
        <f>IF(E632=$AA$6,1,"")</f>
        <v/>
      </c>
      <c r="AB632" s="136">
        <f>IF(E632=$AB$6,1,"")</f>
        <v/>
      </c>
      <c r="AC632" s="136">
        <f>IF(E632=$AC$6,1,"")</f>
        <v/>
      </c>
      <c r="AD632" s="136">
        <f>IF(E632=$AD$6,1,"")</f>
        <v/>
      </c>
      <c r="AE632" s="136">
        <f>IF(E632=$AE$6,1,"")</f>
        <v/>
      </c>
      <c r="AF632" s="136">
        <f>IF(E632=$AF$6,1,"")</f>
        <v/>
      </c>
      <c r="AG632" s="136">
        <f>IF(E632=$AG$6,1,"")</f>
        <v/>
      </c>
      <c r="AH632" s="136">
        <f>IF(E632=$AH$6,1,"")</f>
        <v/>
      </c>
      <c r="AI632" s="136">
        <f>IF(E632=$AI$6,1,"")</f>
        <v/>
      </c>
      <c r="AJ632" s="136">
        <f>IF(E632=$AJ$6,1,"")</f>
        <v/>
      </c>
      <c r="AK632" s="81">
        <f>IF(E632=$AK$6,1,"")</f>
        <v/>
      </c>
      <c r="AL632" s="81">
        <f>IF(E632=$AL$6,1,"")</f>
        <v/>
      </c>
      <c r="AM632" s="81">
        <f>IF(E632=$AM$6,1,"")</f>
        <v/>
      </c>
      <c r="AN632" s="81">
        <f>IF(E632=$AN$6,1,"")</f>
        <v/>
      </c>
      <c r="AO632" s="81">
        <f>IF(E632=$AO$6,1,"")</f>
        <v/>
      </c>
      <c r="AP632" s="81">
        <f>IF(E632=$AP$6,1,"")</f>
        <v/>
      </c>
      <c r="AQ632" s="81">
        <f>IF(E632=$AQ$6,1,"")</f>
        <v/>
      </c>
      <c r="AR632" s="81">
        <f>IF(E632=$AR$6,1,"")</f>
        <v/>
      </c>
      <c r="AS632" s="81" t="n"/>
    </row>
    <row r="633" ht="15.75" customHeight="1" s="80">
      <c r="A633" s="157" t="n"/>
      <c r="B633" s="124" t="n"/>
      <c r="C633" s="125" t="n"/>
      <c r="D633" s="126" t="n"/>
      <c r="E633" s="127" t="n"/>
      <c r="F633" s="128" t="n"/>
      <c r="G633" s="129">
        <f>IF(F633="","",ROUND(F633/60,2))</f>
        <v/>
      </c>
      <c r="H633" s="130" t="n"/>
      <c r="I633" s="131" t="n"/>
      <c r="J633" s="131">
        <f>IF(COUNTIF(B633:E633,"*")=0,"",IF(T633=1,"Invalid Service",IF(AND(V633=1,F633=""),"Add Session Mins",IF(AND(E633&gt;0,H633="",T633=""),"Enter Contract Rate",IF(AND(E633="IEP mtg, prep, rept",F633&gt;0),(G633*H633),IF(AND(E633&gt;0,F633&gt;0,H633&gt;0,I633=""),"Enter Travel",IF(AND(F633&gt;0,I633="Y"),(G633*H633)+$M$10,IF(AND(F633&gt;0,I633="N"),(G633*H633),H633))))))))</f>
        <v/>
      </c>
      <c r="K633" s="132">
        <f>J633</f>
        <v/>
      </c>
      <c r="L633" s="148" t="n"/>
      <c r="M633" s="148" t="n"/>
      <c r="N633" s="148" t="n"/>
      <c r="O633" s="87" t="n"/>
      <c r="P633" s="81" t="n"/>
      <c r="Q633" s="81" t="n"/>
      <c r="R633" s="81" t="n"/>
      <c r="S633" s="81" t="n"/>
      <c r="T633" s="136">
        <f>IF(AND(E633&gt;0,U633=0),1,"")</f>
        <v/>
      </c>
      <c r="U633" s="136">
        <f>SUM(X633:AR633)</f>
        <v/>
      </c>
      <c r="V633" s="136">
        <f>IF(E633=$Q$16,0,SUM(X633:AI633))</f>
        <v/>
      </c>
      <c r="W633" s="136">
        <f>SUM(AK633:AR633)</f>
        <v/>
      </c>
      <c r="X633" s="136">
        <f>IF(E633=$X$6,1,"")</f>
        <v/>
      </c>
      <c r="Y633" s="136">
        <f>IF(E633=$Y$6,1,"")</f>
        <v/>
      </c>
      <c r="Z633" s="136">
        <f>IF(E633=$Z$6,1,"")</f>
        <v/>
      </c>
      <c r="AA633" s="136">
        <f>IF(E633=$AA$6,1,"")</f>
        <v/>
      </c>
      <c r="AB633" s="136">
        <f>IF(E633=$AB$6,1,"")</f>
        <v/>
      </c>
      <c r="AC633" s="136">
        <f>IF(E633=$AC$6,1,"")</f>
        <v/>
      </c>
      <c r="AD633" s="136">
        <f>IF(E633=$AD$6,1,"")</f>
        <v/>
      </c>
      <c r="AE633" s="136">
        <f>IF(E633=$AE$6,1,"")</f>
        <v/>
      </c>
      <c r="AF633" s="136">
        <f>IF(E633=$AF$6,1,"")</f>
        <v/>
      </c>
      <c r="AG633" s="136">
        <f>IF(E633=$AG$6,1,"")</f>
        <v/>
      </c>
      <c r="AH633" s="136">
        <f>IF(E633=$AH$6,1,"")</f>
        <v/>
      </c>
      <c r="AI633" s="136">
        <f>IF(E633=$AI$6,1,"")</f>
        <v/>
      </c>
      <c r="AJ633" s="136">
        <f>IF(E633=$AJ$6,1,"")</f>
        <v/>
      </c>
      <c r="AK633" s="81">
        <f>IF(E633=$AK$6,1,"")</f>
        <v/>
      </c>
      <c r="AL633" s="81">
        <f>IF(E633=$AL$6,1,"")</f>
        <v/>
      </c>
      <c r="AM633" s="81">
        <f>IF(E633=$AM$6,1,"")</f>
        <v/>
      </c>
      <c r="AN633" s="81">
        <f>IF(E633=$AN$6,1,"")</f>
        <v/>
      </c>
      <c r="AO633" s="81">
        <f>IF(E633=$AO$6,1,"")</f>
        <v/>
      </c>
      <c r="AP633" s="81">
        <f>IF(E633=$AP$6,1,"")</f>
        <v/>
      </c>
      <c r="AQ633" s="81">
        <f>IF(E633=$AQ$6,1,"")</f>
        <v/>
      </c>
      <c r="AR633" s="81">
        <f>IF(E633=$AR$6,1,"")</f>
        <v/>
      </c>
      <c r="AS633" s="81" t="n"/>
    </row>
    <row r="634" ht="15.75" customHeight="1" s="80">
      <c r="A634" s="157" t="n"/>
      <c r="B634" s="124" t="n"/>
      <c r="C634" s="125" t="n"/>
      <c r="D634" s="126" t="n"/>
      <c r="E634" s="127" t="n"/>
      <c r="F634" s="128" t="n"/>
      <c r="G634" s="129">
        <f>IF(F634="","",ROUND(F634/60,2))</f>
        <v/>
      </c>
      <c r="H634" s="130" t="n"/>
      <c r="I634" s="131" t="n"/>
      <c r="J634" s="131">
        <f>IF(COUNTIF(B634:E634,"*")=0,"",IF(T634=1,"Invalid Service",IF(AND(V634=1,F634=""),"Add Session Mins",IF(AND(E634&gt;0,H634="",T634=""),"Enter Contract Rate",IF(AND(E634="IEP mtg, prep, rept",F634&gt;0),(G634*H634),IF(AND(E634&gt;0,F634&gt;0,H634&gt;0,I634=""),"Enter Travel",IF(AND(F634&gt;0,I634="Y"),(G634*H634)+$M$10,IF(AND(F634&gt;0,I634="N"),(G634*H634),H634))))))))</f>
        <v/>
      </c>
      <c r="K634" s="132">
        <f>J634</f>
        <v/>
      </c>
      <c r="L634" s="148" t="n"/>
      <c r="M634" s="148" t="n"/>
      <c r="N634" s="148" t="n"/>
      <c r="O634" s="87" t="n"/>
      <c r="P634" s="81" t="n"/>
      <c r="Q634" s="81" t="n"/>
      <c r="R634" s="81" t="n"/>
      <c r="S634" s="81" t="n"/>
      <c r="T634" s="136">
        <f>IF(AND(E634&gt;0,U634=0),1,"")</f>
        <v/>
      </c>
      <c r="U634" s="136">
        <f>SUM(X634:AR634)</f>
        <v/>
      </c>
      <c r="V634" s="136">
        <f>IF(E634=$Q$16,0,SUM(X634:AI634))</f>
        <v/>
      </c>
      <c r="W634" s="136">
        <f>SUM(AK634:AR634)</f>
        <v/>
      </c>
      <c r="X634" s="136">
        <f>IF(E634=$X$6,1,"")</f>
        <v/>
      </c>
      <c r="Y634" s="136">
        <f>IF(E634=$Y$6,1,"")</f>
        <v/>
      </c>
      <c r="Z634" s="136">
        <f>IF(E634=$Z$6,1,"")</f>
        <v/>
      </c>
      <c r="AA634" s="136">
        <f>IF(E634=$AA$6,1,"")</f>
        <v/>
      </c>
      <c r="AB634" s="136">
        <f>IF(E634=$AB$6,1,"")</f>
        <v/>
      </c>
      <c r="AC634" s="136">
        <f>IF(E634=$AC$6,1,"")</f>
        <v/>
      </c>
      <c r="AD634" s="136">
        <f>IF(E634=$AD$6,1,"")</f>
        <v/>
      </c>
      <c r="AE634" s="136">
        <f>IF(E634=$AE$6,1,"")</f>
        <v/>
      </c>
      <c r="AF634" s="136">
        <f>IF(E634=$AF$6,1,"")</f>
        <v/>
      </c>
      <c r="AG634" s="136">
        <f>IF(E634=$AG$6,1,"")</f>
        <v/>
      </c>
      <c r="AH634" s="136">
        <f>IF(E634=$AH$6,1,"")</f>
        <v/>
      </c>
      <c r="AI634" s="136">
        <f>IF(E634=$AI$6,1,"")</f>
        <v/>
      </c>
      <c r="AJ634" s="136">
        <f>IF(E634=$AJ$6,1,"")</f>
        <v/>
      </c>
      <c r="AK634" s="81">
        <f>IF(E634=$AK$6,1,"")</f>
        <v/>
      </c>
      <c r="AL634" s="81">
        <f>IF(E634=$AL$6,1,"")</f>
        <v/>
      </c>
      <c r="AM634" s="81">
        <f>IF(E634=$AM$6,1,"")</f>
        <v/>
      </c>
      <c r="AN634" s="81">
        <f>IF(E634=$AN$6,1,"")</f>
        <v/>
      </c>
      <c r="AO634" s="81">
        <f>IF(E634=$AO$6,1,"")</f>
        <v/>
      </c>
      <c r="AP634" s="81">
        <f>IF(E634=$AP$6,1,"")</f>
        <v/>
      </c>
      <c r="AQ634" s="81">
        <f>IF(E634=$AQ$6,1,"")</f>
        <v/>
      </c>
      <c r="AR634" s="81">
        <f>IF(E634=$AR$6,1,"")</f>
        <v/>
      </c>
      <c r="AS634" s="81" t="n"/>
    </row>
    <row r="635" ht="15.75" customHeight="1" s="80">
      <c r="A635" s="157" t="n"/>
      <c r="B635" s="124" t="n"/>
      <c r="C635" s="125" t="n"/>
      <c r="D635" s="126" t="n"/>
      <c r="E635" s="127" t="n"/>
      <c r="F635" s="128" t="n"/>
      <c r="G635" s="129">
        <f>IF(F635="","",ROUND(F635/60,2))</f>
        <v/>
      </c>
      <c r="H635" s="130" t="n"/>
      <c r="I635" s="131" t="n"/>
      <c r="J635" s="131">
        <f>IF(COUNTIF(B635:E635,"*")=0,"",IF(T635=1,"Invalid Service",IF(AND(V635=1,F635=""),"Add Session Mins",IF(AND(E635&gt;0,H635="",T635=""),"Enter Contract Rate",IF(AND(E635="IEP mtg, prep, rept",F635&gt;0),(G635*H635),IF(AND(E635&gt;0,F635&gt;0,H635&gt;0,I635=""),"Enter Travel",IF(AND(F635&gt;0,I635="Y"),(G635*H635)+$M$10,IF(AND(F635&gt;0,I635="N"),(G635*H635),H635))))))))</f>
        <v/>
      </c>
      <c r="K635" s="132">
        <f>J635</f>
        <v/>
      </c>
      <c r="L635" s="148" t="n"/>
      <c r="M635" s="148" t="n"/>
      <c r="N635" s="148" t="n"/>
      <c r="O635" s="87" t="n"/>
      <c r="P635" s="81" t="n"/>
      <c r="Q635" s="81" t="n"/>
      <c r="R635" s="81" t="n"/>
      <c r="S635" s="81" t="n"/>
      <c r="T635" s="136">
        <f>IF(AND(E635&gt;0,U635=0),1,"")</f>
        <v/>
      </c>
      <c r="U635" s="136">
        <f>SUM(X635:AR635)</f>
        <v/>
      </c>
      <c r="V635" s="136">
        <f>IF(E635=$Q$16,0,SUM(X635:AI635))</f>
        <v/>
      </c>
      <c r="W635" s="136">
        <f>SUM(AK635:AR635)</f>
        <v/>
      </c>
      <c r="X635" s="136">
        <f>IF(E635=$X$6,1,"")</f>
        <v/>
      </c>
      <c r="Y635" s="136">
        <f>IF(E635=$Y$6,1,"")</f>
        <v/>
      </c>
      <c r="Z635" s="136">
        <f>IF(E635=$Z$6,1,"")</f>
        <v/>
      </c>
      <c r="AA635" s="136">
        <f>IF(E635=$AA$6,1,"")</f>
        <v/>
      </c>
      <c r="AB635" s="136">
        <f>IF(E635=$AB$6,1,"")</f>
        <v/>
      </c>
      <c r="AC635" s="136">
        <f>IF(E635=$AC$6,1,"")</f>
        <v/>
      </c>
      <c r="AD635" s="136">
        <f>IF(E635=$AD$6,1,"")</f>
        <v/>
      </c>
      <c r="AE635" s="136">
        <f>IF(E635=$AE$6,1,"")</f>
        <v/>
      </c>
      <c r="AF635" s="136">
        <f>IF(E635=$AF$6,1,"")</f>
        <v/>
      </c>
      <c r="AG635" s="136">
        <f>IF(E635=$AG$6,1,"")</f>
        <v/>
      </c>
      <c r="AH635" s="136">
        <f>IF(E635=$AH$6,1,"")</f>
        <v/>
      </c>
      <c r="AI635" s="136">
        <f>IF(E635=$AI$6,1,"")</f>
        <v/>
      </c>
      <c r="AJ635" s="136">
        <f>IF(E635=$AJ$6,1,"")</f>
        <v/>
      </c>
      <c r="AK635" s="81">
        <f>IF(E635=$AK$6,1,"")</f>
        <v/>
      </c>
      <c r="AL635" s="81">
        <f>IF(E635=$AL$6,1,"")</f>
        <v/>
      </c>
      <c r="AM635" s="81">
        <f>IF(E635=$AM$6,1,"")</f>
        <v/>
      </c>
      <c r="AN635" s="81">
        <f>IF(E635=$AN$6,1,"")</f>
        <v/>
      </c>
      <c r="AO635" s="81">
        <f>IF(E635=$AO$6,1,"")</f>
        <v/>
      </c>
      <c r="AP635" s="81">
        <f>IF(E635=$AP$6,1,"")</f>
        <v/>
      </c>
      <c r="AQ635" s="81">
        <f>IF(E635=$AQ$6,1,"")</f>
        <v/>
      </c>
      <c r="AR635" s="81">
        <f>IF(E635=$AR$6,1,"")</f>
        <v/>
      </c>
      <c r="AS635" s="81" t="n"/>
    </row>
    <row r="636" ht="15.75" customHeight="1" s="80">
      <c r="A636" s="157" t="n"/>
      <c r="B636" s="124" t="n"/>
      <c r="C636" s="125" t="n"/>
      <c r="D636" s="126" t="n"/>
      <c r="E636" s="127" t="n"/>
      <c r="F636" s="128" t="n"/>
      <c r="G636" s="129">
        <f>IF(F636="","",ROUND(F636/60,2))</f>
        <v/>
      </c>
      <c r="H636" s="130" t="n"/>
      <c r="I636" s="131" t="n"/>
      <c r="J636" s="131">
        <f>IF(COUNTIF(B636:E636,"*")=0,"",IF(T636=1,"Invalid Service",IF(AND(V636=1,F636=""),"Add Session Mins",IF(AND(E636&gt;0,H636="",T636=""),"Enter Contract Rate",IF(AND(E636="IEP mtg, prep, rept",F636&gt;0),(G636*H636),IF(AND(E636&gt;0,F636&gt;0,H636&gt;0,I636=""),"Enter Travel",IF(AND(F636&gt;0,I636="Y"),(G636*H636)+$M$10,IF(AND(F636&gt;0,I636="N"),(G636*H636),H636))))))))</f>
        <v/>
      </c>
      <c r="K636" s="132">
        <f>J636</f>
        <v/>
      </c>
      <c r="L636" s="148" t="n"/>
      <c r="M636" s="148" t="n"/>
      <c r="N636" s="148" t="n"/>
      <c r="O636" s="87" t="n"/>
      <c r="P636" s="81" t="n"/>
      <c r="Q636" s="81" t="n"/>
      <c r="R636" s="81" t="n"/>
      <c r="S636" s="81" t="n"/>
      <c r="T636" s="136">
        <f>IF(AND(E636&gt;0,U636=0),1,"")</f>
        <v/>
      </c>
      <c r="U636" s="136">
        <f>SUM(X636:AR636)</f>
        <v/>
      </c>
      <c r="V636" s="136">
        <f>IF(E636=$Q$16,0,SUM(X636:AI636))</f>
        <v/>
      </c>
      <c r="W636" s="136">
        <f>SUM(AK636:AR636)</f>
        <v/>
      </c>
      <c r="X636" s="136">
        <f>IF(E636=$X$6,1,"")</f>
        <v/>
      </c>
      <c r="Y636" s="136">
        <f>IF(E636=$Y$6,1,"")</f>
        <v/>
      </c>
      <c r="Z636" s="136">
        <f>IF(E636=$Z$6,1,"")</f>
        <v/>
      </c>
      <c r="AA636" s="136">
        <f>IF(E636=$AA$6,1,"")</f>
        <v/>
      </c>
      <c r="AB636" s="136">
        <f>IF(E636=$AB$6,1,"")</f>
        <v/>
      </c>
      <c r="AC636" s="136">
        <f>IF(E636=$AC$6,1,"")</f>
        <v/>
      </c>
      <c r="AD636" s="136">
        <f>IF(E636=$AD$6,1,"")</f>
        <v/>
      </c>
      <c r="AE636" s="136">
        <f>IF(E636=$AE$6,1,"")</f>
        <v/>
      </c>
      <c r="AF636" s="136">
        <f>IF(E636=$AF$6,1,"")</f>
        <v/>
      </c>
      <c r="AG636" s="136">
        <f>IF(E636=$AG$6,1,"")</f>
        <v/>
      </c>
      <c r="AH636" s="136">
        <f>IF(E636=$AH$6,1,"")</f>
        <v/>
      </c>
      <c r="AI636" s="136">
        <f>IF(E636=$AI$6,1,"")</f>
        <v/>
      </c>
      <c r="AJ636" s="136">
        <f>IF(E636=$AJ$6,1,"")</f>
        <v/>
      </c>
      <c r="AK636" s="81">
        <f>IF(E636=$AK$6,1,"")</f>
        <v/>
      </c>
      <c r="AL636" s="81">
        <f>IF(E636=$AL$6,1,"")</f>
        <v/>
      </c>
      <c r="AM636" s="81">
        <f>IF(E636=$AM$6,1,"")</f>
        <v/>
      </c>
      <c r="AN636" s="81">
        <f>IF(E636=$AN$6,1,"")</f>
        <v/>
      </c>
      <c r="AO636" s="81">
        <f>IF(E636=$AO$6,1,"")</f>
        <v/>
      </c>
      <c r="AP636" s="81">
        <f>IF(E636=$AP$6,1,"")</f>
        <v/>
      </c>
      <c r="AQ636" s="81">
        <f>IF(E636=$AQ$6,1,"")</f>
        <v/>
      </c>
      <c r="AR636" s="81">
        <f>IF(E636=$AR$6,1,"")</f>
        <v/>
      </c>
      <c r="AS636" s="81" t="n"/>
    </row>
    <row r="637" ht="15.75" customHeight="1" s="80">
      <c r="A637" s="157" t="n"/>
      <c r="B637" s="124" t="n"/>
      <c r="C637" s="125" t="n"/>
      <c r="D637" s="126" t="n"/>
      <c r="E637" s="127" t="n"/>
      <c r="F637" s="128" t="n"/>
      <c r="G637" s="129">
        <f>IF(F637="","",ROUND(F637/60,2))</f>
        <v/>
      </c>
      <c r="H637" s="130" t="n"/>
      <c r="I637" s="131" t="n"/>
      <c r="J637" s="131">
        <f>IF(COUNTIF(B637:E637,"*")=0,"",IF(T637=1,"Invalid Service",IF(AND(V637=1,F637=""),"Add Session Mins",IF(AND(E637&gt;0,H637="",T637=""),"Enter Contract Rate",IF(AND(E637="IEP mtg, prep, rept",F637&gt;0),(G637*H637),IF(AND(E637&gt;0,F637&gt;0,H637&gt;0,I637=""),"Enter Travel",IF(AND(F637&gt;0,I637="Y"),(G637*H637)+$M$10,IF(AND(F637&gt;0,I637="N"),(G637*H637),H637))))))))</f>
        <v/>
      </c>
      <c r="K637" s="132">
        <f>J637</f>
        <v/>
      </c>
      <c r="L637" s="148" t="n"/>
      <c r="M637" s="148" t="n"/>
      <c r="N637" s="148" t="n"/>
      <c r="O637" s="87" t="n"/>
      <c r="P637" s="81" t="n"/>
      <c r="Q637" s="81" t="n"/>
      <c r="R637" s="81" t="n"/>
      <c r="S637" s="81" t="n"/>
      <c r="T637" s="136">
        <f>IF(AND(E637&gt;0,U637=0),1,"")</f>
        <v/>
      </c>
      <c r="U637" s="136">
        <f>SUM(X637:AR637)</f>
        <v/>
      </c>
      <c r="V637" s="136">
        <f>IF(E637=$Q$16,0,SUM(X637:AI637))</f>
        <v/>
      </c>
      <c r="W637" s="136">
        <f>SUM(AK637:AR637)</f>
        <v/>
      </c>
      <c r="X637" s="136">
        <f>IF(E637=$X$6,1,"")</f>
        <v/>
      </c>
      <c r="Y637" s="136">
        <f>IF(E637=$Y$6,1,"")</f>
        <v/>
      </c>
      <c r="Z637" s="136">
        <f>IF(E637=$Z$6,1,"")</f>
        <v/>
      </c>
      <c r="AA637" s="136">
        <f>IF(E637=$AA$6,1,"")</f>
        <v/>
      </c>
      <c r="AB637" s="136">
        <f>IF(E637=$AB$6,1,"")</f>
        <v/>
      </c>
      <c r="AC637" s="136">
        <f>IF(E637=$AC$6,1,"")</f>
        <v/>
      </c>
      <c r="AD637" s="136">
        <f>IF(E637=$AD$6,1,"")</f>
        <v/>
      </c>
      <c r="AE637" s="136">
        <f>IF(E637=$AE$6,1,"")</f>
        <v/>
      </c>
      <c r="AF637" s="136">
        <f>IF(E637=$AF$6,1,"")</f>
        <v/>
      </c>
      <c r="AG637" s="136">
        <f>IF(E637=$AG$6,1,"")</f>
        <v/>
      </c>
      <c r="AH637" s="136">
        <f>IF(E637=$AH$6,1,"")</f>
        <v/>
      </c>
      <c r="AI637" s="136">
        <f>IF(E637=$AI$6,1,"")</f>
        <v/>
      </c>
      <c r="AJ637" s="136">
        <f>IF(E637=$AJ$6,1,"")</f>
        <v/>
      </c>
      <c r="AK637" s="81">
        <f>IF(E637=$AK$6,1,"")</f>
        <v/>
      </c>
      <c r="AL637" s="81">
        <f>IF(E637=$AL$6,1,"")</f>
        <v/>
      </c>
      <c r="AM637" s="81">
        <f>IF(E637=$AM$6,1,"")</f>
        <v/>
      </c>
      <c r="AN637" s="81">
        <f>IF(E637=$AN$6,1,"")</f>
        <v/>
      </c>
      <c r="AO637" s="81">
        <f>IF(E637=$AO$6,1,"")</f>
        <v/>
      </c>
      <c r="AP637" s="81">
        <f>IF(E637=$AP$6,1,"")</f>
        <v/>
      </c>
      <c r="AQ637" s="81">
        <f>IF(E637=$AQ$6,1,"")</f>
        <v/>
      </c>
      <c r="AR637" s="81">
        <f>IF(E637=$AR$6,1,"")</f>
        <v/>
      </c>
      <c r="AS637" s="81" t="n"/>
    </row>
    <row r="638" ht="15.75" customHeight="1" s="80">
      <c r="A638" s="157" t="n"/>
      <c r="B638" s="124" t="n"/>
      <c r="C638" s="125" t="n"/>
      <c r="D638" s="126" t="n"/>
      <c r="E638" s="127" t="n"/>
      <c r="F638" s="128" t="n"/>
      <c r="G638" s="129">
        <f>IF(F638="","",ROUND(F638/60,2))</f>
        <v/>
      </c>
      <c r="H638" s="130" t="n"/>
      <c r="I638" s="131" t="n"/>
      <c r="J638" s="131">
        <f>IF(COUNTIF(B638:E638,"*")=0,"",IF(T638=1,"Invalid Service",IF(AND(V638=1,F638=""),"Add Session Mins",IF(AND(E638&gt;0,H638="",T638=""),"Enter Contract Rate",IF(AND(E638="IEP mtg, prep, rept",F638&gt;0),(G638*H638),IF(AND(E638&gt;0,F638&gt;0,H638&gt;0,I638=""),"Enter Travel",IF(AND(F638&gt;0,I638="Y"),(G638*H638)+$M$10,IF(AND(F638&gt;0,I638="N"),(G638*H638),H638))))))))</f>
        <v/>
      </c>
      <c r="K638" s="132">
        <f>J638</f>
        <v/>
      </c>
      <c r="L638" s="148" t="n"/>
      <c r="M638" s="148" t="n"/>
      <c r="N638" s="148" t="n"/>
      <c r="O638" s="87" t="n"/>
      <c r="P638" s="81" t="n"/>
      <c r="Q638" s="81" t="n"/>
      <c r="R638" s="81" t="n"/>
      <c r="S638" s="81" t="n"/>
      <c r="T638" s="136">
        <f>IF(AND(E638&gt;0,U638=0),1,"")</f>
        <v/>
      </c>
      <c r="U638" s="136">
        <f>SUM(X638:AR638)</f>
        <v/>
      </c>
      <c r="V638" s="136">
        <f>IF(E638=$Q$16,0,SUM(X638:AI638))</f>
        <v/>
      </c>
      <c r="W638" s="136">
        <f>SUM(AK638:AR638)</f>
        <v/>
      </c>
      <c r="X638" s="136">
        <f>IF(E638=$X$6,1,"")</f>
        <v/>
      </c>
      <c r="Y638" s="136">
        <f>IF(E638=$Y$6,1,"")</f>
        <v/>
      </c>
      <c r="Z638" s="136">
        <f>IF(E638=$Z$6,1,"")</f>
        <v/>
      </c>
      <c r="AA638" s="136">
        <f>IF(E638=$AA$6,1,"")</f>
        <v/>
      </c>
      <c r="AB638" s="136">
        <f>IF(E638=$AB$6,1,"")</f>
        <v/>
      </c>
      <c r="AC638" s="136">
        <f>IF(E638=$AC$6,1,"")</f>
        <v/>
      </c>
      <c r="AD638" s="136">
        <f>IF(E638=$AD$6,1,"")</f>
        <v/>
      </c>
      <c r="AE638" s="136">
        <f>IF(E638=$AE$6,1,"")</f>
        <v/>
      </c>
      <c r="AF638" s="136">
        <f>IF(E638=$AF$6,1,"")</f>
        <v/>
      </c>
      <c r="AG638" s="136">
        <f>IF(E638=$AG$6,1,"")</f>
        <v/>
      </c>
      <c r="AH638" s="136">
        <f>IF(E638=$AH$6,1,"")</f>
        <v/>
      </c>
      <c r="AI638" s="136">
        <f>IF(E638=$AI$6,1,"")</f>
        <v/>
      </c>
      <c r="AJ638" s="136">
        <f>IF(E638=$AJ$6,1,"")</f>
        <v/>
      </c>
      <c r="AK638" s="81">
        <f>IF(E638=$AK$6,1,"")</f>
        <v/>
      </c>
      <c r="AL638" s="81">
        <f>IF(E638=$AL$6,1,"")</f>
        <v/>
      </c>
      <c r="AM638" s="81">
        <f>IF(E638=$AM$6,1,"")</f>
        <v/>
      </c>
      <c r="AN638" s="81">
        <f>IF(E638=$AN$6,1,"")</f>
        <v/>
      </c>
      <c r="AO638" s="81">
        <f>IF(E638=$AO$6,1,"")</f>
        <v/>
      </c>
      <c r="AP638" s="81">
        <f>IF(E638=$AP$6,1,"")</f>
        <v/>
      </c>
      <c r="AQ638" s="81">
        <f>IF(E638=$AQ$6,1,"")</f>
        <v/>
      </c>
      <c r="AR638" s="81">
        <f>IF(E638=$AR$6,1,"")</f>
        <v/>
      </c>
      <c r="AS638" s="81" t="n"/>
    </row>
    <row r="639" ht="15.75" customHeight="1" s="80">
      <c r="A639" s="157" t="n"/>
      <c r="B639" s="124" t="n"/>
      <c r="C639" s="125" t="n"/>
      <c r="D639" s="126" t="n"/>
      <c r="E639" s="127" t="n"/>
      <c r="F639" s="128" t="n"/>
      <c r="G639" s="129">
        <f>IF(F639="","",ROUND(F639/60,2))</f>
        <v/>
      </c>
      <c r="H639" s="130" t="n"/>
      <c r="I639" s="131" t="n"/>
      <c r="J639" s="131">
        <f>IF(COUNTIF(B639:E639,"*")=0,"",IF(T639=1,"Invalid Service",IF(AND(V639=1,F639=""),"Add Session Mins",IF(AND(E639&gt;0,H639="",T639=""),"Enter Contract Rate",IF(AND(E639="IEP mtg, prep, rept",F639&gt;0),(G639*H639),IF(AND(E639&gt;0,F639&gt;0,H639&gt;0,I639=""),"Enter Travel",IF(AND(F639&gt;0,I639="Y"),(G639*H639)+$M$10,IF(AND(F639&gt;0,I639="N"),(G639*H639),H639))))))))</f>
        <v/>
      </c>
      <c r="K639" s="132">
        <f>J639</f>
        <v/>
      </c>
      <c r="L639" s="148" t="n"/>
      <c r="M639" s="148" t="n"/>
      <c r="N639" s="148" t="n"/>
      <c r="O639" s="87" t="n"/>
      <c r="P639" s="81" t="n"/>
      <c r="Q639" s="81" t="n"/>
      <c r="R639" s="81" t="n"/>
      <c r="S639" s="81" t="n"/>
      <c r="T639" s="136">
        <f>IF(AND(E639&gt;0,U639=0),1,"")</f>
        <v/>
      </c>
      <c r="U639" s="136">
        <f>SUM(X639:AR639)</f>
        <v/>
      </c>
      <c r="V639" s="136">
        <f>IF(E639=$Q$16,0,SUM(X639:AI639))</f>
        <v/>
      </c>
      <c r="W639" s="136">
        <f>SUM(AK639:AR639)</f>
        <v/>
      </c>
      <c r="X639" s="136">
        <f>IF(E639=$X$6,1,"")</f>
        <v/>
      </c>
      <c r="Y639" s="136">
        <f>IF(E639=$Y$6,1,"")</f>
        <v/>
      </c>
      <c r="Z639" s="136">
        <f>IF(E639=$Z$6,1,"")</f>
        <v/>
      </c>
      <c r="AA639" s="136">
        <f>IF(E639=$AA$6,1,"")</f>
        <v/>
      </c>
      <c r="AB639" s="136">
        <f>IF(E639=$AB$6,1,"")</f>
        <v/>
      </c>
      <c r="AC639" s="136">
        <f>IF(E639=$AC$6,1,"")</f>
        <v/>
      </c>
      <c r="AD639" s="136">
        <f>IF(E639=$AD$6,1,"")</f>
        <v/>
      </c>
      <c r="AE639" s="136">
        <f>IF(E639=$AE$6,1,"")</f>
        <v/>
      </c>
      <c r="AF639" s="136">
        <f>IF(E639=$AF$6,1,"")</f>
        <v/>
      </c>
      <c r="AG639" s="136">
        <f>IF(E639=$AG$6,1,"")</f>
        <v/>
      </c>
      <c r="AH639" s="136">
        <f>IF(E639=$AH$6,1,"")</f>
        <v/>
      </c>
      <c r="AI639" s="136">
        <f>IF(E639=$AI$6,1,"")</f>
        <v/>
      </c>
      <c r="AJ639" s="136">
        <f>IF(E639=$AJ$6,1,"")</f>
        <v/>
      </c>
      <c r="AK639" s="81">
        <f>IF(E639=$AK$6,1,"")</f>
        <v/>
      </c>
      <c r="AL639" s="81">
        <f>IF(E639=$AL$6,1,"")</f>
        <v/>
      </c>
      <c r="AM639" s="81">
        <f>IF(E639=$AM$6,1,"")</f>
        <v/>
      </c>
      <c r="AN639" s="81">
        <f>IF(E639=$AN$6,1,"")</f>
        <v/>
      </c>
      <c r="AO639" s="81">
        <f>IF(E639=$AO$6,1,"")</f>
        <v/>
      </c>
      <c r="AP639" s="81">
        <f>IF(E639=$AP$6,1,"")</f>
        <v/>
      </c>
      <c r="AQ639" s="81">
        <f>IF(E639=$AQ$6,1,"")</f>
        <v/>
      </c>
      <c r="AR639" s="81">
        <f>IF(E639=$AR$6,1,"")</f>
        <v/>
      </c>
      <c r="AS639" s="81" t="n"/>
    </row>
    <row r="640" ht="15.75" customHeight="1" s="80">
      <c r="A640" s="157" t="n"/>
      <c r="B640" s="124" t="n"/>
      <c r="C640" s="125" t="n"/>
      <c r="D640" s="126" t="n"/>
      <c r="E640" s="127" t="n"/>
      <c r="F640" s="128" t="n"/>
      <c r="G640" s="129">
        <f>IF(F640="","",ROUND(F640/60,2))</f>
        <v/>
      </c>
      <c r="H640" s="130" t="n"/>
      <c r="I640" s="131" t="n"/>
      <c r="J640" s="131">
        <f>IF(COUNTIF(B640:E640,"*")=0,"",IF(T640=1,"Invalid Service",IF(AND(V640=1,F640=""),"Add Session Mins",IF(AND(E640&gt;0,H640="",T640=""),"Enter Contract Rate",IF(AND(E640="IEP mtg, prep, rept",F640&gt;0),(G640*H640),IF(AND(E640&gt;0,F640&gt;0,H640&gt;0,I640=""),"Enter Travel",IF(AND(F640&gt;0,I640="Y"),(G640*H640)+$M$10,IF(AND(F640&gt;0,I640="N"),(G640*H640),H640))))))))</f>
        <v/>
      </c>
      <c r="K640" s="132">
        <f>J640</f>
        <v/>
      </c>
      <c r="L640" s="148" t="n"/>
      <c r="M640" s="148" t="n"/>
      <c r="N640" s="148" t="n"/>
      <c r="O640" s="87" t="n"/>
      <c r="P640" s="81" t="n"/>
      <c r="Q640" s="81" t="n"/>
      <c r="R640" s="81" t="n"/>
      <c r="S640" s="81" t="n"/>
      <c r="T640" s="136">
        <f>IF(AND(E640&gt;0,U640=0),1,"")</f>
        <v/>
      </c>
      <c r="U640" s="136">
        <f>SUM(X640:AR640)</f>
        <v/>
      </c>
      <c r="V640" s="136">
        <f>IF(E640=$Q$16,0,SUM(X640:AI640))</f>
        <v/>
      </c>
      <c r="W640" s="136">
        <f>SUM(AK640:AR640)</f>
        <v/>
      </c>
      <c r="X640" s="136">
        <f>IF(E640=$X$6,1,"")</f>
        <v/>
      </c>
      <c r="Y640" s="136">
        <f>IF(E640=$Y$6,1,"")</f>
        <v/>
      </c>
      <c r="Z640" s="136">
        <f>IF(E640=$Z$6,1,"")</f>
        <v/>
      </c>
      <c r="AA640" s="136">
        <f>IF(E640=$AA$6,1,"")</f>
        <v/>
      </c>
      <c r="AB640" s="136">
        <f>IF(E640=$AB$6,1,"")</f>
        <v/>
      </c>
      <c r="AC640" s="136">
        <f>IF(E640=$AC$6,1,"")</f>
        <v/>
      </c>
      <c r="AD640" s="136">
        <f>IF(E640=$AD$6,1,"")</f>
        <v/>
      </c>
      <c r="AE640" s="136">
        <f>IF(E640=$AE$6,1,"")</f>
        <v/>
      </c>
      <c r="AF640" s="136">
        <f>IF(E640=$AF$6,1,"")</f>
        <v/>
      </c>
      <c r="AG640" s="136">
        <f>IF(E640=$AG$6,1,"")</f>
        <v/>
      </c>
      <c r="AH640" s="136">
        <f>IF(E640=$AH$6,1,"")</f>
        <v/>
      </c>
      <c r="AI640" s="136">
        <f>IF(E640=$AI$6,1,"")</f>
        <v/>
      </c>
      <c r="AJ640" s="136">
        <f>IF(E640=$AJ$6,1,"")</f>
        <v/>
      </c>
      <c r="AK640" s="81">
        <f>IF(E640=$AK$6,1,"")</f>
        <v/>
      </c>
      <c r="AL640" s="81">
        <f>IF(E640=$AL$6,1,"")</f>
        <v/>
      </c>
      <c r="AM640" s="81">
        <f>IF(E640=$AM$6,1,"")</f>
        <v/>
      </c>
      <c r="AN640" s="81">
        <f>IF(E640=$AN$6,1,"")</f>
        <v/>
      </c>
      <c r="AO640" s="81">
        <f>IF(E640=$AO$6,1,"")</f>
        <v/>
      </c>
      <c r="AP640" s="81">
        <f>IF(E640=$AP$6,1,"")</f>
        <v/>
      </c>
      <c r="AQ640" s="81">
        <f>IF(E640=$AQ$6,1,"")</f>
        <v/>
      </c>
      <c r="AR640" s="81">
        <f>IF(E640=$AR$6,1,"")</f>
        <v/>
      </c>
      <c r="AS640" s="81" t="n"/>
    </row>
    <row r="641" ht="15.75" customHeight="1" s="80">
      <c r="A641" s="157" t="n"/>
      <c r="B641" s="124" t="n"/>
      <c r="C641" s="125" t="n"/>
      <c r="D641" s="126" t="n"/>
      <c r="E641" s="127" t="n"/>
      <c r="F641" s="128" t="n"/>
      <c r="G641" s="129">
        <f>IF(F641="","",ROUND(F641/60,2))</f>
        <v/>
      </c>
      <c r="H641" s="130" t="n"/>
      <c r="I641" s="131" t="n"/>
      <c r="J641" s="131">
        <f>IF(COUNTIF(B641:E641,"*")=0,"",IF(T641=1,"Invalid Service",IF(AND(V641=1,F641=""),"Add Session Mins",IF(AND(E641&gt;0,H641="",T641=""),"Enter Contract Rate",IF(AND(E641="IEP mtg, prep, rept",F641&gt;0),(G641*H641),IF(AND(E641&gt;0,F641&gt;0,H641&gt;0,I641=""),"Enter Travel",IF(AND(F641&gt;0,I641="Y"),(G641*H641)+$M$10,IF(AND(F641&gt;0,I641="N"),(G641*H641),H641))))))))</f>
        <v/>
      </c>
      <c r="K641" s="132">
        <f>J641</f>
        <v/>
      </c>
      <c r="L641" s="148" t="n"/>
      <c r="M641" s="148" t="n"/>
      <c r="N641" s="148" t="n"/>
      <c r="O641" s="87" t="n"/>
      <c r="P641" s="81" t="n"/>
      <c r="Q641" s="81" t="n"/>
      <c r="R641" s="81" t="n"/>
      <c r="S641" s="81" t="n"/>
      <c r="T641" s="136">
        <f>IF(AND(E641&gt;0,U641=0),1,"")</f>
        <v/>
      </c>
      <c r="U641" s="136">
        <f>SUM(X641:AR641)</f>
        <v/>
      </c>
      <c r="V641" s="136">
        <f>IF(E641=$Q$16,0,SUM(X641:AI641))</f>
        <v/>
      </c>
      <c r="W641" s="136">
        <f>SUM(AK641:AR641)</f>
        <v/>
      </c>
      <c r="X641" s="136">
        <f>IF(E641=$X$6,1,"")</f>
        <v/>
      </c>
      <c r="Y641" s="136">
        <f>IF(E641=$Y$6,1,"")</f>
        <v/>
      </c>
      <c r="Z641" s="136">
        <f>IF(E641=$Z$6,1,"")</f>
        <v/>
      </c>
      <c r="AA641" s="136">
        <f>IF(E641=$AA$6,1,"")</f>
        <v/>
      </c>
      <c r="AB641" s="136">
        <f>IF(E641=$AB$6,1,"")</f>
        <v/>
      </c>
      <c r="AC641" s="136">
        <f>IF(E641=$AC$6,1,"")</f>
        <v/>
      </c>
      <c r="AD641" s="136">
        <f>IF(E641=$AD$6,1,"")</f>
        <v/>
      </c>
      <c r="AE641" s="136">
        <f>IF(E641=$AE$6,1,"")</f>
        <v/>
      </c>
      <c r="AF641" s="136">
        <f>IF(E641=$AF$6,1,"")</f>
        <v/>
      </c>
      <c r="AG641" s="136">
        <f>IF(E641=$AG$6,1,"")</f>
        <v/>
      </c>
      <c r="AH641" s="136">
        <f>IF(E641=$AH$6,1,"")</f>
        <v/>
      </c>
      <c r="AI641" s="136">
        <f>IF(E641=$AI$6,1,"")</f>
        <v/>
      </c>
      <c r="AJ641" s="136">
        <f>IF(E641=$AJ$6,1,"")</f>
        <v/>
      </c>
      <c r="AK641" s="81">
        <f>IF(E641=$AK$6,1,"")</f>
        <v/>
      </c>
      <c r="AL641" s="81">
        <f>IF(E641=$AL$6,1,"")</f>
        <v/>
      </c>
      <c r="AM641" s="81">
        <f>IF(E641=$AM$6,1,"")</f>
        <v/>
      </c>
      <c r="AN641" s="81">
        <f>IF(E641=$AN$6,1,"")</f>
        <v/>
      </c>
      <c r="AO641" s="81">
        <f>IF(E641=$AO$6,1,"")</f>
        <v/>
      </c>
      <c r="AP641" s="81">
        <f>IF(E641=$AP$6,1,"")</f>
        <v/>
      </c>
      <c r="AQ641" s="81">
        <f>IF(E641=$AQ$6,1,"")</f>
        <v/>
      </c>
      <c r="AR641" s="81">
        <f>IF(E641=$AR$6,1,"")</f>
        <v/>
      </c>
      <c r="AS641" s="81" t="n"/>
    </row>
    <row r="642" ht="15.75" customHeight="1" s="80">
      <c r="A642" s="157" t="n"/>
      <c r="B642" s="124" t="n"/>
      <c r="C642" s="125" t="n"/>
      <c r="D642" s="126" t="n"/>
      <c r="E642" s="127" t="n"/>
      <c r="F642" s="128" t="n"/>
      <c r="G642" s="129">
        <f>IF(F642="","",ROUND(F642/60,2))</f>
        <v/>
      </c>
      <c r="H642" s="130" t="n"/>
      <c r="I642" s="131" t="n"/>
      <c r="J642" s="131">
        <f>IF(COUNTIF(B642:E642,"*")=0,"",IF(T642=1,"Invalid Service",IF(AND(V642=1,F642=""),"Add Session Mins",IF(AND(E642&gt;0,H642="",T642=""),"Enter Contract Rate",IF(AND(E642="IEP mtg, prep, rept",F642&gt;0),(G642*H642),IF(AND(E642&gt;0,F642&gt;0,H642&gt;0,I642=""),"Enter Travel",IF(AND(F642&gt;0,I642="Y"),(G642*H642)+$M$10,IF(AND(F642&gt;0,I642="N"),(G642*H642),H642))))))))</f>
        <v/>
      </c>
      <c r="K642" s="132">
        <f>J642</f>
        <v/>
      </c>
      <c r="L642" s="148" t="n"/>
      <c r="M642" s="148" t="n"/>
      <c r="N642" s="148" t="n"/>
      <c r="O642" s="87" t="n"/>
      <c r="P642" s="81" t="n"/>
      <c r="Q642" s="81" t="n"/>
      <c r="R642" s="81" t="n"/>
      <c r="S642" s="81" t="n"/>
      <c r="T642" s="136">
        <f>IF(AND(E642&gt;0,U642=0),1,"")</f>
        <v/>
      </c>
      <c r="U642" s="136">
        <f>SUM(X642:AR642)</f>
        <v/>
      </c>
      <c r="V642" s="136">
        <f>IF(E642=$Q$16,0,SUM(X642:AI642))</f>
        <v/>
      </c>
      <c r="W642" s="136">
        <f>SUM(AK642:AR642)</f>
        <v/>
      </c>
      <c r="X642" s="136">
        <f>IF(E642=$X$6,1,"")</f>
        <v/>
      </c>
      <c r="Y642" s="136">
        <f>IF(E642=$Y$6,1,"")</f>
        <v/>
      </c>
      <c r="Z642" s="136">
        <f>IF(E642=$Z$6,1,"")</f>
        <v/>
      </c>
      <c r="AA642" s="136">
        <f>IF(E642=$AA$6,1,"")</f>
        <v/>
      </c>
      <c r="AB642" s="136">
        <f>IF(E642=$AB$6,1,"")</f>
        <v/>
      </c>
      <c r="AC642" s="136">
        <f>IF(E642=$AC$6,1,"")</f>
        <v/>
      </c>
      <c r="AD642" s="136">
        <f>IF(E642=$AD$6,1,"")</f>
        <v/>
      </c>
      <c r="AE642" s="136">
        <f>IF(E642=$AE$6,1,"")</f>
        <v/>
      </c>
      <c r="AF642" s="136">
        <f>IF(E642=$AF$6,1,"")</f>
        <v/>
      </c>
      <c r="AG642" s="136">
        <f>IF(E642=$AG$6,1,"")</f>
        <v/>
      </c>
      <c r="AH642" s="136">
        <f>IF(E642=$AH$6,1,"")</f>
        <v/>
      </c>
      <c r="AI642" s="136">
        <f>IF(E642=$AI$6,1,"")</f>
        <v/>
      </c>
      <c r="AJ642" s="136">
        <f>IF(E642=$AJ$6,1,"")</f>
        <v/>
      </c>
      <c r="AK642" s="81">
        <f>IF(E642=$AK$6,1,"")</f>
        <v/>
      </c>
      <c r="AL642" s="81">
        <f>IF(E642=$AL$6,1,"")</f>
        <v/>
      </c>
      <c r="AM642" s="81">
        <f>IF(E642=$AM$6,1,"")</f>
        <v/>
      </c>
      <c r="AN642" s="81">
        <f>IF(E642=$AN$6,1,"")</f>
        <v/>
      </c>
      <c r="AO642" s="81">
        <f>IF(E642=$AO$6,1,"")</f>
        <v/>
      </c>
      <c r="AP642" s="81">
        <f>IF(E642=$AP$6,1,"")</f>
        <v/>
      </c>
      <c r="AQ642" s="81">
        <f>IF(E642=$AQ$6,1,"")</f>
        <v/>
      </c>
      <c r="AR642" s="81">
        <f>IF(E642=$AR$6,1,"")</f>
        <v/>
      </c>
      <c r="AS642" s="81" t="n"/>
    </row>
    <row r="643" ht="15.75" customHeight="1" s="80">
      <c r="A643" s="157" t="n"/>
      <c r="B643" s="124" t="n"/>
      <c r="C643" s="125" t="n"/>
      <c r="D643" s="126" t="n"/>
      <c r="E643" s="127" t="n"/>
      <c r="F643" s="128" t="n"/>
      <c r="G643" s="129">
        <f>IF(F643="","",ROUND(F643/60,2))</f>
        <v/>
      </c>
      <c r="H643" s="130" t="n"/>
      <c r="I643" s="131" t="n"/>
      <c r="J643" s="131">
        <f>IF(COUNTIF(B643:E643,"*")=0,"",IF(T643=1,"Invalid Service",IF(AND(V643=1,F643=""),"Add Session Mins",IF(AND(E643&gt;0,H643="",T643=""),"Enter Contract Rate",IF(AND(E643="IEP mtg, prep, rept",F643&gt;0),(G643*H643),IF(AND(E643&gt;0,F643&gt;0,H643&gt;0,I643=""),"Enter Travel",IF(AND(F643&gt;0,I643="Y"),(G643*H643)+$M$10,IF(AND(F643&gt;0,I643="N"),(G643*H643),H643))))))))</f>
        <v/>
      </c>
      <c r="K643" s="132">
        <f>J643</f>
        <v/>
      </c>
      <c r="L643" s="148" t="n"/>
      <c r="M643" s="148" t="n"/>
      <c r="N643" s="148" t="n"/>
      <c r="O643" s="87" t="n"/>
      <c r="P643" s="81" t="n"/>
      <c r="Q643" s="81" t="n"/>
      <c r="R643" s="81" t="n"/>
      <c r="S643" s="81" t="n"/>
      <c r="T643" s="136">
        <f>IF(AND(E643&gt;0,U643=0),1,"")</f>
        <v/>
      </c>
      <c r="U643" s="136">
        <f>SUM(X643:AR643)</f>
        <v/>
      </c>
      <c r="V643" s="136">
        <f>IF(E643=$Q$16,0,SUM(X643:AI643))</f>
        <v/>
      </c>
      <c r="W643" s="136">
        <f>SUM(AK643:AR643)</f>
        <v/>
      </c>
      <c r="X643" s="136">
        <f>IF(E643=$X$6,1,"")</f>
        <v/>
      </c>
      <c r="Y643" s="136">
        <f>IF(E643=$Y$6,1,"")</f>
        <v/>
      </c>
      <c r="Z643" s="136">
        <f>IF(E643=$Z$6,1,"")</f>
        <v/>
      </c>
      <c r="AA643" s="136">
        <f>IF(E643=$AA$6,1,"")</f>
        <v/>
      </c>
      <c r="AB643" s="136">
        <f>IF(E643=$AB$6,1,"")</f>
        <v/>
      </c>
      <c r="AC643" s="136">
        <f>IF(E643=$AC$6,1,"")</f>
        <v/>
      </c>
      <c r="AD643" s="136">
        <f>IF(E643=$AD$6,1,"")</f>
        <v/>
      </c>
      <c r="AE643" s="136">
        <f>IF(E643=$AE$6,1,"")</f>
        <v/>
      </c>
      <c r="AF643" s="136">
        <f>IF(E643=$AF$6,1,"")</f>
        <v/>
      </c>
      <c r="AG643" s="136">
        <f>IF(E643=$AG$6,1,"")</f>
        <v/>
      </c>
      <c r="AH643" s="136">
        <f>IF(E643=$AH$6,1,"")</f>
        <v/>
      </c>
      <c r="AI643" s="136">
        <f>IF(E643=$AI$6,1,"")</f>
        <v/>
      </c>
      <c r="AJ643" s="136">
        <f>IF(E643=$AJ$6,1,"")</f>
        <v/>
      </c>
      <c r="AK643" s="81">
        <f>IF(E643=$AK$6,1,"")</f>
        <v/>
      </c>
      <c r="AL643" s="81">
        <f>IF(E643=$AL$6,1,"")</f>
        <v/>
      </c>
      <c r="AM643" s="81">
        <f>IF(E643=$AM$6,1,"")</f>
        <v/>
      </c>
      <c r="AN643" s="81">
        <f>IF(E643=$AN$6,1,"")</f>
        <v/>
      </c>
      <c r="AO643" s="81">
        <f>IF(E643=$AO$6,1,"")</f>
        <v/>
      </c>
      <c r="AP643" s="81">
        <f>IF(E643=$AP$6,1,"")</f>
        <v/>
      </c>
      <c r="AQ643" s="81">
        <f>IF(E643=$AQ$6,1,"")</f>
        <v/>
      </c>
      <c r="AR643" s="81">
        <f>IF(E643=$AR$6,1,"")</f>
        <v/>
      </c>
      <c r="AS643" s="81" t="n"/>
    </row>
    <row r="644" ht="15.75" customHeight="1" s="80">
      <c r="A644" s="157" t="n"/>
      <c r="B644" s="124" t="n"/>
      <c r="C644" s="125" t="n"/>
      <c r="D644" s="126" t="n"/>
      <c r="E644" s="127" t="n"/>
      <c r="F644" s="128" t="n"/>
      <c r="G644" s="129">
        <f>IF(F644="","",ROUND(F644/60,2))</f>
        <v/>
      </c>
      <c r="H644" s="130" t="n"/>
      <c r="I644" s="131" t="n"/>
      <c r="J644" s="131">
        <f>IF(COUNTIF(B644:E644,"*")=0,"",IF(T644=1,"Invalid Service",IF(AND(V644=1,F644=""),"Add Session Mins",IF(AND(E644&gt;0,H644="",T644=""),"Enter Contract Rate",IF(AND(E644="IEP mtg, prep, rept",F644&gt;0),(G644*H644),IF(AND(E644&gt;0,F644&gt;0,H644&gt;0,I644=""),"Enter Travel",IF(AND(F644&gt;0,I644="Y"),(G644*H644)+$M$10,IF(AND(F644&gt;0,I644="N"),(G644*H644),H644))))))))</f>
        <v/>
      </c>
      <c r="K644" s="132">
        <f>J644</f>
        <v/>
      </c>
      <c r="L644" s="148" t="n"/>
      <c r="M644" s="148" t="n"/>
      <c r="N644" s="148" t="n"/>
      <c r="O644" s="87" t="n"/>
      <c r="P644" s="81" t="n"/>
      <c r="Q644" s="81" t="n"/>
      <c r="R644" s="81" t="n"/>
      <c r="S644" s="81" t="n"/>
      <c r="T644" s="136">
        <f>IF(AND(E644&gt;0,U644=0),1,"")</f>
        <v/>
      </c>
      <c r="U644" s="136">
        <f>SUM(X644:AR644)</f>
        <v/>
      </c>
      <c r="V644" s="136">
        <f>IF(E644=$Q$16,0,SUM(X644:AI644))</f>
        <v/>
      </c>
      <c r="W644" s="136">
        <f>SUM(AK644:AR644)</f>
        <v/>
      </c>
      <c r="X644" s="136">
        <f>IF(E644=$X$6,1,"")</f>
        <v/>
      </c>
      <c r="Y644" s="136">
        <f>IF(E644=$Y$6,1,"")</f>
        <v/>
      </c>
      <c r="Z644" s="136">
        <f>IF(E644=$Z$6,1,"")</f>
        <v/>
      </c>
      <c r="AA644" s="136">
        <f>IF(E644=$AA$6,1,"")</f>
        <v/>
      </c>
      <c r="AB644" s="136">
        <f>IF(E644=$AB$6,1,"")</f>
        <v/>
      </c>
      <c r="AC644" s="136">
        <f>IF(E644=$AC$6,1,"")</f>
        <v/>
      </c>
      <c r="AD644" s="136">
        <f>IF(E644=$AD$6,1,"")</f>
        <v/>
      </c>
      <c r="AE644" s="136">
        <f>IF(E644=$AE$6,1,"")</f>
        <v/>
      </c>
      <c r="AF644" s="136">
        <f>IF(E644=$AF$6,1,"")</f>
        <v/>
      </c>
      <c r="AG644" s="136">
        <f>IF(E644=$AG$6,1,"")</f>
        <v/>
      </c>
      <c r="AH644" s="136">
        <f>IF(E644=$AH$6,1,"")</f>
        <v/>
      </c>
      <c r="AI644" s="136">
        <f>IF(E644=$AI$6,1,"")</f>
        <v/>
      </c>
      <c r="AJ644" s="136">
        <f>IF(E644=$AJ$6,1,"")</f>
        <v/>
      </c>
      <c r="AK644" s="81">
        <f>IF(E644=$AK$6,1,"")</f>
        <v/>
      </c>
      <c r="AL644" s="81">
        <f>IF(E644=$AL$6,1,"")</f>
        <v/>
      </c>
      <c r="AM644" s="81">
        <f>IF(E644=$AM$6,1,"")</f>
        <v/>
      </c>
      <c r="AN644" s="81">
        <f>IF(E644=$AN$6,1,"")</f>
        <v/>
      </c>
      <c r="AO644" s="81">
        <f>IF(E644=$AO$6,1,"")</f>
        <v/>
      </c>
      <c r="AP644" s="81">
        <f>IF(E644=$AP$6,1,"")</f>
        <v/>
      </c>
      <c r="AQ644" s="81">
        <f>IF(E644=$AQ$6,1,"")</f>
        <v/>
      </c>
      <c r="AR644" s="81">
        <f>IF(E644=$AR$6,1,"")</f>
        <v/>
      </c>
      <c r="AS644" s="81" t="n"/>
    </row>
    <row r="645" ht="15.75" customHeight="1" s="80">
      <c r="A645" s="157" t="n"/>
      <c r="B645" s="124" t="n"/>
      <c r="C645" s="125" t="n"/>
      <c r="D645" s="126" t="n"/>
      <c r="E645" s="127" t="n"/>
      <c r="F645" s="128" t="n"/>
      <c r="G645" s="129">
        <f>IF(F645="","",ROUND(F645/60,2))</f>
        <v/>
      </c>
      <c r="H645" s="130" t="n"/>
      <c r="I645" s="131" t="n"/>
      <c r="J645" s="131">
        <f>IF(COUNTIF(B645:E645,"*")=0,"",IF(T645=1,"Invalid Service",IF(AND(V645=1,F645=""),"Add Session Mins",IF(AND(E645&gt;0,H645="",T645=""),"Enter Contract Rate",IF(AND(E645="IEP mtg, prep, rept",F645&gt;0),(G645*H645),IF(AND(E645&gt;0,F645&gt;0,H645&gt;0,I645=""),"Enter Travel",IF(AND(F645&gt;0,I645="Y"),(G645*H645)+$M$10,IF(AND(F645&gt;0,I645="N"),(G645*H645),H645))))))))</f>
        <v/>
      </c>
      <c r="K645" s="132">
        <f>J645</f>
        <v/>
      </c>
      <c r="L645" s="148" t="n"/>
      <c r="M645" s="148" t="n"/>
      <c r="N645" s="148" t="n"/>
      <c r="O645" s="87" t="n"/>
      <c r="P645" s="81" t="n"/>
      <c r="Q645" s="81" t="n"/>
      <c r="R645" s="81" t="n"/>
      <c r="S645" s="81" t="n"/>
      <c r="T645" s="136">
        <f>IF(AND(E645&gt;0,U645=0),1,"")</f>
        <v/>
      </c>
      <c r="U645" s="136">
        <f>SUM(X645:AR645)</f>
        <v/>
      </c>
      <c r="V645" s="136">
        <f>IF(E645=$Q$16,0,SUM(X645:AI645))</f>
        <v/>
      </c>
      <c r="W645" s="136">
        <f>SUM(AK645:AR645)</f>
        <v/>
      </c>
      <c r="X645" s="136">
        <f>IF(E645=$X$6,1,"")</f>
        <v/>
      </c>
      <c r="Y645" s="136">
        <f>IF(E645=$Y$6,1,"")</f>
        <v/>
      </c>
      <c r="Z645" s="136">
        <f>IF(E645=$Z$6,1,"")</f>
        <v/>
      </c>
      <c r="AA645" s="136">
        <f>IF(E645=$AA$6,1,"")</f>
        <v/>
      </c>
      <c r="AB645" s="136">
        <f>IF(E645=$AB$6,1,"")</f>
        <v/>
      </c>
      <c r="AC645" s="136">
        <f>IF(E645=$AC$6,1,"")</f>
        <v/>
      </c>
      <c r="AD645" s="136">
        <f>IF(E645=$AD$6,1,"")</f>
        <v/>
      </c>
      <c r="AE645" s="136">
        <f>IF(E645=$AE$6,1,"")</f>
        <v/>
      </c>
      <c r="AF645" s="136">
        <f>IF(E645=$AF$6,1,"")</f>
        <v/>
      </c>
      <c r="AG645" s="136">
        <f>IF(E645=$AG$6,1,"")</f>
        <v/>
      </c>
      <c r="AH645" s="136">
        <f>IF(E645=$AH$6,1,"")</f>
        <v/>
      </c>
      <c r="AI645" s="136">
        <f>IF(E645=$AI$6,1,"")</f>
        <v/>
      </c>
      <c r="AJ645" s="136">
        <f>IF(E645=$AJ$6,1,"")</f>
        <v/>
      </c>
      <c r="AK645" s="81">
        <f>IF(E645=$AK$6,1,"")</f>
        <v/>
      </c>
      <c r="AL645" s="81">
        <f>IF(E645=$AL$6,1,"")</f>
        <v/>
      </c>
      <c r="AM645" s="81">
        <f>IF(E645=$AM$6,1,"")</f>
        <v/>
      </c>
      <c r="AN645" s="81">
        <f>IF(E645=$AN$6,1,"")</f>
        <v/>
      </c>
      <c r="AO645" s="81">
        <f>IF(E645=$AO$6,1,"")</f>
        <v/>
      </c>
      <c r="AP645" s="81">
        <f>IF(E645=$AP$6,1,"")</f>
        <v/>
      </c>
      <c r="AQ645" s="81">
        <f>IF(E645=$AQ$6,1,"")</f>
        <v/>
      </c>
      <c r="AR645" s="81">
        <f>IF(E645=$AR$6,1,"")</f>
        <v/>
      </c>
      <c r="AS645" s="81" t="n"/>
    </row>
    <row r="646" ht="15.75" customHeight="1" s="80">
      <c r="A646" s="157" t="n"/>
      <c r="B646" s="124" t="n"/>
      <c r="C646" s="125" t="n"/>
      <c r="D646" s="126" t="n"/>
      <c r="E646" s="127" t="n"/>
      <c r="F646" s="128" t="n"/>
      <c r="G646" s="129">
        <f>IF(F646="","",ROUND(F646/60,2))</f>
        <v/>
      </c>
      <c r="H646" s="130" t="n"/>
      <c r="I646" s="131" t="n"/>
      <c r="J646" s="131">
        <f>IF(COUNTIF(B646:E646,"*")=0,"",IF(T646=1,"Invalid Service",IF(AND(V646=1,F646=""),"Add Session Mins",IF(AND(E646&gt;0,H646="",T646=""),"Enter Contract Rate",IF(AND(E646="IEP mtg, prep, rept",F646&gt;0),(G646*H646),IF(AND(E646&gt;0,F646&gt;0,H646&gt;0,I646=""),"Enter Travel",IF(AND(F646&gt;0,I646="Y"),(G646*H646)+$M$10,IF(AND(F646&gt;0,I646="N"),(G646*H646),H646))))))))</f>
        <v/>
      </c>
      <c r="K646" s="132">
        <f>J646</f>
        <v/>
      </c>
      <c r="L646" s="148" t="n"/>
      <c r="M646" s="148" t="n"/>
      <c r="N646" s="148" t="n"/>
      <c r="O646" s="87" t="n"/>
      <c r="P646" s="81" t="n"/>
      <c r="Q646" s="81" t="n"/>
      <c r="R646" s="81" t="n"/>
      <c r="S646" s="81" t="n"/>
      <c r="T646" s="136">
        <f>IF(AND(E646&gt;0,U646=0),1,"")</f>
        <v/>
      </c>
      <c r="U646" s="136">
        <f>SUM(X646:AR646)</f>
        <v/>
      </c>
      <c r="V646" s="136">
        <f>IF(E646=$Q$16,0,SUM(X646:AI646))</f>
        <v/>
      </c>
      <c r="W646" s="136">
        <f>SUM(AK646:AR646)</f>
        <v/>
      </c>
      <c r="X646" s="136">
        <f>IF(E646=$X$6,1,"")</f>
        <v/>
      </c>
      <c r="Y646" s="136">
        <f>IF(E646=$Y$6,1,"")</f>
        <v/>
      </c>
      <c r="Z646" s="136">
        <f>IF(E646=$Z$6,1,"")</f>
        <v/>
      </c>
      <c r="AA646" s="136">
        <f>IF(E646=$AA$6,1,"")</f>
        <v/>
      </c>
      <c r="AB646" s="136">
        <f>IF(E646=$AB$6,1,"")</f>
        <v/>
      </c>
      <c r="AC646" s="136">
        <f>IF(E646=$AC$6,1,"")</f>
        <v/>
      </c>
      <c r="AD646" s="136">
        <f>IF(E646=$AD$6,1,"")</f>
        <v/>
      </c>
      <c r="AE646" s="136">
        <f>IF(E646=$AE$6,1,"")</f>
        <v/>
      </c>
      <c r="AF646" s="136">
        <f>IF(E646=$AF$6,1,"")</f>
        <v/>
      </c>
      <c r="AG646" s="136">
        <f>IF(E646=$AG$6,1,"")</f>
        <v/>
      </c>
      <c r="AH646" s="136">
        <f>IF(E646=$AH$6,1,"")</f>
        <v/>
      </c>
      <c r="AI646" s="136">
        <f>IF(E646=$AI$6,1,"")</f>
        <v/>
      </c>
      <c r="AJ646" s="136">
        <f>IF(E646=$AJ$6,1,"")</f>
        <v/>
      </c>
      <c r="AK646" s="81">
        <f>IF(E646=$AK$6,1,"")</f>
        <v/>
      </c>
      <c r="AL646" s="81">
        <f>IF(E646=$AL$6,1,"")</f>
        <v/>
      </c>
      <c r="AM646" s="81">
        <f>IF(E646=$AM$6,1,"")</f>
        <v/>
      </c>
      <c r="AN646" s="81">
        <f>IF(E646=$AN$6,1,"")</f>
        <v/>
      </c>
      <c r="AO646" s="81">
        <f>IF(E646=$AO$6,1,"")</f>
        <v/>
      </c>
      <c r="AP646" s="81">
        <f>IF(E646=$AP$6,1,"")</f>
        <v/>
      </c>
      <c r="AQ646" s="81">
        <f>IF(E646=$AQ$6,1,"")</f>
        <v/>
      </c>
      <c r="AR646" s="81">
        <f>IF(E646=$AR$6,1,"")</f>
        <v/>
      </c>
      <c r="AS646" s="81" t="n"/>
    </row>
    <row r="647" ht="15.75" customHeight="1" s="80">
      <c r="A647" s="157" t="n"/>
      <c r="B647" s="124" t="n"/>
      <c r="C647" s="125" t="n"/>
      <c r="D647" s="126" t="n"/>
      <c r="E647" s="127" t="n"/>
      <c r="F647" s="128" t="n"/>
      <c r="G647" s="129">
        <f>IF(F647="","",ROUND(F647/60,2))</f>
        <v/>
      </c>
      <c r="H647" s="130" t="n"/>
      <c r="I647" s="131" t="n"/>
      <c r="J647" s="131">
        <f>IF(COUNTIF(B647:E647,"*")=0,"",IF(T647=1,"Invalid Service",IF(AND(V647=1,F647=""),"Add Session Mins",IF(AND(E647&gt;0,H647="",T647=""),"Enter Contract Rate",IF(AND(E647="IEP mtg, prep, rept",F647&gt;0),(G647*H647),IF(AND(E647&gt;0,F647&gt;0,H647&gt;0,I647=""),"Enter Travel",IF(AND(F647&gt;0,I647="Y"),(G647*H647)+$M$10,IF(AND(F647&gt;0,I647="N"),(G647*H647),H647))))))))</f>
        <v/>
      </c>
      <c r="K647" s="132">
        <f>J647</f>
        <v/>
      </c>
      <c r="L647" s="148" t="n"/>
      <c r="M647" s="148" t="n"/>
      <c r="N647" s="148" t="n"/>
      <c r="O647" s="87" t="n"/>
      <c r="P647" s="81" t="n"/>
      <c r="Q647" s="81" t="n"/>
      <c r="R647" s="81" t="n"/>
      <c r="S647" s="81" t="n"/>
      <c r="T647" s="136">
        <f>IF(AND(E647&gt;0,U647=0),1,"")</f>
        <v/>
      </c>
      <c r="U647" s="136">
        <f>SUM(X647:AR647)</f>
        <v/>
      </c>
      <c r="V647" s="136">
        <f>IF(E647=$Q$16,0,SUM(X647:AI647))</f>
        <v/>
      </c>
      <c r="W647" s="136">
        <f>SUM(AK647:AR647)</f>
        <v/>
      </c>
      <c r="X647" s="136">
        <f>IF(E647=$X$6,1,"")</f>
        <v/>
      </c>
      <c r="Y647" s="136">
        <f>IF(E647=$Y$6,1,"")</f>
        <v/>
      </c>
      <c r="Z647" s="136">
        <f>IF(E647=$Z$6,1,"")</f>
        <v/>
      </c>
      <c r="AA647" s="136">
        <f>IF(E647=$AA$6,1,"")</f>
        <v/>
      </c>
      <c r="AB647" s="136">
        <f>IF(E647=$AB$6,1,"")</f>
        <v/>
      </c>
      <c r="AC647" s="136">
        <f>IF(E647=$AC$6,1,"")</f>
        <v/>
      </c>
      <c r="AD647" s="136">
        <f>IF(E647=$AD$6,1,"")</f>
        <v/>
      </c>
      <c r="AE647" s="136">
        <f>IF(E647=$AE$6,1,"")</f>
        <v/>
      </c>
      <c r="AF647" s="136">
        <f>IF(E647=$AF$6,1,"")</f>
        <v/>
      </c>
      <c r="AG647" s="136">
        <f>IF(E647=$AG$6,1,"")</f>
        <v/>
      </c>
      <c r="AH647" s="136">
        <f>IF(E647=$AH$6,1,"")</f>
        <v/>
      </c>
      <c r="AI647" s="136">
        <f>IF(E647=$AI$6,1,"")</f>
        <v/>
      </c>
      <c r="AJ647" s="136">
        <f>IF(E647=$AJ$6,1,"")</f>
        <v/>
      </c>
      <c r="AK647" s="81">
        <f>IF(E647=$AK$6,1,"")</f>
        <v/>
      </c>
      <c r="AL647" s="81">
        <f>IF(E647=$AL$6,1,"")</f>
        <v/>
      </c>
      <c r="AM647" s="81">
        <f>IF(E647=$AM$6,1,"")</f>
        <v/>
      </c>
      <c r="AN647" s="81">
        <f>IF(E647=$AN$6,1,"")</f>
        <v/>
      </c>
      <c r="AO647" s="81">
        <f>IF(E647=$AO$6,1,"")</f>
        <v/>
      </c>
      <c r="AP647" s="81">
        <f>IF(E647=$AP$6,1,"")</f>
        <v/>
      </c>
      <c r="AQ647" s="81">
        <f>IF(E647=$AQ$6,1,"")</f>
        <v/>
      </c>
      <c r="AR647" s="81">
        <f>IF(E647=$AR$6,1,"")</f>
        <v/>
      </c>
      <c r="AS647" s="81" t="n"/>
    </row>
    <row r="648" ht="15.75" customHeight="1" s="80">
      <c r="A648" s="157" t="n"/>
      <c r="B648" s="124" t="n"/>
      <c r="C648" s="125" t="n"/>
      <c r="D648" s="126" t="n"/>
      <c r="E648" s="127" t="n"/>
      <c r="F648" s="128" t="n"/>
      <c r="G648" s="129">
        <f>IF(F648="","",ROUND(F648/60,2))</f>
        <v/>
      </c>
      <c r="H648" s="130" t="n"/>
      <c r="I648" s="131" t="n"/>
      <c r="J648" s="131">
        <f>IF(COUNTIF(B648:E648,"*")=0,"",IF(T648=1,"Invalid Service",IF(AND(V648=1,F648=""),"Add Session Mins",IF(AND(E648&gt;0,H648="",T648=""),"Enter Contract Rate",IF(AND(E648="IEP mtg, prep, rept",F648&gt;0),(G648*H648),IF(AND(E648&gt;0,F648&gt;0,H648&gt;0,I648=""),"Enter Travel",IF(AND(F648&gt;0,I648="Y"),(G648*H648)+$M$10,IF(AND(F648&gt;0,I648="N"),(G648*H648),H648))))))))</f>
        <v/>
      </c>
      <c r="K648" s="132">
        <f>J648</f>
        <v/>
      </c>
      <c r="L648" s="148" t="n"/>
      <c r="M648" s="148" t="n"/>
      <c r="N648" s="148" t="n"/>
      <c r="O648" s="87" t="n"/>
      <c r="P648" s="81" t="n"/>
      <c r="Q648" s="81" t="n"/>
      <c r="R648" s="81" t="n"/>
      <c r="S648" s="81" t="n"/>
      <c r="T648" s="136">
        <f>IF(AND(E648&gt;0,U648=0),1,"")</f>
        <v/>
      </c>
      <c r="U648" s="136">
        <f>SUM(X648:AR648)</f>
        <v/>
      </c>
      <c r="V648" s="136">
        <f>IF(E648=$Q$16,0,SUM(X648:AI648))</f>
        <v/>
      </c>
      <c r="W648" s="136">
        <f>SUM(AK648:AR648)</f>
        <v/>
      </c>
      <c r="X648" s="136">
        <f>IF(E648=$X$6,1,"")</f>
        <v/>
      </c>
      <c r="Y648" s="136">
        <f>IF(E648=$Y$6,1,"")</f>
        <v/>
      </c>
      <c r="Z648" s="136">
        <f>IF(E648=$Z$6,1,"")</f>
        <v/>
      </c>
      <c r="AA648" s="136">
        <f>IF(E648=$AA$6,1,"")</f>
        <v/>
      </c>
      <c r="AB648" s="136">
        <f>IF(E648=$AB$6,1,"")</f>
        <v/>
      </c>
      <c r="AC648" s="136">
        <f>IF(E648=$AC$6,1,"")</f>
        <v/>
      </c>
      <c r="AD648" s="136">
        <f>IF(E648=$AD$6,1,"")</f>
        <v/>
      </c>
      <c r="AE648" s="136">
        <f>IF(E648=$AE$6,1,"")</f>
        <v/>
      </c>
      <c r="AF648" s="136">
        <f>IF(E648=$AF$6,1,"")</f>
        <v/>
      </c>
      <c r="AG648" s="136">
        <f>IF(E648=$AG$6,1,"")</f>
        <v/>
      </c>
      <c r="AH648" s="136">
        <f>IF(E648=$AH$6,1,"")</f>
        <v/>
      </c>
      <c r="AI648" s="136">
        <f>IF(E648=$AI$6,1,"")</f>
        <v/>
      </c>
      <c r="AJ648" s="136">
        <f>IF(E648=$AJ$6,1,"")</f>
        <v/>
      </c>
      <c r="AK648" s="81">
        <f>IF(E648=$AK$6,1,"")</f>
        <v/>
      </c>
      <c r="AL648" s="81">
        <f>IF(E648=$AL$6,1,"")</f>
        <v/>
      </c>
      <c r="AM648" s="81">
        <f>IF(E648=$AM$6,1,"")</f>
        <v/>
      </c>
      <c r="AN648" s="81">
        <f>IF(E648=$AN$6,1,"")</f>
        <v/>
      </c>
      <c r="AO648" s="81">
        <f>IF(E648=$AO$6,1,"")</f>
        <v/>
      </c>
      <c r="AP648" s="81">
        <f>IF(E648=$AP$6,1,"")</f>
        <v/>
      </c>
      <c r="AQ648" s="81">
        <f>IF(E648=$AQ$6,1,"")</f>
        <v/>
      </c>
      <c r="AR648" s="81">
        <f>IF(E648=$AR$6,1,"")</f>
        <v/>
      </c>
      <c r="AS648" s="81" t="n"/>
    </row>
    <row r="649" ht="15.75" customHeight="1" s="80">
      <c r="A649" s="157" t="n"/>
      <c r="B649" s="124" t="n"/>
      <c r="C649" s="125" t="n"/>
      <c r="D649" s="126" t="n"/>
      <c r="E649" s="127" t="n"/>
      <c r="F649" s="128" t="n"/>
      <c r="G649" s="129">
        <f>IF(F649="","",ROUND(F649/60,2))</f>
        <v/>
      </c>
      <c r="H649" s="130" t="n"/>
      <c r="I649" s="131" t="n"/>
      <c r="J649" s="131">
        <f>IF(COUNTIF(B649:E649,"*")=0,"",IF(T649=1,"Invalid Service",IF(AND(V649=1,F649=""),"Add Session Mins",IF(AND(E649&gt;0,H649="",T649=""),"Enter Contract Rate",IF(AND(E649="IEP mtg, prep, rept",F649&gt;0),(G649*H649),IF(AND(E649&gt;0,F649&gt;0,H649&gt;0,I649=""),"Enter Travel",IF(AND(F649&gt;0,I649="Y"),(G649*H649)+$M$10,IF(AND(F649&gt;0,I649="N"),(G649*H649),H649))))))))</f>
        <v/>
      </c>
      <c r="K649" s="132">
        <f>J649</f>
        <v/>
      </c>
      <c r="L649" s="148" t="n"/>
      <c r="M649" s="148" t="n"/>
      <c r="N649" s="148" t="n"/>
      <c r="O649" s="87" t="n"/>
      <c r="P649" s="81" t="n"/>
      <c r="Q649" s="81" t="n"/>
      <c r="R649" s="81" t="n"/>
      <c r="S649" s="81" t="n"/>
      <c r="T649" s="136">
        <f>IF(AND(E649&gt;0,U649=0),1,"")</f>
        <v/>
      </c>
      <c r="U649" s="136">
        <f>SUM(X649:AR649)</f>
        <v/>
      </c>
      <c r="V649" s="136">
        <f>IF(E649=$Q$16,0,SUM(X649:AI649))</f>
        <v/>
      </c>
      <c r="W649" s="136">
        <f>SUM(AK649:AR649)</f>
        <v/>
      </c>
      <c r="X649" s="136">
        <f>IF(E649=$X$6,1,"")</f>
        <v/>
      </c>
      <c r="Y649" s="136">
        <f>IF(E649=$Y$6,1,"")</f>
        <v/>
      </c>
      <c r="Z649" s="136">
        <f>IF(E649=$Z$6,1,"")</f>
        <v/>
      </c>
      <c r="AA649" s="136">
        <f>IF(E649=$AA$6,1,"")</f>
        <v/>
      </c>
      <c r="AB649" s="136">
        <f>IF(E649=$AB$6,1,"")</f>
        <v/>
      </c>
      <c r="AC649" s="136">
        <f>IF(E649=$AC$6,1,"")</f>
        <v/>
      </c>
      <c r="AD649" s="136">
        <f>IF(E649=$AD$6,1,"")</f>
        <v/>
      </c>
      <c r="AE649" s="136">
        <f>IF(E649=$AE$6,1,"")</f>
        <v/>
      </c>
      <c r="AF649" s="136">
        <f>IF(E649=$AF$6,1,"")</f>
        <v/>
      </c>
      <c r="AG649" s="136">
        <f>IF(E649=$AG$6,1,"")</f>
        <v/>
      </c>
      <c r="AH649" s="136">
        <f>IF(E649=$AH$6,1,"")</f>
        <v/>
      </c>
      <c r="AI649" s="136">
        <f>IF(E649=$AI$6,1,"")</f>
        <v/>
      </c>
      <c r="AJ649" s="136">
        <f>IF(E649=$AJ$6,1,"")</f>
        <v/>
      </c>
      <c r="AK649" s="81">
        <f>IF(E649=$AK$6,1,"")</f>
        <v/>
      </c>
      <c r="AL649" s="81">
        <f>IF(E649=$AL$6,1,"")</f>
        <v/>
      </c>
      <c r="AM649" s="81">
        <f>IF(E649=$AM$6,1,"")</f>
        <v/>
      </c>
      <c r="AN649" s="81">
        <f>IF(E649=$AN$6,1,"")</f>
        <v/>
      </c>
      <c r="AO649" s="81">
        <f>IF(E649=$AO$6,1,"")</f>
        <v/>
      </c>
      <c r="AP649" s="81">
        <f>IF(E649=$AP$6,1,"")</f>
        <v/>
      </c>
      <c r="AQ649" s="81">
        <f>IF(E649=$AQ$6,1,"")</f>
        <v/>
      </c>
      <c r="AR649" s="81">
        <f>IF(E649=$AR$6,1,"")</f>
        <v/>
      </c>
      <c r="AS649" s="81" t="n"/>
    </row>
    <row r="650" ht="15.75" customHeight="1" s="80">
      <c r="A650" s="157" t="n"/>
      <c r="B650" s="124" t="n"/>
      <c r="C650" s="125" t="n"/>
      <c r="D650" s="126" t="n"/>
      <c r="E650" s="127" t="n"/>
      <c r="F650" s="128" t="n"/>
      <c r="G650" s="129">
        <f>IF(F650="","",ROUND(F650/60,2))</f>
        <v/>
      </c>
      <c r="H650" s="130" t="n"/>
      <c r="I650" s="131" t="n"/>
      <c r="J650" s="131">
        <f>IF(COUNTIF(B650:E650,"*")=0,"",IF(T650=1,"Invalid Service",IF(AND(V650=1,F650=""),"Add Session Mins",IF(AND(E650&gt;0,H650="",T650=""),"Enter Contract Rate",IF(AND(E650="IEP mtg, prep, rept",F650&gt;0),(G650*H650),IF(AND(E650&gt;0,F650&gt;0,H650&gt;0,I650=""),"Enter Travel",IF(AND(F650&gt;0,I650="Y"),(G650*H650)+$M$10,IF(AND(F650&gt;0,I650="N"),(G650*H650),H650))))))))</f>
        <v/>
      </c>
      <c r="K650" s="132">
        <f>J650</f>
        <v/>
      </c>
      <c r="L650" s="148" t="n"/>
      <c r="M650" s="148" t="n"/>
      <c r="N650" s="148" t="n"/>
      <c r="O650" s="87" t="n"/>
      <c r="P650" s="81" t="n"/>
      <c r="Q650" s="81" t="n"/>
      <c r="R650" s="81" t="n"/>
      <c r="S650" s="81" t="n"/>
      <c r="T650" s="136">
        <f>IF(AND(E650&gt;0,U650=0),1,"")</f>
        <v/>
      </c>
      <c r="U650" s="136">
        <f>SUM(X650:AR650)</f>
        <v/>
      </c>
      <c r="V650" s="136">
        <f>IF(E650=$Q$16,0,SUM(X650:AI650))</f>
        <v/>
      </c>
      <c r="W650" s="136">
        <f>SUM(AK650:AR650)</f>
        <v/>
      </c>
      <c r="X650" s="136">
        <f>IF(E650=$X$6,1,"")</f>
        <v/>
      </c>
      <c r="Y650" s="136">
        <f>IF(E650=$Y$6,1,"")</f>
        <v/>
      </c>
      <c r="Z650" s="136">
        <f>IF(E650=$Z$6,1,"")</f>
        <v/>
      </c>
      <c r="AA650" s="136">
        <f>IF(E650=$AA$6,1,"")</f>
        <v/>
      </c>
      <c r="AB650" s="136">
        <f>IF(E650=$AB$6,1,"")</f>
        <v/>
      </c>
      <c r="AC650" s="136">
        <f>IF(E650=$AC$6,1,"")</f>
        <v/>
      </c>
      <c r="AD650" s="136">
        <f>IF(E650=$AD$6,1,"")</f>
        <v/>
      </c>
      <c r="AE650" s="136">
        <f>IF(E650=$AE$6,1,"")</f>
        <v/>
      </c>
      <c r="AF650" s="136">
        <f>IF(E650=$AF$6,1,"")</f>
        <v/>
      </c>
      <c r="AG650" s="136">
        <f>IF(E650=$AG$6,1,"")</f>
        <v/>
      </c>
      <c r="AH650" s="136">
        <f>IF(E650=$AH$6,1,"")</f>
        <v/>
      </c>
      <c r="AI650" s="136">
        <f>IF(E650=$AI$6,1,"")</f>
        <v/>
      </c>
      <c r="AJ650" s="136">
        <f>IF(E650=$AJ$6,1,"")</f>
        <v/>
      </c>
      <c r="AK650" s="81">
        <f>IF(E650=$AK$6,1,"")</f>
        <v/>
      </c>
      <c r="AL650" s="81">
        <f>IF(E650=$AL$6,1,"")</f>
        <v/>
      </c>
      <c r="AM650" s="81">
        <f>IF(E650=$AM$6,1,"")</f>
        <v/>
      </c>
      <c r="AN650" s="81">
        <f>IF(E650=$AN$6,1,"")</f>
        <v/>
      </c>
      <c r="AO650" s="81">
        <f>IF(E650=$AO$6,1,"")</f>
        <v/>
      </c>
      <c r="AP650" s="81">
        <f>IF(E650=$AP$6,1,"")</f>
        <v/>
      </c>
      <c r="AQ650" s="81">
        <f>IF(E650=$AQ$6,1,"")</f>
        <v/>
      </c>
      <c r="AR650" s="81">
        <f>IF(E650=$AR$6,1,"")</f>
        <v/>
      </c>
      <c r="AS650" s="81" t="n"/>
    </row>
    <row r="651" ht="15.75" customHeight="1" s="80">
      <c r="A651" s="157" t="n"/>
      <c r="B651" s="124" t="n"/>
      <c r="C651" s="125" t="n"/>
      <c r="D651" s="126" t="n"/>
      <c r="E651" s="127" t="n"/>
      <c r="F651" s="128" t="n"/>
      <c r="G651" s="129">
        <f>IF(F651="","",ROUND(F651/60,2))</f>
        <v/>
      </c>
      <c r="H651" s="130" t="n"/>
      <c r="I651" s="131" t="n"/>
      <c r="J651" s="131">
        <f>IF(COUNTIF(B651:E651,"*")=0,"",IF(T651=1,"Invalid Service",IF(AND(V651=1,F651=""),"Add Session Mins",IF(AND(E651&gt;0,H651="",T651=""),"Enter Contract Rate",IF(AND(E651="IEP mtg, prep, rept",F651&gt;0),(G651*H651),IF(AND(E651&gt;0,F651&gt;0,H651&gt;0,I651=""),"Enter Travel",IF(AND(F651&gt;0,I651="Y"),(G651*H651)+$M$10,IF(AND(F651&gt;0,I651="N"),(G651*H651),H651))))))))</f>
        <v/>
      </c>
      <c r="K651" s="132">
        <f>J651</f>
        <v/>
      </c>
      <c r="L651" s="148" t="n"/>
      <c r="M651" s="148" t="n"/>
      <c r="N651" s="148" t="n"/>
      <c r="O651" s="87" t="n"/>
      <c r="P651" s="81" t="n"/>
      <c r="Q651" s="81" t="n"/>
      <c r="R651" s="81" t="n"/>
      <c r="S651" s="81" t="n"/>
      <c r="T651" s="136">
        <f>IF(AND(E651&gt;0,U651=0),1,"")</f>
        <v/>
      </c>
      <c r="U651" s="136">
        <f>SUM(X651:AR651)</f>
        <v/>
      </c>
      <c r="V651" s="136">
        <f>IF(E651=$Q$16,0,SUM(X651:AI651))</f>
        <v/>
      </c>
      <c r="W651" s="136">
        <f>SUM(AK651:AR651)</f>
        <v/>
      </c>
      <c r="X651" s="136">
        <f>IF(E651=$X$6,1,"")</f>
        <v/>
      </c>
      <c r="Y651" s="136">
        <f>IF(E651=$Y$6,1,"")</f>
        <v/>
      </c>
      <c r="Z651" s="136">
        <f>IF(E651=$Z$6,1,"")</f>
        <v/>
      </c>
      <c r="AA651" s="136">
        <f>IF(E651=$AA$6,1,"")</f>
        <v/>
      </c>
      <c r="AB651" s="136">
        <f>IF(E651=$AB$6,1,"")</f>
        <v/>
      </c>
      <c r="AC651" s="136">
        <f>IF(E651=$AC$6,1,"")</f>
        <v/>
      </c>
      <c r="AD651" s="136">
        <f>IF(E651=$AD$6,1,"")</f>
        <v/>
      </c>
      <c r="AE651" s="136">
        <f>IF(E651=$AE$6,1,"")</f>
        <v/>
      </c>
      <c r="AF651" s="136">
        <f>IF(E651=$AF$6,1,"")</f>
        <v/>
      </c>
      <c r="AG651" s="136">
        <f>IF(E651=$AG$6,1,"")</f>
        <v/>
      </c>
      <c r="AH651" s="136">
        <f>IF(E651=$AH$6,1,"")</f>
        <v/>
      </c>
      <c r="AI651" s="136">
        <f>IF(E651=$AI$6,1,"")</f>
        <v/>
      </c>
      <c r="AJ651" s="136">
        <f>IF(E651=$AJ$6,1,"")</f>
        <v/>
      </c>
      <c r="AK651" s="81">
        <f>IF(E651=$AK$6,1,"")</f>
        <v/>
      </c>
      <c r="AL651" s="81">
        <f>IF(E651=$AL$6,1,"")</f>
        <v/>
      </c>
      <c r="AM651" s="81">
        <f>IF(E651=$AM$6,1,"")</f>
        <v/>
      </c>
      <c r="AN651" s="81">
        <f>IF(E651=$AN$6,1,"")</f>
        <v/>
      </c>
      <c r="AO651" s="81">
        <f>IF(E651=$AO$6,1,"")</f>
        <v/>
      </c>
      <c r="AP651" s="81">
        <f>IF(E651=$AP$6,1,"")</f>
        <v/>
      </c>
      <c r="AQ651" s="81">
        <f>IF(E651=$AQ$6,1,"")</f>
        <v/>
      </c>
      <c r="AR651" s="81">
        <f>IF(E651=$AR$6,1,"")</f>
        <v/>
      </c>
      <c r="AS651" s="81" t="n"/>
    </row>
    <row r="652" ht="15.75" customHeight="1" s="80">
      <c r="A652" s="157" t="n"/>
      <c r="B652" s="124" t="n"/>
      <c r="C652" s="125" t="n"/>
      <c r="D652" s="126" t="n"/>
      <c r="E652" s="127" t="n"/>
      <c r="F652" s="128" t="n"/>
      <c r="G652" s="129">
        <f>IF(F652="","",ROUND(F652/60,2))</f>
        <v/>
      </c>
      <c r="H652" s="130" t="n"/>
      <c r="I652" s="131" t="n"/>
      <c r="J652" s="131">
        <f>IF(COUNTIF(B652:E652,"*")=0,"",IF(T652=1,"Invalid Service",IF(AND(V652=1,F652=""),"Add Session Mins",IF(AND(E652&gt;0,H652="",T652=""),"Enter Contract Rate",IF(AND(E652="IEP mtg, prep, rept",F652&gt;0),(G652*H652),IF(AND(E652&gt;0,F652&gt;0,H652&gt;0,I652=""),"Enter Travel",IF(AND(F652&gt;0,I652="Y"),(G652*H652)+$M$10,IF(AND(F652&gt;0,I652="N"),(G652*H652),H652))))))))</f>
        <v/>
      </c>
      <c r="K652" s="132">
        <f>J652</f>
        <v/>
      </c>
      <c r="L652" s="148" t="n"/>
      <c r="M652" s="148" t="n"/>
      <c r="N652" s="148" t="n"/>
      <c r="O652" s="87" t="n"/>
      <c r="P652" s="81" t="n"/>
      <c r="Q652" s="81" t="n"/>
      <c r="R652" s="81" t="n"/>
      <c r="S652" s="81" t="n"/>
      <c r="T652" s="136">
        <f>IF(AND(E652&gt;0,U652=0),1,"")</f>
        <v/>
      </c>
      <c r="U652" s="136">
        <f>SUM(X652:AR652)</f>
        <v/>
      </c>
      <c r="V652" s="136">
        <f>IF(E652=$Q$16,0,SUM(X652:AI652))</f>
        <v/>
      </c>
      <c r="W652" s="136">
        <f>SUM(AK652:AR652)</f>
        <v/>
      </c>
      <c r="X652" s="136">
        <f>IF(E652=$X$6,1,"")</f>
        <v/>
      </c>
      <c r="Y652" s="136">
        <f>IF(E652=$Y$6,1,"")</f>
        <v/>
      </c>
      <c r="Z652" s="136">
        <f>IF(E652=$Z$6,1,"")</f>
        <v/>
      </c>
      <c r="AA652" s="136">
        <f>IF(E652=$AA$6,1,"")</f>
        <v/>
      </c>
      <c r="AB652" s="136">
        <f>IF(E652=$AB$6,1,"")</f>
        <v/>
      </c>
      <c r="AC652" s="136">
        <f>IF(E652=$AC$6,1,"")</f>
        <v/>
      </c>
      <c r="AD652" s="136">
        <f>IF(E652=$AD$6,1,"")</f>
        <v/>
      </c>
      <c r="AE652" s="136">
        <f>IF(E652=$AE$6,1,"")</f>
        <v/>
      </c>
      <c r="AF652" s="136">
        <f>IF(E652=$AF$6,1,"")</f>
        <v/>
      </c>
      <c r="AG652" s="136">
        <f>IF(E652=$AG$6,1,"")</f>
        <v/>
      </c>
      <c r="AH652" s="136">
        <f>IF(E652=$AH$6,1,"")</f>
        <v/>
      </c>
      <c r="AI652" s="136">
        <f>IF(E652=$AI$6,1,"")</f>
        <v/>
      </c>
      <c r="AJ652" s="136">
        <f>IF(E652=$AJ$6,1,"")</f>
        <v/>
      </c>
      <c r="AK652" s="81">
        <f>IF(E652=$AK$6,1,"")</f>
        <v/>
      </c>
      <c r="AL652" s="81">
        <f>IF(E652=$AL$6,1,"")</f>
        <v/>
      </c>
      <c r="AM652" s="81">
        <f>IF(E652=$AM$6,1,"")</f>
        <v/>
      </c>
      <c r="AN652" s="81">
        <f>IF(E652=$AN$6,1,"")</f>
        <v/>
      </c>
      <c r="AO652" s="81">
        <f>IF(E652=$AO$6,1,"")</f>
        <v/>
      </c>
      <c r="AP652" s="81">
        <f>IF(E652=$AP$6,1,"")</f>
        <v/>
      </c>
      <c r="AQ652" s="81">
        <f>IF(E652=$AQ$6,1,"")</f>
        <v/>
      </c>
      <c r="AR652" s="81">
        <f>IF(E652=$AR$6,1,"")</f>
        <v/>
      </c>
      <c r="AS652" s="81" t="n"/>
    </row>
    <row r="653" ht="15.75" customHeight="1" s="80">
      <c r="A653" s="157" t="n"/>
      <c r="B653" s="124" t="n"/>
      <c r="C653" s="125" t="n"/>
      <c r="D653" s="126" t="n"/>
      <c r="E653" s="127" t="n"/>
      <c r="F653" s="128" t="n"/>
      <c r="G653" s="129">
        <f>IF(F653="","",ROUND(F653/60,2))</f>
        <v/>
      </c>
      <c r="H653" s="130" t="n"/>
      <c r="I653" s="131" t="n"/>
      <c r="J653" s="131">
        <f>IF(COUNTIF(B653:E653,"*")=0,"",IF(T653=1,"Invalid Service",IF(AND(V653=1,F653=""),"Add Session Mins",IF(AND(E653&gt;0,H653="",T653=""),"Enter Contract Rate",IF(AND(E653="IEP mtg, prep, rept",F653&gt;0),(G653*H653),IF(AND(E653&gt;0,F653&gt;0,H653&gt;0,I653=""),"Enter Travel",IF(AND(F653&gt;0,I653="Y"),(G653*H653)+$M$10,IF(AND(F653&gt;0,I653="N"),(G653*H653),H653))))))))</f>
        <v/>
      </c>
      <c r="K653" s="132">
        <f>J653</f>
        <v/>
      </c>
      <c r="L653" s="148" t="n"/>
      <c r="M653" s="148" t="n"/>
      <c r="N653" s="148" t="n"/>
      <c r="O653" s="87" t="n"/>
      <c r="P653" s="81" t="n"/>
      <c r="Q653" s="81" t="n"/>
      <c r="R653" s="81" t="n"/>
      <c r="S653" s="81" t="n"/>
      <c r="T653" s="136">
        <f>IF(AND(E653&gt;0,U653=0),1,"")</f>
        <v/>
      </c>
      <c r="U653" s="136">
        <f>SUM(X653:AR653)</f>
        <v/>
      </c>
      <c r="V653" s="136">
        <f>IF(E653=$Q$16,0,SUM(X653:AI653))</f>
        <v/>
      </c>
      <c r="W653" s="136">
        <f>SUM(AK653:AR653)</f>
        <v/>
      </c>
      <c r="X653" s="136">
        <f>IF(E653=$X$6,1,"")</f>
        <v/>
      </c>
      <c r="Y653" s="136">
        <f>IF(E653=$Y$6,1,"")</f>
        <v/>
      </c>
      <c r="Z653" s="136">
        <f>IF(E653=$Z$6,1,"")</f>
        <v/>
      </c>
      <c r="AA653" s="136">
        <f>IF(E653=$AA$6,1,"")</f>
        <v/>
      </c>
      <c r="AB653" s="136">
        <f>IF(E653=$AB$6,1,"")</f>
        <v/>
      </c>
      <c r="AC653" s="136">
        <f>IF(E653=$AC$6,1,"")</f>
        <v/>
      </c>
      <c r="AD653" s="136">
        <f>IF(E653=$AD$6,1,"")</f>
        <v/>
      </c>
      <c r="AE653" s="136">
        <f>IF(E653=$AE$6,1,"")</f>
        <v/>
      </c>
      <c r="AF653" s="136">
        <f>IF(E653=$AF$6,1,"")</f>
        <v/>
      </c>
      <c r="AG653" s="136">
        <f>IF(E653=$AG$6,1,"")</f>
        <v/>
      </c>
      <c r="AH653" s="136">
        <f>IF(E653=$AH$6,1,"")</f>
        <v/>
      </c>
      <c r="AI653" s="136">
        <f>IF(E653=$AI$6,1,"")</f>
        <v/>
      </c>
      <c r="AJ653" s="136">
        <f>IF(E653=$AJ$6,1,"")</f>
        <v/>
      </c>
      <c r="AK653" s="81">
        <f>IF(E653=$AK$6,1,"")</f>
        <v/>
      </c>
      <c r="AL653" s="81">
        <f>IF(E653=$AL$6,1,"")</f>
        <v/>
      </c>
      <c r="AM653" s="81">
        <f>IF(E653=$AM$6,1,"")</f>
        <v/>
      </c>
      <c r="AN653" s="81">
        <f>IF(E653=$AN$6,1,"")</f>
        <v/>
      </c>
      <c r="AO653" s="81">
        <f>IF(E653=$AO$6,1,"")</f>
        <v/>
      </c>
      <c r="AP653" s="81">
        <f>IF(E653=$AP$6,1,"")</f>
        <v/>
      </c>
      <c r="AQ653" s="81">
        <f>IF(E653=$AQ$6,1,"")</f>
        <v/>
      </c>
      <c r="AR653" s="81">
        <f>IF(E653=$AR$6,1,"")</f>
        <v/>
      </c>
      <c r="AS653" s="81" t="n"/>
    </row>
    <row r="654" ht="15.75" customHeight="1" s="80">
      <c r="A654" s="157" t="n"/>
      <c r="B654" s="124" t="n"/>
      <c r="C654" s="125" t="n"/>
      <c r="D654" s="126" t="n"/>
      <c r="E654" s="127" t="n"/>
      <c r="F654" s="128" t="n"/>
      <c r="G654" s="129">
        <f>IF(F654="","",ROUND(F654/60,2))</f>
        <v/>
      </c>
      <c r="H654" s="130" t="n"/>
      <c r="I654" s="131" t="n"/>
      <c r="J654" s="131">
        <f>IF(COUNTIF(B654:E654,"*")=0,"",IF(T654=1,"Invalid Service",IF(AND(V654=1,F654=""),"Add Session Mins",IF(AND(E654&gt;0,H654="",T654=""),"Enter Contract Rate",IF(AND(E654="IEP mtg, prep, rept",F654&gt;0),(G654*H654),IF(AND(E654&gt;0,F654&gt;0,H654&gt;0,I654=""),"Enter Travel",IF(AND(F654&gt;0,I654="Y"),(G654*H654)+$M$10,IF(AND(F654&gt;0,I654="N"),(G654*H654),H654))))))))</f>
        <v/>
      </c>
      <c r="K654" s="132">
        <f>J654</f>
        <v/>
      </c>
      <c r="L654" s="148" t="n"/>
      <c r="M654" s="148" t="n"/>
      <c r="N654" s="148" t="n"/>
      <c r="O654" s="87" t="n"/>
      <c r="P654" s="81" t="n"/>
      <c r="Q654" s="81" t="n"/>
      <c r="R654" s="81" t="n"/>
      <c r="S654" s="81" t="n"/>
      <c r="T654" s="136">
        <f>IF(AND(E654&gt;0,U654=0),1,"")</f>
        <v/>
      </c>
      <c r="U654" s="136">
        <f>SUM(X654:AR654)</f>
        <v/>
      </c>
      <c r="V654" s="136">
        <f>IF(E654=$Q$16,0,SUM(X654:AI654))</f>
        <v/>
      </c>
      <c r="W654" s="136">
        <f>SUM(AK654:AR654)</f>
        <v/>
      </c>
      <c r="X654" s="136">
        <f>IF(E654=$X$6,1,"")</f>
        <v/>
      </c>
      <c r="Y654" s="136">
        <f>IF(E654=$Y$6,1,"")</f>
        <v/>
      </c>
      <c r="Z654" s="136">
        <f>IF(E654=$Z$6,1,"")</f>
        <v/>
      </c>
      <c r="AA654" s="136">
        <f>IF(E654=$AA$6,1,"")</f>
        <v/>
      </c>
      <c r="AB654" s="136">
        <f>IF(E654=$AB$6,1,"")</f>
        <v/>
      </c>
      <c r="AC654" s="136">
        <f>IF(E654=$AC$6,1,"")</f>
        <v/>
      </c>
      <c r="AD654" s="136">
        <f>IF(E654=$AD$6,1,"")</f>
        <v/>
      </c>
      <c r="AE654" s="136">
        <f>IF(E654=$AE$6,1,"")</f>
        <v/>
      </c>
      <c r="AF654" s="136">
        <f>IF(E654=$AF$6,1,"")</f>
        <v/>
      </c>
      <c r="AG654" s="136">
        <f>IF(E654=$AG$6,1,"")</f>
        <v/>
      </c>
      <c r="AH654" s="136">
        <f>IF(E654=$AH$6,1,"")</f>
        <v/>
      </c>
      <c r="AI654" s="136">
        <f>IF(E654=$AI$6,1,"")</f>
        <v/>
      </c>
      <c r="AJ654" s="136">
        <f>IF(E654=$AJ$6,1,"")</f>
        <v/>
      </c>
      <c r="AK654" s="81">
        <f>IF(E654=$AK$6,1,"")</f>
        <v/>
      </c>
      <c r="AL654" s="81">
        <f>IF(E654=$AL$6,1,"")</f>
        <v/>
      </c>
      <c r="AM654" s="81">
        <f>IF(E654=$AM$6,1,"")</f>
        <v/>
      </c>
      <c r="AN654" s="81">
        <f>IF(E654=$AN$6,1,"")</f>
        <v/>
      </c>
      <c r="AO654" s="81">
        <f>IF(E654=$AO$6,1,"")</f>
        <v/>
      </c>
      <c r="AP654" s="81">
        <f>IF(E654=$AP$6,1,"")</f>
        <v/>
      </c>
      <c r="AQ654" s="81">
        <f>IF(E654=$AQ$6,1,"")</f>
        <v/>
      </c>
      <c r="AR654" s="81">
        <f>IF(E654=$AR$6,1,"")</f>
        <v/>
      </c>
      <c r="AS654" s="81" t="n"/>
    </row>
    <row r="655" ht="15.75" customHeight="1" s="80">
      <c r="A655" s="157" t="n"/>
      <c r="B655" s="124" t="n"/>
      <c r="C655" s="125" t="n"/>
      <c r="D655" s="126" t="n"/>
      <c r="E655" s="127" t="n"/>
      <c r="F655" s="128" t="n"/>
      <c r="G655" s="129">
        <f>IF(F655="","",ROUND(F655/60,2))</f>
        <v/>
      </c>
      <c r="H655" s="130" t="n"/>
      <c r="I655" s="131" t="n"/>
      <c r="J655" s="131">
        <f>IF(COUNTIF(B655:E655,"*")=0,"",IF(T655=1,"Invalid Service",IF(AND(V655=1,F655=""),"Add Session Mins",IF(AND(E655&gt;0,H655="",T655=""),"Enter Contract Rate",IF(AND(E655="IEP mtg, prep, rept",F655&gt;0),(G655*H655),IF(AND(E655&gt;0,F655&gt;0,H655&gt;0,I655=""),"Enter Travel",IF(AND(F655&gt;0,I655="Y"),(G655*H655)+$M$10,IF(AND(F655&gt;0,I655="N"),(G655*H655),H655))))))))</f>
        <v/>
      </c>
      <c r="K655" s="132">
        <f>J655</f>
        <v/>
      </c>
      <c r="L655" s="148" t="n"/>
      <c r="M655" s="148" t="n"/>
      <c r="N655" s="148" t="n"/>
      <c r="O655" s="87" t="n"/>
      <c r="P655" s="81" t="n"/>
      <c r="Q655" s="81" t="n"/>
      <c r="R655" s="81" t="n"/>
      <c r="S655" s="81" t="n"/>
      <c r="T655" s="136">
        <f>IF(AND(E655&gt;0,U655=0),1,"")</f>
        <v/>
      </c>
      <c r="U655" s="136">
        <f>SUM(X655:AR655)</f>
        <v/>
      </c>
      <c r="V655" s="136">
        <f>IF(E655=$Q$16,0,SUM(X655:AI655))</f>
        <v/>
      </c>
      <c r="W655" s="136">
        <f>SUM(AK655:AR655)</f>
        <v/>
      </c>
      <c r="X655" s="136">
        <f>IF(E655=$X$6,1,"")</f>
        <v/>
      </c>
      <c r="Y655" s="136">
        <f>IF(E655=$Y$6,1,"")</f>
        <v/>
      </c>
      <c r="Z655" s="136">
        <f>IF(E655=$Z$6,1,"")</f>
        <v/>
      </c>
      <c r="AA655" s="136">
        <f>IF(E655=$AA$6,1,"")</f>
        <v/>
      </c>
      <c r="AB655" s="136">
        <f>IF(E655=$AB$6,1,"")</f>
        <v/>
      </c>
      <c r="AC655" s="136">
        <f>IF(E655=$AC$6,1,"")</f>
        <v/>
      </c>
      <c r="AD655" s="136">
        <f>IF(E655=$AD$6,1,"")</f>
        <v/>
      </c>
      <c r="AE655" s="136">
        <f>IF(E655=$AE$6,1,"")</f>
        <v/>
      </c>
      <c r="AF655" s="136">
        <f>IF(E655=$AF$6,1,"")</f>
        <v/>
      </c>
      <c r="AG655" s="136">
        <f>IF(E655=$AG$6,1,"")</f>
        <v/>
      </c>
      <c r="AH655" s="136">
        <f>IF(E655=$AH$6,1,"")</f>
        <v/>
      </c>
      <c r="AI655" s="136">
        <f>IF(E655=$AI$6,1,"")</f>
        <v/>
      </c>
      <c r="AJ655" s="136">
        <f>IF(E655=$AJ$6,1,"")</f>
        <v/>
      </c>
      <c r="AK655" s="81">
        <f>IF(E655=$AK$6,1,"")</f>
        <v/>
      </c>
      <c r="AL655" s="81">
        <f>IF(E655=$AL$6,1,"")</f>
        <v/>
      </c>
      <c r="AM655" s="81">
        <f>IF(E655=$AM$6,1,"")</f>
        <v/>
      </c>
      <c r="AN655" s="81">
        <f>IF(E655=$AN$6,1,"")</f>
        <v/>
      </c>
      <c r="AO655" s="81">
        <f>IF(E655=$AO$6,1,"")</f>
        <v/>
      </c>
      <c r="AP655" s="81">
        <f>IF(E655=$AP$6,1,"")</f>
        <v/>
      </c>
      <c r="AQ655" s="81">
        <f>IF(E655=$AQ$6,1,"")</f>
        <v/>
      </c>
      <c r="AR655" s="81">
        <f>IF(E655=$AR$6,1,"")</f>
        <v/>
      </c>
      <c r="AS655" s="81" t="n"/>
    </row>
    <row r="656" ht="15.75" customHeight="1" s="80">
      <c r="A656" s="157" t="n"/>
      <c r="B656" s="124" t="n"/>
      <c r="C656" s="125" t="n"/>
      <c r="D656" s="126" t="n"/>
      <c r="E656" s="127" t="n"/>
      <c r="F656" s="128" t="n"/>
      <c r="G656" s="129">
        <f>IF(F656="","",ROUND(F656/60,2))</f>
        <v/>
      </c>
      <c r="H656" s="130" t="n"/>
      <c r="I656" s="131" t="n"/>
      <c r="J656" s="131">
        <f>IF(COUNTIF(B656:E656,"*")=0,"",IF(T656=1,"Invalid Service",IF(AND(V656=1,F656=""),"Add Session Mins",IF(AND(E656&gt;0,H656="",T656=""),"Enter Contract Rate",IF(AND(E656="IEP mtg, prep, rept",F656&gt;0),(G656*H656),IF(AND(E656&gt;0,F656&gt;0,H656&gt;0,I656=""),"Enter Travel",IF(AND(F656&gt;0,I656="Y"),(G656*H656)+$M$10,IF(AND(F656&gt;0,I656="N"),(G656*H656),H656))))))))</f>
        <v/>
      </c>
      <c r="K656" s="132">
        <f>J656</f>
        <v/>
      </c>
      <c r="L656" s="148" t="n"/>
      <c r="M656" s="148" t="n"/>
      <c r="N656" s="148" t="n"/>
      <c r="O656" s="87" t="n"/>
      <c r="P656" s="81" t="n"/>
      <c r="Q656" s="81" t="n"/>
      <c r="R656" s="81" t="n"/>
      <c r="S656" s="81" t="n"/>
      <c r="T656" s="136">
        <f>IF(AND(E656&gt;0,U656=0),1,"")</f>
        <v/>
      </c>
      <c r="U656" s="136">
        <f>SUM(X656:AR656)</f>
        <v/>
      </c>
      <c r="V656" s="136">
        <f>IF(E656=$Q$16,0,SUM(X656:AI656))</f>
        <v/>
      </c>
      <c r="W656" s="136">
        <f>SUM(AK656:AR656)</f>
        <v/>
      </c>
      <c r="X656" s="136">
        <f>IF(E656=$X$6,1,"")</f>
        <v/>
      </c>
      <c r="Y656" s="136">
        <f>IF(E656=$Y$6,1,"")</f>
        <v/>
      </c>
      <c r="Z656" s="136">
        <f>IF(E656=$Z$6,1,"")</f>
        <v/>
      </c>
      <c r="AA656" s="136">
        <f>IF(E656=$AA$6,1,"")</f>
        <v/>
      </c>
      <c r="AB656" s="136">
        <f>IF(E656=$AB$6,1,"")</f>
        <v/>
      </c>
      <c r="AC656" s="136">
        <f>IF(E656=$AC$6,1,"")</f>
        <v/>
      </c>
      <c r="AD656" s="136">
        <f>IF(E656=$AD$6,1,"")</f>
        <v/>
      </c>
      <c r="AE656" s="136">
        <f>IF(E656=$AE$6,1,"")</f>
        <v/>
      </c>
      <c r="AF656" s="136">
        <f>IF(E656=$AF$6,1,"")</f>
        <v/>
      </c>
      <c r="AG656" s="136">
        <f>IF(E656=$AG$6,1,"")</f>
        <v/>
      </c>
      <c r="AH656" s="136">
        <f>IF(E656=$AH$6,1,"")</f>
        <v/>
      </c>
      <c r="AI656" s="136">
        <f>IF(E656=$AI$6,1,"")</f>
        <v/>
      </c>
      <c r="AJ656" s="136">
        <f>IF(E656=$AJ$6,1,"")</f>
        <v/>
      </c>
      <c r="AK656" s="81">
        <f>IF(E656=$AK$6,1,"")</f>
        <v/>
      </c>
      <c r="AL656" s="81">
        <f>IF(E656=$AL$6,1,"")</f>
        <v/>
      </c>
      <c r="AM656" s="81">
        <f>IF(E656=$AM$6,1,"")</f>
        <v/>
      </c>
      <c r="AN656" s="81">
        <f>IF(E656=$AN$6,1,"")</f>
        <v/>
      </c>
      <c r="AO656" s="81">
        <f>IF(E656=$AO$6,1,"")</f>
        <v/>
      </c>
      <c r="AP656" s="81">
        <f>IF(E656=$AP$6,1,"")</f>
        <v/>
      </c>
      <c r="AQ656" s="81">
        <f>IF(E656=$AQ$6,1,"")</f>
        <v/>
      </c>
      <c r="AR656" s="81">
        <f>IF(E656=$AR$6,1,"")</f>
        <v/>
      </c>
      <c r="AS656" s="81" t="n"/>
    </row>
    <row r="657" ht="15.75" customHeight="1" s="80">
      <c r="A657" s="157" t="n"/>
      <c r="B657" s="124" t="n"/>
      <c r="C657" s="125" t="n"/>
      <c r="D657" s="126" t="n"/>
      <c r="E657" s="127" t="n"/>
      <c r="F657" s="128" t="n"/>
      <c r="G657" s="129">
        <f>IF(F657="","",ROUND(F657/60,2))</f>
        <v/>
      </c>
      <c r="H657" s="130" t="n"/>
      <c r="I657" s="131" t="n"/>
      <c r="J657" s="131">
        <f>IF(COUNTIF(B657:E657,"*")=0,"",IF(T657=1,"Invalid Service",IF(AND(V657=1,F657=""),"Add Session Mins",IF(AND(E657&gt;0,H657="",T657=""),"Enter Contract Rate",IF(AND(E657="IEP mtg, prep, rept",F657&gt;0),(G657*H657),IF(AND(E657&gt;0,F657&gt;0,H657&gt;0,I657=""),"Enter Travel",IF(AND(F657&gt;0,I657="Y"),(G657*H657)+$M$10,IF(AND(F657&gt;0,I657="N"),(G657*H657),H657))))))))</f>
        <v/>
      </c>
      <c r="K657" s="132">
        <f>J657</f>
        <v/>
      </c>
      <c r="L657" s="148" t="n"/>
      <c r="M657" s="148" t="n"/>
      <c r="N657" s="148" t="n"/>
      <c r="O657" s="87" t="n"/>
      <c r="P657" s="81" t="n"/>
      <c r="Q657" s="81" t="n"/>
      <c r="R657" s="81" t="n"/>
      <c r="S657" s="81" t="n"/>
      <c r="T657" s="136">
        <f>IF(AND(E657&gt;0,U657=0),1,"")</f>
        <v/>
      </c>
      <c r="U657" s="136">
        <f>SUM(X657:AR657)</f>
        <v/>
      </c>
      <c r="V657" s="136">
        <f>IF(E657=$Q$16,0,SUM(X657:AI657))</f>
        <v/>
      </c>
      <c r="W657" s="136">
        <f>SUM(AK657:AR657)</f>
        <v/>
      </c>
      <c r="X657" s="136">
        <f>IF(E657=$X$6,1,"")</f>
        <v/>
      </c>
      <c r="Y657" s="136">
        <f>IF(E657=$Y$6,1,"")</f>
        <v/>
      </c>
      <c r="Z657" s="136">
        <f>IF(E657=$Z$6,1,"")</f>
        <v/>
      </c>
      <c r="AA657" s="136">
        <f>IF(E657=$AA$6,1,"")</f>
        <v/>
      </c>
      <c r="AB657" s="136">
        <f>IF(E657=$AB$6,1,"")</f>
        <v/>
      </c>
      <c r="AC657" s="136">
        <f>IF(E657=$AC$6,1,"")</f>
        <v/>
      </c>
      <c r="AD657" s="136">
        <f>IF(E657=$AD$6,1,"")</f>
        <v/>
      </c>
      <c r="AE657" s="136">
        <f>IF(E657=$AE$6,1,"")</f>
        <v/>
      </c>
      <c r="AF657" s="136">
        <f>IF(E657=$AF$6,1,"")</f>
        <v/>
      </c>
      <c r="AG657" s="136">
        <f>IF(E657=$AG$6,1,"")</f>
        <v/>
      </c>
      <c r="AH657" s="136">
        <f>IF(E657=$AH$6,1,"")</f>
        <v/>
      </c>
      <c r="AI657" s="136">
        <f>IF(E657=$AI$6,1,"")</f>
        <v/>
      </c>
      <c r="AJ657" s="136">
        <f>IF(E657=$AJ$6,1,"")</f>
        <v/>
      </c>
      <c r="AK657" s="81">
        <f>IF(E657=$AK$6,1,"")</f>
        <v/>
      </c>
      <c r="AL657" s="81">
        <f>IF(E657=$AL$6,1,"")</f>
        <v/>
      </c>
      <c r="AM657" s="81">
        <f>IF(E657=$AM$6,1,"")</f>
        <v/>
      </c>
      <c r="AN657" s="81">
        <f>IF(E657=$AN$6,1,"")</f>
        <v/>
      </c>
      <c r="AO657" s="81">
        <f>IF(E657=$AO$6,1,"")</f>
        <v/>
      </c>
      <c r="AP657" s="81">
        <f>IF(E657=$AP$6,1,"")</f>
        <v/>
      </c>
      <c r="AQ657" s="81">
        <f>IF(E657=$AQ$6,1,"")</f>
        <v/>
      </c>
      <c r="AR657" s="81">
        <f>IF(E657=$AR$6,1,"")</f>
        <v/>
      </c>
      <c r="AS657" s="81" t="n"/>
    </row>
    <row r="658" ht="15.75" customHeight="1" s="80">
      <c r="A658" s="157" t="n"/>
      <c r="B658" s="124" t="n"/>
      <c r="C658" s="125" t="n"/>
      <c r="D658" s="126" t="n"/>
      <c r="E658" s="127" t="n"/>
      <c r="F658" s="128" t="n"/>
      <c r="G658" s="129">
        <f>IF(F658="","",ROUND(F658/60,2))</f>
        <v/>
      </c>
      <c r="H658" s="130" t="n"/>
      <c r="I658" s="131" t="n"/>
      <c r="J658" s="131">
        <f>IF(COUNTIF(B658:E658,"*")=0,"",IF(T658=1,"Invalid Service",IF(AND(V658=1,F658=""),"Add Session Mins",IF(AND(E658&gt;0,H658="",T658=""),"Enter Contract Rate",IF(AND(E658="IEP mtg, prep, rept",F658&gt;0),(G658*H658),IF(AND(E658&gt;0,F658&gt;0,H658&gt;0,I658=""),"Enter Travel",IF(AND(F658&gt;0,I658="Y"),(G658*H658)+$M$10,IF(AND(F658&gt;0,I658="N"),(G658*H658),H658))))))))</f>
        <v/>
      </c>
      <c r="K658" s="132">
        <f>J658</f>
        <v/>
      </c>
      <c r="L658" s="148" t="n"/>
      <c r="M658" s="148" t="n"/>
      <c r="N658" s="148" t="n"/>
      <c r="O658" s="87" t="n"/>
      <c r="P658" s="81" t="n"/>
      <c r="Q658" s="81" t="n"/>
      <c r="R658" s="81" t="n"/>
      <c r="S658" s="81" t="n"/>
      <c r="T658" s="136">
        <f>IF(AND(E658&gt;0,U658=0),1,"")</f>
        <v/>
      </c>
      <c r="U658" s="136">
        <f>SUM(X658:AR658)</f>
        <v/>
      </c>
      <c r="V658" s="136">
        <f>IF(E658=$Q$16,0,SUM(X658:AI658))</f>
        <v/>
      </c>
      <c r="W658" s="136">
        <f>SUM(AK658:AR658)</f>
        <v/>
      </c>
      <c r="X658" s="136">
        <f>IF(E658=$X$6,1,"")</f>
        <v/>
      </c>
      <c r="Y658" s="136">
        <f>IF(E658=$Y$6,1,"")</f>
        <v/>
      </c>
      <c r="Z658" s="136">
        <f>IF(E658=$Z$6,1,"")</f>
        <v/>
      </c>
      <c r="AA658" s="136">
        <f>IF(E658=$AA$6,1,"")</f>
        <v/>
      </c>
      <c r="AB658" s="136">
        <f>IF(E658=$AB$6,1,"")</f>
        <v/>
      </c>
      <c r="AC658" s="136">
        <f>IF(E658=$AC$6,1,"")</f>
        <v/>
      </c>
      <c r="AD658" s="136">
        <f>IF(E658=$AD$6,1,"")</f>
        <v/>
      </c>
      <c r="AE658" s="136">
        <f>IF(E658=$AE$6,1,"")</f>
        <v/>
      </c>
      <c r="AF658" s="136">
        <f>IF(E658=$AF$6,1,"")</f>
        <v/>
      </c>
      <c r="AG658" s="136">
        <f>IF(E658=$AG$6,1,"")</f>
        <v/>
      </c>
      <c r="AH658" s="136">
        <f>IF(E658=$AH$6,1,"")</f>
        <v/>
      </c>
      <c r="AI658" s="136">
        <f>IF(E658=$AI$6,1,"")</f>
        <v/>
      </c>
      <c r="AJ658" s="136">
        <f>IF(E658=$AJ$6,1,"")</f>
        <v/>
      </c>
      <c r="AK658" s="81">
        <f>IF(E658=$AK$6,1,"")</f>
        <v/>
      </c>
      <c r="AL658" s="81">
        <f>IF(E658=$AL$6,1,"")</f>
        <v/>
      </c>
      <c r="AM658" s="81">
        <f>IF(E658=$AM$6,1,"")</f>
        <v/>
      </c>
      <c r="AN658" s="81">
        <f>IF(E658=$AN$6,1,"")</f>
        <v/>
      </c>
      <c r="AO658" s="81">
        <f>IF(E658=$AO$6,1,"")</f>
        <v/>
      </c>
      <c r="AP658" s="81">
        <f>IF(E658=$AP$6,1,"")</f>
        <v/>
      </c>
      <c r="AQ658" s="81">
        <f>IF(E658=$AQ$6,1,"")</f>
        <v/>
      </c>
      <c r="AR658" s="81">
        <f>IF(E658=$AR$6,1,"")</f>
        <v/>
      </c>
      <c r="AS658" s="81" t="n"/>
    </row>
    <row r="659" ht="15.75" customHeight="1" s="80">
      <c r="A659" s="157" t="n"/>
      <c r="B659" s="124" t="n"/>
      <c r="C659" s="125" t="n"/>
      <c r="D659" s="126" t="n"/>
      <c r="E659" s="127" t="n"/>
      <c r="F659" s="128" t="n"/>
      <c r="G659" s="129">
        <f>IF(F659="","",ROUND(F659/60,2))</f>
        <v/>
      </c>
      <c r="H659" s="130" t="n"/>
      <c r="I659" s="131" t="n"/>
      <c r="J659" s="131">
        <f>IF(COUNTIF(B659:E659,"*")=0,"",IF(T659=1,"Invalid Service",IF(AND(V659=1,F659=""),"Add Session Mins",IF(AND(E659&gt;0,H659="",T659=""),"Enter Contract Rate",IF(AND(E659="IEP mtg, prep, rept",F659&gt;0),(G659*H659),IF(AND(E659&gt;0,F659&gt;0,H659&gt;0,I659=""),"Enter Travel",IF(AND(F659&gt;0,I659="Y"),(G659*H659)+$M$10,IF(AND(F659&gt;0,I659="N"),(G659*H659),H659))))))))</f>
        <v/>
      </c>
      <c r="K659" s="132">
        <f>J659</f>
        <v/>
      </c>
      <c r="L659" s="148" t="n"/>
      <c r="M659" s="148" t="n"/>
      <c r="N659" s="148" t="n"/>
      <c r="O659" s="87" t="n"/>
      <c r="P659" s="81" t="n"/>
      <c r="Q659" s="81" t="n"/>
      <c r="R659" s="81" t="n"/>
      <c r="S659" s="81" t="n"/>
      <c r="T659" s="136">
        <f>IF(AND(E659&gt;0,U659=0),1,"")</f>
        <v/>
      </c>
      <c r="U659" s="136">
        <f>SUM(X659:AR659)</f>
        <v/>
      </c>
      <c r="V659" s="136">
        <f>IF(E659=$Q$16,0,SUM(X659:AI659))</f>
        <v/>
      </c>
      <c r="W659" s="136">
        <f>SUM(AK659:AR659)</f>
        <v/>
      </c>
      <c r="X659" s="136">
        <f>IF(E659=$X$6,1,"")</f>
        <v/>
      </c>
      <c r="Y659" s="136">
        <f>IF(E659=$Y$6,1,"")</f>
        <v/>
      </c>
      <c r="Z659" s="136">
        <f>IF(E659=$Z$6,1,"")</f>
        <v/>
      </c>
      <c r="AA659" s="136">
        <f>IF(E659=$AA$6,1,"")</f>
        <v/>
      </c>
      <c r="AB659" s="136">
        <f>IF(E659=$AB$6,1,"")</f>
        <v/>
      </c>
      <c r="AC659" s="136">
        <f>IF(E659=$AC$6,1,"")</f>
        <v/>
      </c>
      <c r="AD659" s="136">
        <f>IF(E659=$AD$6,1,"")</f>
        <v/>
      </c>
      <c r="AE659" s="136">
        <f>IF(E659=$AE$6,1,"")</f>
        <v/>
      </c>
      <c r="AF659" s="136">
        <f>IF(E659=$AF$6,1,"")</f>
        <v/>
      </c>
      <c r="AG659" s="136">
        <f>IF(E659=$AG$6,1,"")</f>
        <v/>
      </c>
      <c r="AH659" s="136">
        <f>IF(E659=$AH$6,1,"")</f>
        <v/>
      </c>
      <c r="AI659" s="136">
        <f>IF(E659=$AI$6,1,"")</f>
        <v/>
      </c>
      <c r="AJ659" s="136">
        <f>IF(E659=$AJ$6,1,"")</f>
        <v/>
      </c>
      <c r="AK659" s="81">
        <f>IF(E659=$AK$6,1,"")</f>
        <v/>
      </c>
      <c r="AL659" s="81">
        <f>IF(E659=$AL$6,1,"")</f>
        <v/>
      </c>
      <c r="AM659" s="81">
        <f>IF(E659=$AM$6,1,"")</f>
        <v/>
      </c>
      <c r="AN659" s="81">
        <f>IF(E659=$AN$6,1,"")</f>
        <v/>
      </c>
      <c r="AO659" s="81">
        <f>IF(E659=$AO$6,1,"")</f>
        <v/>
      </c>
      <c r="AP659" s="81">
        <f>IF(E659=$AP$6,1,"")</f>
        <v/>
      </c>
      <c r="AQ659" s="81">
        <f>IF(E659=$AQ$6,1,"")</f>
        <v/>
      </c>
      <c r="AR659" s="81">
        <f>IF(E659=$AR$6,1,"")</f>
        <v/>
      </c>
      <c r="AS659" s="81" t="n"/>
    </row>
    <row r="660" ht="15.75" customHeight="1" s="80">
      <c r="A660" s="157" t="n"/>
      <c r="B660" s="124" t="n"/>
      <c r="C660" s="125" t="n"/>
      <c r="D660" s="126" t="n"/>
      <c r="E660" s="127" t="n"/>
      <c r="F660" s="128" t="n"/>
      <c r="G660" s="129">
        <f>IF(F660="","",ROUND(F660/60,2))</f>
        <v/>
      </c>
      <c r="H660" s="130" t="n"/>
      <c r="I660" s="131" t="n"/>
      <c r="J660" s="131">
        <f>IF(COUNTIF(B660:E660,"*")=0,"",IF(T660=1,"Invalid Service",IF(AND(V660=1,F660=""),"Add Session Mins",IF(AND(E660&gt;0,H660="",T660=""),"Enter Contract Rate",IF(AND(E660="IEP mtg, prep, rept",F660&gt;0),(G660*H660),IF(AND(E660&gt;0,F660&gt;0,H660&gt;0,I660=""),"Enter Travel",IF(AND(F660&gt;0,I660="Y"),(G660*H660)+$M$10,IF(AND(F660&gt;0,I660="N"),(G660*H660),H660))))))))</f>
        <v/>
      </c>
      <c r="K660" s="132">
        <f>J660</f>
        <v/>
      </c>
      <c r="L660" s="148" t="n"/>
      <c r="M660" s="148" t="n"/>
      <c r="N660" s="148" t="n"/>
      <c r="O660" s="87" t="n"/>
      <c r="P660" s="81" t="n"/>
      <c r="Q660" s="81" t="n"/>
      <c r="R660" s="81" t="n"/>
      <c r="S660" s="81" t="n"/>
      <c r="T660" s="136">
        <f>IF(AND(E660&gt;0,U660=0),1,"")</f>
        <v/>
      </c>
      <c r="U660" s="136">
        <f>SUM(X660:AR660)</f>
        <v/>
      </c>
      <c r="V660" s="136">
        <f>IF(E660=$Q$16,0,SUM(X660:AI660))</f>
        <v/>
      </c>
      <c r="W660" s="136">
        <f>SUM(AK660:AR660)</f>
        <v/>
      </c>
      <c r="X660" s="136">
        <f>IF(E660=$X$6,1,"")</f>
        <v/>
      </c>
      <c r="Y660" s="136">
        <f>IF(E660=$Y$6,1,"")</f>
        <v/>
      </c>
      <c r="Z660" s="136">
        <f>IF(E660=$Z$6,1,"")</f>
        <v/>
      </c>
      <c r="AA660" s="136">
        <f>IF(E660=$AA$6,1,"")</f>
        <v/>
      </c>
      <c r="AB660" s="136">
        <f>IF(E660=$AB$6,1,"")</f>
        <v/>
      </c>
      <c r="AC660" s="136">
        <f>IF(E660=$AC$6,1,"")</f>
        <v/>
      </c>
      <c r="AD660" s="136">
        <f>IF(E660=$AD$6,1,"")</f>
        <v/>
      </c>
      <c r="AE660" s="136">
        <f>IF(E660=$AE$6,1,"")</f>
        <v/>
      </c>
      <c r="AF660" s="136">
        <f>IF(E660=$AF$6,1,"")</f>
        <v/>
      </c>
      <c r="AG660" s="136">
        <f>IF(E660=$AG$6,1,"")</f>
        <v/>
      </c>
      <c r="AH660" s="136">
        <f>IF(E660=$AH$6,1,"")</f>
        <v/>
      </c>
      <c r="AI660" s="136">
        <f>IF(E660=$AI$6,1,"")</f>
        <v/>
      </c>
      <c r="AJ660" s="136">
        <f>IF(E660=$AJ$6,1,"")</f>
        <v/>
      </c>
      <c r="AK660" s="81">
        <f>IF(E660=$AK$6,1,"")</f>
        <v/>
      </c>
      <c r="AL660" s="81">
        <f>IF(E660=$AL$6,1,"")</f>
        <v/>
      </c>
      <c r="AM660" s="81">
        <f>IF(E660=$AM$6,1,"")</f>
        <v/>
      </c>
      <c r="AN660" s="81">
        <f>IF(E660=$AN$6,1,"")</f>
        <v/>
      </c>
      <c r="AO660" s="81">
        <f>IF(E660=$AO$6,1,"")</f>
        <v/>
      </c>
      <c r="AP660" s="81">
        <f>IF(E660=$AP$6,1,"")</f>
        <v/>
      </c>
      <c r="AQ660" s="81">
        <f>IF(E660=$AQ$6,1,"")</f>
        <v/>
      </c>
      <c r="AR660" s="81">
        <f>IF(E660=$AR$6,1,"")</f>
        <v/>
      </c>
      <c r="AS660" s="81" t="n"/>
    </row>
    <row r="661" ht="15.75" customHeight="1" s="80">
      <c r="A661" s="157" t="n"/>
      <c r="B661" s="124" t="n"/>
      <c r="C661" s="125" t="n"/>
      <c r="D661" s="126" t="n"/>
      <c r="E661" s="127" t="n"/>
      <c r="F661" s="128" t="n"/>
      <c r="G661" s="129">
        <f>IF(F661="","",ROUND(F661/60,2))</f>
        <v/>
      </c>
      <c r="H661" s="130" t="n"/>
      <c r="I661" s="131" t="n"/>
      <c r="J661" s="131">
        <f>IF(COUNTIF(B661:E661,"*")=0,"",IF(T661=1,"Invalid Service",IF(AND(V661=1,F661=""),"Add Session Mins",IF(AND(E661&gt;0,H661="",T661=""),"Enter Contract Rate",IF(AND(E661="IEP mtg, prep, rept",F661&gt;0),(G661*H661),IF(AND(E661&gt;0,F661&gt;0,H661&gt;0,I661=""),"Enter Travel",IF(AND(F661&gt;0,I661="Y"),(G661*H661)+$M$10,IF(AND(F661&gt;0,I661="N"),(G661*H661),H661))))))))</f>
        <v/>
      </c>
      <c r="K661" s="132">
        <f>J661</f>
        <v/>
      </c>
      <c r="L661" s="148" t="n"/>
      <c r="M661" s="148" t="n"/>
      <c r="N661" s="148" t="n"/>
      <c r="O661" s="87" t="n"/>
      <c r="P661" s="81" t="n"/>
      <c r="Q661" s="81" t="n"/>
      <c r="R661" s="81" t="n"/>
      <c r="S661" s="81" t="n"/>
      <c r="T661" s="136">
        <f>IF(AND(E661&gt;0,U661=0),1,"")</f>
        <v/>
      </c>
      <c r="U661" s="136">
        <f>SUM(X661:AR661)</f>
        <v/>
      </c>
      <c r="V661" s="136">
        <f>IF(E661=$Q$16,0,SUM(X661:AI661))</f>
        <v/>
      </c>
      <c r="W661" s="136">
        <f>SUM(AK661:AR661)</f>
        <v/>
      </c>
      <c r="X661" s="136">
        <f>IF(E661=$X$6,1,"")</f>
        <v/>
      </c>
      <c r="Y661" s="136">
        <f>IF(E661=$Y$6,1,"")</f>
        <v/>
      </c>
      <c r="Z661" s="136">
        <f>IF(E661=$Z$6,1,"")</f>
        <v/>
      </c>
      <c r="AA661" s="136">
        <f>IF(E661=$AA$6,1,"")</f>
        <v/>
      </c>
      <c r="AB661" s="136">
        <f>IF(E661=$AB$6,1,"")</f>
        <v/>
      </c>
      <c r="AC661" s="136">
        <f>IF(E661=$AC$6,1,"")</f>
        <v/>
      </c>
      <c r="AD661" s="136">
        <f>IF(E661=$AD$6,1,"")</f>
        <v/>
      </c>
      <c r="AE661" s="136">
        <f>IF(E661=$AE$6,1,"")</f>
        <v/>
      </c>
      <c r="AF661" s="136">
        <f>IF(E661=$AF$6,1,"")</f>
        <v/>
      </c>
      <c r="AG661" s="136">
        <f>IF(E661=$AG$6,1,"")</f>
        <v/>
      </c>
      <c r="AH661" s="136">
        <f>IF(E661=$AH$6,1,"")</f>
        <v/>
      </c>
      <c r="AI661" s="136">
        <f>IF(E661=$AI$6,1,"")</f>
        <v/>
      </c>
      <c r="AJ661" s="136">
        <f>IF(E661=$AJ$6,1,"")</f>
        <v/>
      </c>
      <c r="AK661" s="81">
        <f>IF(E661=$AK$6,1,"")</f>
        <v/>
      </c>
      <c r="AL661" s="81">
        <f>IF(E661=$AL$6,1,"")</f>
        <v/>
      </c>
      <c r="AM661" s="81">
        <f>IF(E661=$AM$6,1,"")</f>
        <v/>
      </c>
      <c r="AN661" s="81">
        <f>IF(E661=$AN$6,1,"")</f>
        <v/>
      </c>
      <c r="AO661" s="81">
        <f>IF(E661=$AO$6,1,"")</f>
        <v/>
      </c>
      <c r="AP661" s="81">
        <f>IF(E661=$AP$6,1,"")</f>
        <v/>
      </c>
      <c r="AQ661" s="81">
        <f>IF(E661=$AQ$6,1,"")</f>
        <v/>
      </c>
      <c r="AR661" s="81">
        <f>IF(E661=$AR$6,1,"")</f>
        <v/>
      </c>
      <c r="AS661" s="81" t="n"/>
    </row>
    <row r="662" ht="15.75" customHeight="1" s="80">
      <c r="A662" s="157" t="n"/>
      <c r="B662" s="124" t="n"/>
      <c r="C662" s="125" t="n"/>
      <c r="D662" s="126" t="n"/>
      <c r="E662" s="127" t="n"/>
      <c r="F662" s="128" t="n"/>
      <c r="G662" s="129">
        <f>IF(F662="","",ROUND(F662/60,2))</f>
        <v/>
      </c>
      <c r="H662" s="130" t="n"/>
      <c r="I662" s="131" t="n"/>
      <c r="J662" s="131">
        <f>IF(COUNTIF(B662:E662,"*")=0,"",IF(T662=1,"Invalid Service",IF(AND(V662=1,F662=""),"Add Session Mins",IF(AND(E662&gt;0,H662="",T662=""),"Enter Contract Rate",IF(AND(E662="IEP mtg, prep, rept",F662&gt;0),(G662*H662),IF(AND(E662&gt;0,F662&gt;0,H662&gt;0,I662=""),"Enter Travel",IF(AND(F662&gt;0,I662="Y"),(G662*H662)+$M$10,IF(AND(F662&gt;0,I662="N"),(G662*H662),H662))))))))</f>
        <v/>
      </c>
      <c r="K662" s="132">
        <f>J662</f>
        <v/>
      </c>
      <c r="L662" s="148" t="n"/>
      <c r="M662" s="148" t="n"/>
      <c r="N662" s="148" t="n"/>
      <c r="O662" s="87" t="n"/>
      <c r="P662" s="81" t="n"/>
      <c r="Q662" s="81" t="n"/>
      <c r="R662" s="81" t="n"/>
      <c r="S662" s="81" t="n"/>
      <c r="T662" s="136">
        <f>IF(AND(E662&gt;0,U662=0),1,"")</f>
        <v/>
      </c>
      <c r="U662" s="136">
        <f>SUM(X662:AR662)</f>
        <v/>
      </c>
      <c r="V662" s="136">
        <f>IF(E662=$Q$16,0,SUM(X662:AI662))</f>
        <v/>
      </c>
      <c r="W662" s="136">
        <f>SUM(AK662:AR662)</f>
        <v/>
      </c>
      <c r="X662" s="136">
        <f>IF(E662=$X$6,1,"")</f>
        <v/>
      </c>
      <c r="Y662" s="136">
        <f>IF(E662=$Y$6,1,"")</f>
        <v/>
      </c>
      <c r="Z662" s="136">
        <f>IF(E662=$Z$6,1,"")</f>
        <v/>
      </c>
      <c r="AA662" s="136">
        <f>IF(E662=$AA$6,1,"")</f>
        <v/>
      </c>
      <c r="AB662" s="136">
        <f>IF(E662=$AB$6,1,"")</f>
        <v/>
      </c>
      <c r="AC662" s="136">
        <f>IF(E662=$AC$6,1,"")</f>
        <v/>
      </c>
      <c r="AD662" s="136">
        <f>IF(E662=$AD$6,1,"")</f>
        <v/>
      </c>
      <c r="AE662" s="136">
        <f>IF(E662=$AE$6,1,"")</f>
        <v/>
      </c>
      <c r="AF662" s="136">
        <f>IF(E662=$AF$6,1,"")</f>
        <v/>
      </c>
      <c r="AG662" s="136">
        <f>IF(E662=$AG$6,1,"")</f>
        <v/>
      </c>
      <c r="AH662" s="136">
        <f>IF(E662=$AH$6,1,"")</f>
        <v/>
      </c>
      <c r="AI662" s="136">
        <f>IF(E662=$AI$6,1,"")</f>
        <v/>
      </c>
      <c r="AJ662" s="136">
        <f>IF(E662=$AJ$6,1,"")</f>
        <v/>
      </c>
      <c r="AK662" s="81">
        <f>IF(E662=$AK$6,1,"")</f>
        <v/>
      </c>
      <c r="AL662" s="81">
        <f>IF(E662=$AL$6,1,"")</f>
        <v/>
      </c>
      <c r="AM662" s="81">
        <f>IF(E662=$AM$6,1,"")</f>
        <v/>
      </c>
      <c r="AN662" s="81">
        <f>IF(E662=$AN$6,1,"")</f>
        <v/>
      </c>
      <c r="AO662" s="81">
        <f>IF(E662=$AO$6,1,"")</f>
        <v/>
      </c>
      <c r="AP662" s="81">
        <f>IF(E662=$AP$6,1,"")</f>
        <v/>
      </c>
      <c r="AQ662" s="81">
        <f>IF(E662=$AQ$6,1,"")</f>
        <v/>
      </c>
      <c r="AR662" s="81">
        <f>IF(E662=$AR$6,1,"")</f>
        <v/>
      </c>
      <c r="AS662" s="81" t="n"/>
    </row>
    <row r="663" ht="15.75" customHeight="1" s="80">
      <c r="A663" s="157" t="n"/>
      <c r="B663" s="124" t="n"/>
      <c r="C663" s="125" t="n"/>
      <c r="D663" s="126" t="n"/>
      <c r="E663" s="127" t="n"/>
      <c r="F663" s="128" t="n"/>
      <c r="G663" s="129">
        <f>IF(F663="","",ROUND(F663/60,2))</f>
        <v/>
      </c>
      <c r="H663" s="130" t="n"/>
      <c r="I663" s="131" t="n"/>
      <c r="J663" s="131">
        <f>IF(COUNTIF(B663:E663,"*")=0,"",IF(T663=1,"Invalid Service",IF(AND(V663=1,F663=""),"Add Session Mins",IF(AND(E663&gt;0,H663="",T663=""),"Enter Contract Rate",IF(AND(E663="IEP mtg, prep, rept",F663&gt;0),(G663*H663),IF(AND(E663&gt;0,F663&gt;0,H663&gt;0,I663=""),"Enter Travel",IF(AND(F663&gt;0,I663="Y"),(G663*H663)+$M$10,IF(AND(F663&gt;0,I663="N"),(G663*H663),H663))))))))</f>
        <v/>
      </c>
      <c r="K663" s="132">
        <f>J663</f>
        <v/>
      </c>
      <c r="L663" s="148" t="n"/>
      <c r="M663" s="148" t="n"/>
      <c r="N663" s="148" t="n"/>
      <c r="O663" s="87" t="n"/>
      <c r="P663" s="81" t="n"/>
      <c r="Q663" s="81" t="n"/>
      <c r="R663" s="81" t="n"/>
      <c r="S663" s="81" t="n"/>
      <c r="T663" s="136">
        <f>IF(AND(E663&gt;0,U663=0),1,"")</f>
        <v/>
      </c>
      <c r="U663" s="136">
        <f>SUM(X663:AR663)</f>
        <v/>
      </c>
      <c r="V663" s="136">
        <f>IF(E663=$Q$16,0,SUM(X663:AI663))</f>
        <v/>
      </c>
      <c r="W663" s="136">
        <f>SUM(AK663:AR663)</f>
        <v/>
      </c>
      <c r="X663" s="136">
        <f>IF(E663=$X$6,1,"")</f>
        <v/>
      </c>
      <c r="Y663" s="136">
        <f>IF(E663=$Y$6,1,"")</f>
        <v/>
      </c>
      <c r="Z663" s="136">
        <f>IF(E663=$Z$6,1,"")</f>
        <v/>
      </c>
      <c r="AA663" s="136">
        <f>IF(E663=$AA$6,1,"")</f>
        <v/>
      </c>
      <c r="AB663" s="136">
        <f>IF(E663=$AB$6,1,"")</f>
        <v/>
      </c>
      <c r="AC663" s="136">
        <f>IF(E663=$AC$6,1,"")</f>
        <v/>
      </c>
      <c r="AD663" s="136">
        <f>IF(E663=$AD$6,1,"")</f>
        <v/>
      </c>
      <c r="AE663" s="136">
        <f>IF(E663=$AE$6,1,"")</f>
        <v/>
      </c>
      <c r="AF663" s="136">
        <f>IF(E663=$AF$6,1,"")</f>
        <v/>
      </c>
      <c r="AG663" s="136">
        <f>IF(E663=$AG$6,1,"")</f>
        <v/>
      </c>
      <c r="AH663" s="136">
        <f>IF(E663=$AH$6,1,"")</f>
        <v/>
      </c>
      <c r="AI663" s="136">
        <f>IF(E663=$AI$6,1,"")</f>
        <v/>
      </c>
      <c r="AJ663" s="136">
        <f>IF(E663=$AJ$6,1,"")</f>
        <v/>
      </c>
      <c r="AK663" s="81">
        <f>IF(E663=$AK$6,1,"")</f>
        <v/>
      </c>
      <c r="AL663" s="81">
        <f>IF(E663=$AL$6,1,"")</f>
        <v/>
      </c>
      <c r="AM663" s="81">
        <f>IF(E663=$AM$6,1,"")</f>
        <v/>
      </c>
      <c r="AN663" s="81">
        <f>IF(E663=$AN$6,1,"")</f>
        <v/>
      </c>
      <c r="AO663" s="81">
        <f>IF(E663=$AO$6,1,"")</f>
        <v/>
      </c>
      <c r="AP663" s="81">
        <f>IF(E663=$AP$6,1,"")</f>
        <v/>
      </c>
      <c r="AQ663" s="81">
        <f>IF(E663=$AQ$6,1,"")</f>
        <v/>
      </c>
      <c r="AR663" s="81">
        <f>IF(E663=$AR$6,1,"")</f>
        <v/>
      </c>
      <c r="AS663" s="81" t="n"/>
    </row>
    <row r="664" ht="15.75" customHeight="1" s="80">
      <c r="A664" s="157" t="n"/>
      <c r="B664" s="124" t="n"/>
      <c r="C664" s="125" t="n"/>
      <c r="D664" s="126" t="n"/>
      <c r="E664" s="127" t="n"/>
      <c r="F664" s="128" t="n"/>
      <c r="G664" s="129">
        <f>IF(F664="","",ROUND(F664/60,2))</f>
        <v/>
      </c>
      <c r="H664" s="130" t="n"/>
      <c r="I664" s="131" t="n"/>
      <c r="J664" s="131">
        <f>IF(COUNTIF(B664:E664,"*")=0,"",IF(T664=1,"Invalid Service",IF(AND(V664=1,F664=""),"Add Session Mins",IF(AND(E664&gt;0,H664="",T664=""),"Enter Contract Rate",IF(AND(E664="IEP mtg, prep, rept",F664&gt;0),(G664*H664),IF(AND(E664&gt;0,F664&gt;0,H664&gt;0,I664=""),"Enter Travel",IF(AND(F664&gt;0,I664="Y"),(G664*H664)+$M$10,IF(AND(F664&gt;0,I664="N"),(G664*H664),H664))))))))</f>
        <v/>
      </c>
      <c r="K664" s="132">
        <f>J664</f>
        <v/>
      </c>
      <c r="L664" s="148" t="n"/>
      <c r="M664" s="148" t="n"/>
      <c r="N664" s="148" t="n"/>
      <c r="O664" s="87" t="n"/>
      <c r="P664" s="81" t="n"/>
      <c r="Q664" s="81" t="n"/>
      <c r="R664" s="81" t="n"/>
      <c r="S664" s="81" t="n"/>
      <c r="T664" s="136">
        <f>IF(AND(E664&gt;0,U664=0),1,"")</f>
        <v/>
      </c>
      <c r="U664" s="136">
        <f>SUM(X664:AR664)</f>
        <v/>
      </c>
      <c r="V664" s="136">
        <f>IF(E664=$Q$16,0,SUM(X664:AI664))</f>
        <v/>
      </c>
      <c r="W664" s="136">
        <f>SUM(AK664:AR664)</f>
        <v/>
      </c>
      <c r="X664" s="136">
        <f>IF(E664=$X$6,1,"")</f>
        <v/>
      </c>
      <c r="Y664" s="136">
        <f>IF(E664=$Y$6,1,"")</f>
        <v/>
      </c>
      <c r="Z664" s="136">
        <f>IF(E664=$Z$6,1,"")</f>
        <v/>
      </c>
      <c r="AA664" s="136">
        <f>IF(E664=$AA$6,1,"")</f>
        <v/>
      </c>
      <c r="AB664" s="136">
        <f>IF(E664=$AB$6,1,"")</f>
        <v/>
      </c>
      <c r="AC664" s="136">
        <f>IF(E664=$AC$6,1,"")</f>
        <v/>
      </c>
      <c r="AD664" s="136">
        <f>IF(E664=$AD$6,1,"")</f>
        <v/>
      </c>
      <c r="AE664" s="136">
        <f>IF(E664=$AE$6,1,"")</f>
        <v/>
      </c>
      <c r="AF664" s="136">
        <f>IF(E664=$AF$6,1,"")</f>
        <v/>
      </c>
      <c r="AG664" s="136">
        <f>IF(E664=$AG$6,1,"")</f>
        <v/>
      </c>
      <c r="AH664" s="136">
        <f>IF(E664=$AH$6,1,"")</f>
        <v/>
      </c>
      <c r="AI664" s="136">
        <f>IF(E664=$AI$6,1,"")</f>
        <v/>
      </c>
      <c r="AJ664" s="136">
        <f>IF(E664=$AJ$6,1,"")</f>
        <v/>
      </c>
      <c r="AK664" s="81">
        <f>IF(E664=$AK$6,1,"")</f>
        <v/>
      </c>
      <c r="AL664" s="81">
        <f>IF(E664=$AL$6,1,"")</f>
        <v/>
      </c>
      <c r="AM664" s="81">
        <f>IF(E664=$AM$6,1,"")</f>
        <v/>
      </c>
      <c r="AN664" s="81">
        <f>IF(E664=$AN$6,1,"")</f>
        <v/>
      </c>
      <c r="AO664" s="81">
        <f>IF(E664=$AO$6,1,"")</f>
        <v/>
      </c>
      <c r="AP664" s="81">
        <f>IF(E664=$AP$6,1,"")</f>
        <v/>
      </c>
      <c r="AQ664" s="81">
        <f>IF(E664=$AQ$6,1,"")</f>
        <v/>
      </c>
      <c r="AR664" s="81">
        <f>IF(E664=$AR$6,1,"")</f>
        <v/>
      </c>
      <c r="AS664" s="81" t="n"/>
    </row>
    <row r="665" ht="15.75" customHeight="1" s="80">
      <c r="A665" s="157" t="n"/>
      <c r="B665" s="124" t="n"/>
      <c r="C665" s="125" t="n"/>
      <c r="D665" s="126" t="n"/>
      <c r="E665" s="127" t="n"/>
      <c r="F665" s="128" t="n"/>
      <c r="G665" s="129">
        <f>IF(F665="","",ROUND(F665/60,2))</f>
        <v/>
      </c>
      <c r="H665" s="130" t="n"/>
      <c r="I665" s="131" t="n"/>
      <c r="J665" s="131">
        <f>IF(COUNTIF(B665:E665,"*")=0,"",IF(T665=1,"Invalid Service",IF(AND(V665=1,F665=""),"Add Session Mins",IF(AND(E665&gt;0,H665="",T665=""),"Enter Contract Rate",IF(AND(E665="IEP mtg, prep, rept",F665&gt;0),(G665*H665),IF(AND(E665&gt;0,F665&gt;0,H665&gt;0,I665=""),"Enter Travel",IF(AND(F665&gt;0,I665="Y"),(G665*H665)+$M$10,IF(AND(F665&gt;0,I665="N"),(G665*H665),H665))))))))</f>
        <v/>
      </c>
      <c r="K665" s="132">
        <f>J665</f>
        <v/>
      </c>
      <c r="L665" s="148" t="n"/>
      <c r="M665" s="148" t="n"/>
      <c r="N665" s="148" t="n"/>
      <c r="O665" s="87" t="n"/>
      <c r="P665" s="81" t="n"/>
      <c r="Q665" s="81" t="n"/>
      <c r="R665" s="81" t="n"/>
      <c r="S665" s="81" t="n"/>
      <c r="T665" s="136">
        <f>IF(AND(E665&gt;0,U665=0),1,"")</f>
        <v/>
      </c>
      <c r="U665" s="136">
        <f>SUM(X665:AR665)</f>
        <v/>
      </c>
      <c r="V665" s="136">
        <f>IF(E665=$Q$16,0,SUM(X665:AI665))</f>
        <v/>
      </c>
      <c r="W665" s="136">
        <f>SUM(AK665:AR665)</f>
        <v/>
      </c>
      <c r="X665" s="136">
        <f>IF(E665=$X$6,1,"")</f>
        <v/>
      </c>
      <c r="Y665" s="136">
        <f>IF(E665=$Y$6,1,"")</f>
        <v/>
      </c>
      <c r="Z665" s="136">
        <f>IF(E665=$Z$6,1,"")</f>
        <v/>
      </c>
      <c r="AA665" s="136">
        <f>IF(E665=$AA$6,1,"")</f>
        <v/>
      </c>
      <c r="AB665" s="136">
        <f>IF(E665=$AB$6,1,"")</f>
        <v/>
      </c>
      <c r="AC665" s="136">
        <f>IF(E665=$AC$6,1,"")</f>
        <v/>
      </c>
      <c r="AD665" s="136">
        <f>IF(E665=$AD$6,1,"")</f>
        <v/>
      </c>
      <c r="AE665" s="136">
        <f>IF(E665=$AE$6,1,"")</f>
        <v/>
      </c>
      <c r="AF665" s="136">
        <f>IF(E665=$AF$6,1,"")</f>
        <v/>
      </c>
      <c r="AG665" s="136">
        <f>IF(E665=$AG$6,1,"")</f>
        <v/>
      </c>
      <c r="AH665" s="136">
        <f>IF(E665=$AH$6,1,"")</f>
        <v/>
      </c>
      <c r="AI665" s="136">
        <f>IF(E665=$AI$6,1,"")</f>
        <v/>
      </c>
      <c r="AJ665" s="136">
        <f>IF(E665=$AJ$6,1,"")</f>
        <v/>
      </c>
      <c r="AK665" s="81">
        <f>IF(E665=$AK$6,1,"")</f>
        <v/>
      </c>
      <c r="AL665" s="81">
        <f>IF(E665=$AL$6,1,"")</f>
        <v/>
      </c>
      <c r="AM665" s="81">
        <f>IF(E665=$AM$6,1,"")</f>
        <v/>
      </c>
      <c r="AN665" s="81">
        <f>IF(E665=$AN$6,1,"")</f>
        <v/>
      </c>
      <c r="AO665" s="81">
        <f>IF(E665=$AO$6,1,"")</f>
        <v/>
      </c>
      <c r="AP665" s="81">
        <f>IF(E665=$AP$6,1,"")</f>
        <v/>
      </c>
      <c r="AQ665" s="81">
        <f>IF(E665=$AQ$6,1,"")</f>
        <v/>
      </c>
      <c r="AR665" s="81">
        <f>IF(E665=$AR$6,1,"")</f>
        <v/>
      </c>
      <c r="AS665" s="81" t="n"/>
    </row>
    <row r="666" ht="15.75" customHeight="1" s="80">
      <c r="A666" s="157" t="n"/>
      <c r="B666" s="124" t="n"/>
      <c r="C666" s="125" t="n"/>
      <c r="D666" s="126" t="n"/>
      <c r="E666" s="127" t="n"/>
      <c r="F666" s="128" t="n"/>
      <c r="G666" s="129">
        <f>IF(F666="","",ROUND(F666/60,2))</f>
        <v/>
      </c>
      <c r="H666" s="130" t="n"/>
      <c r="I666" s="131" t="n"/>
      <c r="J666" s="131">
        <f>IF(COUNTIF(B666:E666,"*")=0,"",IF(T666=1,"Invalid Service",IF(AND(V666=1,F666=""),"Add Session Mins",IF(AND(E666&gt;0,H666="",T666=""),"Enter Contract Rate",IF(AND(E666="IEP mtg, prep, rept",F666&gt;0),(G666*H666),IF(AND(E666&gt;0,F666&gt;0,H666&gt;0,I666=""),"Enter Travel",IF(AND(F666&gt;0,I666="Y"),(G666*H666)+$M$10,IF(AND(F666&gt;0,I666="N"),(G666*H666),H666))))))))</f>
        <v/>
      </c>
      <c r="K666" s="132">
        <f>J666</f>
        <v/>
      </c>
      <c r="L666" s="148" t="n"/>
      <c r="M666" s="148" t="n"/>
      <c r="N666" s="148" t="n"/>
      <c r="O666" s="87" t="n"/>
      <c r="P666" s="81" t="n"/>
      <c r="Q666" s="81" t="n"/>
      <c r="R666" s="81" t="n"/>
      <c r="S666" s="81" t="n"/>
      <c r="T666" s="136">
        <f>IF(AND(E666&gt;0,U666=0),1,"")</f>
        <v/>
      </c>
      <c r="U666" s="136">
        <f>SUM(X666:AR666)</f>
        <v/>
      </c>
      <c r="V666" s="136">
        <f>IF(E666=$Q$16,0,SUM(X666:AI666))</f>
        <v/>
      </c>
      <c r="W666" s="136">
        <f>SUM(AK666:AR666)</f>
        <v/>
      </c>
      <c r="X666" s="136">
        <f>IF(E666=$X$6,1,"")</f>
        <v/>
      </c>
      <c r="Y666" s="136">
        <f>IF(E666=$Y$6,1,"")</f>
        <v/>
      </c>
      <c r="Z666" s="136">
        <f>IF(E666=$Z$6,1,"")</f>
        <v/>
      </c>
      <c r="AA666" s="136">
        <f>IF(E666=$AA$6,1,"")</f>
        <v/>
      </c>
      <c r="AB666" s="136">
        <f>IF(E666=$AB$6,1,"")</f>
        <v/>
      </c>
      <c r="AC666" s="136">
        <f>IF(E666=$AC$6,1,"")</f>
        <v/>
      </c>
      <c r="AD666" s="136">
        <f>IF(E666=$AD$6,1,"")</f>
        <v/>
      </c>
      <c r="AE666" s="136">
        <f>IF(E666=$AE$6,1,"")</f>
        <v/>
      </c>
      <c r="AF666" s="136">
        <f>IF(E666=$AF$6,1,"")</f>
        <v/>
      </c>
      <c r="AG666" s="136">
        <f>IF(E666=$AG$6,1,"")</f>
        <v/>
      </c>
      <c r="AH666" s="136">
        <f>IF(E666=$AH$6,1,"")</f>
        <v/>
      </c>
      <c r="AI666" s="136">
        <f>IF(E666=$AI$6,1,"")</f>
        <v/>
      </c>
      <c r="AJ666" s="136">
        <f>IF(E666=$AJ$6,1,"")</f>
        <v/>
      </c>
      <c r="AK666" s="81">
        <f>IF(E666=$AK$6,1,"")</f>
        <v/>
      </c>
      <c r="AL666" s="81">
        <f>IF(E666=$AL$6,1,"")</f>
        <v/>
      </c>
      <c r="AM666" s="81">
        <f>IF(E666=$AM$6,1,"")</f>
        <v/>
      </c>
      <c r="AN666" s="81">
        <f>IF(E666=$AN$6,1,"")</f>
        <v/>
      </c>
      <c r="AO666" s="81">
        <f>IF(E666=$AO$6,1,"")</f>
        <v/>
      </c>
      <c r="AP666" s="81">
        <f>IF(E666=$AP$6,1,"")</f>
        <v/>
      </c>
      <c r="AQ666" s="81">
        <f>IF(E666=$AQ$6,1,"")</f>
        <v/>
      </c>
      <c r="AR666" s="81">
        <f>IF(E666=$AR$6,1,"")</f>
        <v/>
      </c>
      <c r="AS666" s="81" t="n"/>
    </row>
    <row r="667" ht="15.75" customHeight="1" s="80">
      <c r="A667" s="157" t="n"/>
      <c r="B667" s="124" t="n"/>
      <c r="C667" s="125" t="n"/>
      <c r="D667" s="126" t="n"/>
      <c r="E667" s="127" t="n"/>
      <c r="F667" s="128" t="n"/>
      <c r="G667" s="129">
        <f>IF(F667="","",ROUND(F667/60,2))</f>
        <v/>
      </c>
      <c r="H667" s="130" t="n"/>
      <c r="I667" s="131" t="n"/>
      <c r="J667" s="131">
        <f>IF(COUNTIF(B667:E667,"*")=0,"",IF(T667=1,"Invalid Service",IF(AND(V667=1,F667=""),"Add Session Mins",IF(AND(E667&gt;0,H667="",T667=""),"Enter Contract Rate",IF(AND(E667="IEP mtg, prep, rept",F667&gt;0),(G667*H667),IF(AND(E667&gt;0,F667&gt;0,H667&gt;0,I667=""),"Enter Travel",IF(AND(F667&gt;0,I667="Y"),(G667*H667)+$M$10,IF(AND(F667&gt;0,I667="N"),(G667*H667),H667))))))))</f>
        <v/>
      </c>
      <c r="K667" s="132">
        <f>J667</f>
        <v/>
      </c>
      <c r="L667" s="148" t="n"/>
      <c r="M667" s="148" t="n"/>
      <c r="N667" s="148" t="n"/>
      <c r="O667" s="87" t="n"/>
      <c r="P667" s="81" t="n"/>
      <c r="Q667" s="81" t="n"/>
      <c r="R667" s="81" t="n"/>
      <c r="S667" s="81" t="n"/>
      <c r="T667" s="136">
        <f>IF(AND(E667&gt;0,U667=0),1,"")</f>
        <v/>
      </c>
      <c r="U667" s="136">
        <f>SUM(X667:AR667)</f>
        <v/>
      </c>
      <c r="V667" s="136">
        <f>IF(E667=$Q$16,0,SUM(X667:AI667))</f>
        <v/>
      </c>
      <c r="W667" s="136">
        <f>SUM(AK667:AR667)</f>
        <v/>
      </c>
      <c r="X667" s="136">
        <f>IF(E667=$X$6,1,"")</f>
        <v/>
      </c>
      <c r="Y667" s="136">
        <f>IF(E667=$Y$6,1,"")</f>
        <v/>
      </c>
      <c r="Z667" s="136">
        <f>IF(E667=$Z$6,1,"")</f>
        <v/>
      </c>
      <c r="AA667" s="136">
        <f>IF(E667=$AA$6,1,"")</f>
        <v/>
      </c>
      <c r="AB667" s="136">
        <f>IF(E667=$AB$6,1,"")</f>
        <v/>
      </c>
      <c r="AC667" s="136">
        <f>IF(E667=$AC$6,1,"")</f>
        <v/>
      </c>
      <c r="AD667" s="136">
        <f>IF(E667=$AD$6,1,"")</f>
        <v/>
      </c>
      <c r="AE667" s="136">
        <f>IF(E667=$AE$6,1,"")</f>
        <v/>
      </c>
      <c r="AF667" s="136">
        <f>IF(E667=$AF$6,1,"")</f>
        <v/>
      </c>
      <c r="AG667" s="136">
        <f>IF(E667=$AG$6,1,"")</f>
        <v/>
      </c>
      <c r="AH667" s="136">
        <f>IF(E667=$AH$6,1,"")</f>
        <v/>
      </c>
      <c r="AI667" s="136">
        <f>IF(E667=$AI$6,1,"")</f>
        <v/>
      </c>
      <c r="AJ667" s="136">
        <f>IF(E667=$AJ$6,1,"")</f>
        <v/>
      </c>
      <c r="AK667" s="81">
        <f>IF(E667=$AK$6,1,"")</f>
        <v/>
      </c>
      <c r="AL667" s="81">
        <f>IF(E667=$AL$6,1,"")</f>
        <v/>
      </c>
      <c r="AM667" s="81">
        <f>IF(E667=$AM$6,1,"")</f>
        <v/>
      </c>
      <c r="AN667" s="81">
        <f>IF(E667=$AN$6,1,"")</f>
        <v/>
      </c>
      <c r="AO667" s="81">
        <f>IF(E667=$AO$6,1,"")</f>
        <v/>
      </c>
      <c r="AP667" s="81">
        <f>IF(E667=$AP$6,1,"")</f>
        <v/>
      </c>
      <c r="AQ667" s="81">
        <f>IF(E667=$AQ$6,1,"")</f>
        <v/>
      </c>
      <c r="AR667" s="81">
        <f>IF(E667=$AR$6,1,"")</f>
        <v/>
      </c>
      <c r="AS667" s="81" t="n"/>
    </row>
    <row r="668" ht="15.75" customHeight="1" s="80">
      <c r="A668" s="157" t="n"/>
      <c r="B668" s="124" t="n"/>
      <c r="C668" s="125" t="n"/>
      <c r="D668" s="126" t="n"/>
      <c r="E668" s="127" t="n"/>
      <c r="F668" s="128" t="n"/>
      <c r="G668" s="129">
        <f>IF(F668="","",ROUND(F668/60,2))</f>
        <v/>
      </c>
      <c r="H668" s="130" t="n"/>
      <c r="I668" s="131" t="n"/>
      <c r="J668" s="131">
        <f>IF(COUNTIF(B668:E668,"*")=0,"",IF(T668=1,"Invalid Service",IF(AND(V668=1,F668=""),"Add Session Mins",IF(AND(E668&gt;0,H668="",T668=""),"Enter Contract Rate",IF(AND(E668="IEP mtg, prep, rept",F668&gt;0),(G668*H668),IF(AND(E668&gt;0,F668&gt;0,H668&gt;0,I668=""),"Enter Travel",IF(AND(F668&gt;0,I668="Y"),(G668*H668)+$M$10,IF(AND(F668&gt;0,I668="N"),(G668*H668),H668))))))))</f>
        <v/>
      </c>
      <c r="K668" s="132">
        <f>J668</f>
        <v/>
      </c>
      <c r="L668" s="148" t="n"/>
      <c r="M668" s="148" t="n"/>
      <c r="N668" s="148" t="n"/>
      <c r="O668" s="87" t="n"/>
      <c r="P668" s="81" t="n"/>
      <c r="Q668" s="81" t="n"/>
      <c r="R668" s="81" t="n"/>
      <c r="S668" s="81" t="n"/>
      <c r="T668" s="136">
        <f>IF(AND(E668&gt;0,U668=0),1,"")</f>
        <v/>
      </c>
      <c r="U668" s="136">
        <f>SUM(X668:AR668)</f>
        <v/>
      </c>
      <c r="V668" s="136">
        <f>IF(E668=$Q$16,0,SUM(X668:AI668))</f>
        <v/>
      </c>
      <c r="W668" s="136">
        <f>SUM(AK668:AR668)</f>
        <v/>
      </c>
      <c r="X668" s="136">
        <f>IF(E668=$X$6,1,"")</f>
        <v/>
      </c>
      <c r="Y668" s="136">
        <f>IF(E668=$Y$6,1,"")</f>
        <v/>
      </c>
      <c r="Z668" s="136">
        <f>IF(E668=$Z$6,1,"")</f>
        <v/>
      </c>
      <c r="AA668" s="136">
        <f>IF(E668=$AA$6,1,"")</f>
        <v/>
      </c>
      <c r="AB668" s="136">
        <f>IF(E668=$AB$6,1,"")</f>
        <v/>
      </c>
      <c r="AC668" s="136">
        <f>IF(E668=$AC$6,1,"")</f>
        <v/>
      </c>
      <c r="AD668" s="136">
        <f>IF(E668=$AD$6,1,"")</f>
        <v/>
      </c>
      <c r="AE668" s="136">
        <f>IF(E668=$AE$6,1,"")</f>
        <v/>
      </c>
      <c r="AF668" s="136">
        <f>IF(E668=$AF$6,1,"")</f>
        <v/>
      </c>
      <c r="AG668" s="136">
        <f>IF(E668=$AG$6,1,"")</f>
        <v/>
      </c>
      <c r="AH668" s="136">
        <f>IF(E668=$AH$6,1,"")</f>
        <v/>
      </c>
      <c r="AI668" s="136">
        <f>IF(E668=$AI$6,1,"")</f>
        <v/>
      </c>
      <c r="AJ668" s="136">
        <f>IF(E668=$AJ$6,1,"")</f>
        <v/>
      </c>
      <c r="AK668" s="81">
        <f>IF(E668=$AK$6,1,"")</f>
        <v/>
      </c>
      <c r="AL668" s="81">
        <f>IF(E668=$AL$6,1,"")</f>
        <v/>
      </c>
      <c r="AM668" s="81">
        <f>IF(E668=$AM$6,1,"")</f>
        <v/>
      </c>
      <c r="AN668" s="81">
        <f>IF(E668=$AN$6,1,"")</f>
        <v/>
      </c>
      <c r="AO668" s="81">
        <f>IF(E668=$AO$6,1,"")</f>
        <v/>
      </c>
      <c r="AP668" s="81">
        <f>IF(E668=$AP$6,1,"")</f>
        <v/>
      </c>
      <c r="AQ668" s="81">
        <f>IF(E668=$AQ$6,1,"")</f>
        <v/>
      </c>
      <c r="AR668" s="81">
        <f>IF(E668=$AR$6,1,"")</f>
        <v/>
      </c>
      <c r="AS668" s="81" t="n"/>
    </row>
    <row r="669" ht="15.75" customHeight="1" s="80">
      <c r="A669" s="157" t="n"/>
      <c r="B669" s="124" t="n"/>
      <c r="C669" s="125" t="n"/>
      <c r="D669" s="126" t="n"/>
      <c r="E669" s="127" t="n"/>
      <c r="F669" s="128" t="n"/>
      <c r="G669" s="129">
        <f>IF(F669="","",ROUND(F669/60,2))</f>
        <v/>
      </c>
      <c r="H669" s="130" t="n"/>
      <c r="I669" s="131" t="n"/>
      <c r="J669" s="131">
        <f>IF(COUNTIF(B669:E669,"*")=0,"",IF(T669=1,"Invalid Service",IF(AND(V669=1,F669=""),"Add Session Mins",IF(AND(E669&gt;0,H669="",T669=""),"Enter Contract Rate",IF(AND(E669="IEP mtg, prep, rept",F669&gt;0),(G669*H669),IF(AND(E669&gt;0,F669&gt;0,H669&gt;0,I669=""),"Enter Travel",IF(AND(F669&gt;0,I669="Y"),(G669*H669)+$M$10,IF(AND(F669&gt;0,I669="N"),(G669*H669),H669))))))))</f>
        <v/>
      </c>
      <c r="K669" s="132">
        <f>J669</f>
        <v/>
      </c>
      <c r="L669" s="148" t="n"/>
      <c r="M669" s="148" t="n"/>
      <c r="N669" s="148" t="n"/>
      <c r="O669" s="87" t="n"/>
      <c r="P669" s="81" t="n"/>
      <c r="Q669" s="81" t="n"/>
      <c r="R669" s="81" t="n"/>
      <c r="S669" s="81" t="n"/>
      <c r="T669" s="136">
        <f>IF(AND(E669&gt;0,U669=0),1,"")</f>
        <v/>
      </c>
      <c r="U669" s="136">
        <f>SUM(X669:AR669)</f>
        <v/>
      </c>
      <c r="V669" s="136">
        <f>IF(E669=$Q$16,0,SUM(X669:AI669))</f>
        <v/>
      </c>
      <c r="W669" s="136">
        <f>SUM(AK669:AR669)</f>
        <v/>
      </c>
      <c r="X669" s="136">
        <f>IF(E669=$X$6,1,"")</f>
        <v/>
      </c>
      <c r="Y669" s="136">
        <f>IF(E669=$Y$6,1,"")</f>
        <v/>
      </c>
      <c r="Z669" s="136">
        <f>IF(E669=$Z$6,1,"")</f>
        <v/>
      </c>
      <c r="AA669" s="136">
        <f>IF(E669=$AA$6,1,"")</f>
        <v/>
      </c>
      <c r="AB669" s="136">
        <f>IF(E669=$AB$6,1,"")</f>
        <v/>
      </c>
      <c r="AC669" s="136">
        <f>IF(E669=$AC$6,1,"")</f>
        <v/>
      </c>
      <c r="AD669" s="136">
        <f>IF(E669=$AD$6,1,"")</f>
        <v/>
      </c>
      <c r="AE669" s="136">
        <f>IF(E669=$AE$6,1,"")</f>
        <v/>
      </c>
      <c r="AF669" s="136">
        <f>IF(E669=$AF$6,1,"")</f>
        <v/>
      </c>
      <c r="AG669" s="136">
        <f>IF(E669=$AG$6,1,"")</f>
        <v/>
      </c>
      <c r="AH669" s="136">
        <f>IF(E669=$AH$6,1,"")</f>
        <v/>
      </c>
      <c r="AI669" s="136">
        <f>IF(E669=$AI$6,1,"")</f>
        <v/>
      </c>
      <c r="AJ669" s="136">
        <f>IF(E669=$AJ$6,1,"")</f>
        <v/>
      </c>
      <c r="AK669" s="81">
        <f>IF(E669=$AK$6,1,"")</f>
        <v/>
      </c>
      <c r="AL669" s="81">
        <f>IF(E669=$AL$6,1,"")</f>
        <v/>
      </c>
      <c r="AM669" s="81">
        <f>IF(E669=$AM$6,1,"")</f>
        <v/>
      </c>
      <c r="AN669" s="81">
        <f>IF(E669=$AN$6,1,"")</f>
        <v/>
      </c>
      <c r="AO669" s="81">
        <f>IF(E669=$AO$6,1,"")</f>
        <v/>
      </c>
      <c r="AP669" s="81">
        <f>IF(E669=$AP$6,1,"")</f>
        <v/>
      </c>
      <c r="AQ669" s="81">
        <f>IF(E669=$AQ$6,1,"")</f>
        <v/>
      </c>
      <c r="AR669" s="81">
        <f>IF(E669=$AR$6,1,"")</f>
        <v/>
      </c>
      <c r="AS669" s="81" t="n"/>
    </row>
    <row r="670" ht="15.75" customHeight="1" s="80">
      <c r="A670" s="157" t="n"/>
      <c r="B670" s="124" t="n"/>
      <c r="C670" s="125" t="n"/>
      <c r="D670" s="126" t="n"/>
      <c r="E670" s="127" t="n"/>
      <c r="F670" s="128" t="n"/>
      <c r="G670" s="129">
        <f>IF(F670="","",ROUND(F670/60,2))</f>
        <v/>
      </c>
      <c r="H670" s="130" t="n"/>
      <c r="I670" s="131" t="n"/>
      <c r="J670" s="131">
        <f>IF(COUNTIF(B670:E670,"*")=0,"",IF(T670=1,"Invalid Service",IF(AND(V670=1,F670=""),"Add Session Mins",IF(AND(E670&gt;0,H670="",T670=""),"Enter Contract Rate",IF(AND(E670="IEP mtg, prep, rept",F670&gt;0),(G670*H670),IF(AND(E670&gt;0,F670&gt;0,H670&gt;0,I670=""),"Enter Travel",IF(AND(F670&gt;0,I670="Y"),(G670*H670)+$M$10,IF(AND(F670&gt;0,I670="N"),(G670*H670),H670))))))))</f>
        <v/>
      </c>
      <c r="K670" s="132">
        <f>J670</f>
        <v/>
      </c>
      <c r="L670" s="148" t="n"/>
      <c r="M670" s="148" t="n"/>
      <c r="N670" s="148" t="n"/>
      <c r="O670" s="87" t="n"/>
      <c r="P670" s="81" t="n"/>
      <c r="Q670" s="81" t="n"/>
      <c r="R670" s="81" t="n"/>
      <c r="S670" s="81" t="n"/>
      <c r="T670" s="136">
        <f>IF(AND(E670&gt;0,U670=0),1,"")</f>
        <v/>
      </c>
      <c r="U670" s="136">
        <f>SUM(X670:AR670)</f>
        <v/>
      </c>
      <c r="V670" s="136">
        <f>IF(E670=$Q$16,0,SUM(X670:AI670))</f>
        <v/>
      </c>
      <c r="W670" s="136">
        <f>SUM(AK670:AR670)</f>
        <v/>
      </c>
      <c r="X670" s="136">
        <f>IF(E670=$X$6,1,"")</f>
        <v/>
      </c>
      <c r="Y670" s="136">
        <f>IF(E670=$Y$6,1,"")</f>
        <v/>
      </c>
      <c r="Z670" s="136">
        <f>IF(E670=$Z$6,1,"")</f>
        <v/>
      </c>
      <c r="AA670" s="136">
        <f>IF(E670=$AA$6,1,"")</f>
        <v/>
      </c>
      <c r="AB670" s="136">
        <f>IF(E670=$AB$6,1,"")</f>
        <v/>
      </c>
      <c r="AC670" s="136">
        <f>IF(E670=$AC$6,1,"")</f>
        <v/>
      </c>
      <c r="AD670" s="136">
        <f>IF(E670=$AD$6,1,"")</f>
        <v/>
      </c>
      <c r="AE670" s="136">
        <f>IF(E670=$AE$6,1,"")</f>
        <v/>
      </c>
      <c r="AF670" s="136">
        <f>IF(E670=$AF$6,1,"")</f>
        <v/>
      </c>
      <c r="AG670" s="136">
        <f>IF(E670=$AG$6,1,"")</f>
        <v/>
      </c>
      <c r="AH670" s="136">
        <f>IF(E670=$AH$6,1,"")</f>
        <v/>
      </c>
      <c r="AI670" s="136">
        <f>IF(E670=$AI$6,1,"")</f>
        <v/>
      </c>
      <c r="AJ670" s="136">
        <f>IF(E670=$AJ$6,1,"")</f>
        <v/>
      </c>
      <c r="AK670" s="81">
        <f>IF(E670=$AK$6,1,"")</f>
        <v/>
      </c>
      <c r="AL670" s="81">
        <f>IF(E670=$AL$6,1,"")</f>
        <v/>
      </c>
      <c r="AM670" s="81">
        <f>IF(E670=$AM$6,1,"")</f>
        <v/>
      </c>
      <c r="AN670" s="81">
        <f>IF(E670=$AN$6,1,"")</f>
        <v/>
      </c>
      <c r="AO670" s="81">
        <f>IF(E670=$AO$6,1,"")</f>
        <v/>
      </c>
      <c r="AP670" s="81">
        <f>IF(E670=$AP$6,1,"")</f>
        <v/>
      </c>
      <c r="AQ670" s="81">
        <f>IF(E670=$AQ$6,1,"")</f>
        <v/>
      </c>
      <c r="AR670" s="81">
        <f>IF(E670=$AR$6,1,"")</f>
        <v/>
      </c>
      <c r="AS670" s="81" t="n"/>
    </row>
    <row r="671" ht="15.75" customHeight="1" s="80">
      <c r="A671" s="157" t="n"/>
      <c r="B671" s="124" t="n"/>
      <c r="C671" s="125" t="n"/>
      <c r="D671" s="126" t="n"/>
      <c r="E671" s="127" t="n"/>
      <c r="F671" s="128" t="n"/>
      <c r="G671" s="129">
        <f>IF(F671="","",ROUND(F671/60,2))</f>
        <v/>
      </c>
      <c r="H671" s="130" t="n"/>
      <c r="I671" s="131" t="n"/>
      <c r="J671" s="131">
        <f>IF(COUNTIF(B671:E671,"*")=0,"",IF(T671=1,"Invalid Service",IF(AND(V671=1,F671=""),"Add Session Mins",IF(AND(E671&gt;0,H671="",T671=""),"Enter Contract Rate",IF(AND(E671="IEP mtg, prep, rept",F671&gt;0),(G671*H671),IF(AND(E671&gt;0,F671&gt;0,H671&gt;0,I671=""),"Enter Travel",IF(AND(F671&gt;0,I671="Y"),(G671*H671)+$M$10,IF(AND(F671&gt;0,I671="N"),(G671*H671),H671))))))))</f>
        <v/>
      </c>
      <c r="K671" s="132">
        <f>J671</f>
        <v/>
      </c>
      <c r="L671" s="148" t="n"/>
      <c r="M671" s="148" t="n"/>
      <c r="N671" s="148" t="n"/>
      <c r="O671" s="87" t="n"/>
      <c r="P671" s="81" t="n"/>
      <c r="Q671" s="81" t="n"/>
      <c r="R671" s="81" t="n"/>
      <c r="S671" s="81" t="n"/>
      <c r="T671" s="136">
        <f>IF(AND(E671&gt;0,U671=0),1,"")</f>
        <v/>
      </c>
      <c r="U671" s="136">
        <f>SUM(X671:AR671)</f>
        <v/>
      </c>
      <c r="V671" s="136">
        <f>IF(E671=$Q$16,0,SUM(X671:AI671))</f>
        <v/>
      </c>
      <c r="W671" s="136">
        <f>SUM(AK671:AR671)</f>
        <v/>
      </c>
      <c r="X671" s="136">
        <f>IF(E671=$X$6,1,"")</f>
        <v/>
      </c>
      <c r="Y671" s="136">
        <f>IF(E671=$Y$6,1,"")</f>
        <v/>
      </c>
      <c r="Z671" s="136">
        <f>IF(E671=$Z$6,1,"")</f>
        <v/>
      </c>
      <c r="AA671" s="136">
        <f>IF(E671=$AA$6,1,"")</f>
        <v/>
      </c>
      <c r="AB671" s="136">
        <f>IF(E671=$AB$6,1,"")</f>
        <v/>
      </c>
      <c r="AC671" s="136">
        <f>IF(E671=$AC$6,1,"")</f>
        <v/>
      </c>
      <c r="AD671" s="136">
        <f>IF(E671=$AD$6,1,"")</f>
        <v/>
      </c>
      <c r="AE671" s="136">
        <f>IF(E671=$AE$6,1,"")</f>
        <v/>
      </c>
      <c r="AF671" s="136">
        <f>IF(E671=$AF$6,1,"")</f>
        <v/>
      </c>
      <c r="AG671" s="136">
        <f>IF(E671=$AG$6,1,"")</f>
        <v/>
      </c>
      <c r="AH671" s="136">
        <f>IF(E671=$AH$6,1,"")</f>
        <v/>
      </c>
      <c r="AI671" s="136">
        <f>IF(E671=$AI$6,1,"")</f>
        <v/>
      </c>
      <c r="AJ671" s="136">
        <f>IF(E671=$AJ$6,1,"")</f>
        <v/>
      </c>
      <c r="AK671" s="81">
        <f>IF(E671=$AK$6,1,"")</f>
        <v/>
      </c>
      <c r="AL671" s="81">
        <f>IF(E671=$AL$6,1,"")</f>
        <v/>
      </c>
      <c r="AM671" s="81">
        <f>IF(E671=$AM$6,1,"")</f>
        <v/>
      </c>
      <c r="AN671" s="81">
        <f>IF(E671=$AN$6,1,"")</f>
        <v/>
      </c>
      <c r="AO671" s="81">
        <f>IF(E671=$AO$6,1,"")</f>
        <v/>
      </c>
      <c r="AP671" s="81">
        <f>IF(E671=$AP$6,1,"")</f>
        <v/>
      </c>
      <c r="AQ671" s="81">
        <f>IF(E671=$AQ$6,1,"")</f>
        <v/>
      </c>
      <c r="AR671" s="81">
        <f>IF(E671=$AR$6,1,"")</f>
        <v/>
      </c>
      <c r="AS671" s="81" t="n"/>
    </row>
    <row r="672" ht="15.75" customHeight="1" s="80">
      <c r="A672" s="157" t="n"/>
      <c r="B672" s="124" t="n"/>
      <c r="C672" s="125" t="n"/>
      <c r="D672" s="126" t="n"/>
      <c r="E672" s="127" t="n"/>
      <c r="F672" s="128" t="n"/>
      <c r="G672" s="129">
        <f>IF(F672="","",ROUND(F672/60,2))</f>
        <v/>
      </c>
      <c r="H672" s="130" t="n"/>
      <c r="I672" s="131" t="n"/>
      <c r="J672" s="131">
        <f>IF(COUNTIF(B672:E672,"*")=0,"",IF(T672=1,"Invalid Service",IF(AND(V672=1,F672=""),"Add Session Mins",IF(AND(E672&gt;0,H672="",T672=""),"Enter Contract Rate",IF(AND(E672="IEP mtg, prep, rept",F672&gt;0),(G672*H672),IF(AND(E672&gt;0,F672&gt;0,H672&gt;0,I672=""),"Enter Travel",IF(AND(F672&gt;0,I672="Y"),(G672*H672)+$M$10,IF(AND(F672&gt;0,I672="N"),(G672*H672),H672))))))))</f>
        <v/>
      </c>
      <c r="K672" s="132">
        <f>J672</f>
        <v/>
      </c>
      <c r="L672" s="148" t="n"/>
      <c r="M672" s="148" t="n"/>
      <c r="N672" s="148" t="n"/>
      <c r="O672" s="87" t="n"/>
      <c r="P672" s="81" t="n"/>
      <c r="Q672" s="81" t="n"/>
      <c r="R672" s="81" t="n"/>
      <c r="S672" s="81" t="n"/>
      <c r="T672" s="136">
        <f>IF(AND(E672&gt;0,U672=0),1,"")</f>
        <v/>
      </c>
      <c r="U672" s="136">
        <f>SUM(X672:AR672)</f>
        <v/>
      </c>
      <c r="V672" s="136">
        <f>IF(E672=$Q$16,0,SUM(X672:AI672))</f>
        <v/>
      </c>
      <c r="W672" s="136">
        <f>SUM(AK672:AR672)</f>
        <v/>
      </c>
      <c r="X672" s="136">
        <f>IF(E672=$X$6,1,"")</f>
        <v/>
      </c>
      <c r="Y672" s="136">
        <f>IF(E672=$Y$6,1,"")</f>
        <v/>
      </c>
      <c r="Z672" s="136">
        <f>IF(E672=$Z$6,1,"")</f>
        <v/>
      </c>
      <c r="AA672" s="136">
        <f>IF(E672=$AA$6,1,"")</f>
        <v/>
      </c>
      <c r="AB672" s="136">
        <f>IF(E672=$AB$6,1,"")</f>
        <v/>
      </c>
      <c r="AC672" s="136">
        <f>IF(E672=$AC$6,1,"")</f>
        <v/>
      </c>
      <c r="AD672" s="136">
        <f>IF(E672=$AD$6,1,"")</f>
        <v/>
      </c>
      <c r="AE672" s="136">
        <f>IF(E672=$AE$6,1,"")</f>
        <v/>
      </c>
      <c r="AF672" s="136">
        <f>IF(E672=$AF$6,1,"")</f>
        <v/>
      </c>
      <c r="AG672" s="136">
        <f>IF(E672=$AG$6,1,"")</f>
        <v/>
      </c>
      <c r="AH672" s="136">
        <f>IF(E672=$AH$6,1,"")</f>
        <v/>
      </c>
      <c r="AI672" s="136">
        <f>IF(E672=$AI$6,1,"")</f>
        <v/>
      </c>
      <c r="AJ672" s="136">
        <f>IF(E672=$AJ$6,1,"")</f>
        <v/>
      </c>
      <c r="AK672" s="81">
        <f>IF(E672=$AK$6,1,"")</f>
        <v/>
      </c>
      <c r="AL672" s="81">
        <f>IF(E672=$AL$6,1,"")</f>
        <v/>
      </c>
      <c r="AM672" s="81">
        <f>IF(E672=$AM$6,1,"")</f>
        <v/>
      </c>
      <c r="AN672" s="81">
        <f>IF(E672=$AN$6,1,"")</f>
        <v/>
      </c>
      <c r="AO672" s="81">
        <f>IF(E672=$AO$6,1,"")</f>
        <v/>
      </c>
      <c r="AP672" s="81">
        <f>IF(E672=$AP$6,1,"")</f>
        <v/>
      </c>
      <c r="AQ672" s="81">
        <f>IF(E672=$AQ$6,1,"")</f>
        <v/>
      </c>
      <c r="AR672" s="81">
        <f>IF(E672=$AR$6,1,"")</f>
        <v/>
      </c>
      <c r="AS672" s="81" t="n"/>
    </row>
    <row r="673" ht="15.75" customHeight="1" s="80">
      <c r="A673" s="157" t="n"/>
      <c r="B673" s="124" t="n"/>
      <c r="C673" s="125" t="n"/>
      <c r="D673" s="126" t="n"/>
      <c r="E673" s="127" t="n"/>
      <c r="F673" s="128" t="n"/>
      <c r="G673" s="129">
        <f>IF(F673="","",ROUND(F673/60,2))</f>
        <v/>
      </c>
      <c r="H673" s="130" t="n"/>
      <c r="I673" s="131" t="n"/>
      <c r="J673" s="131">
        <f>IF(COUNTIF(B673:E673,"*")=0,"",IF(T673=1,"Invalid Service",IF(AND(V673=1,F673=""),"Add Session Mins",IF(AND(E673&gt;0,H673="",T673=""),"Enter Contract Rate",IF(AND(E673="IEP mtg, prep, rept",F673&gt;0),(G673*H673),IF(AND(E673&gt;0,F673&gt;0,H673&gt;0,I673=""),"Enter Travel",IF(AND(F673&gt;0,I673="Y"),(G673*H673)+$M$10,IF(AND(F673&gt;0,I673="N"),(G673*H673),H673))))))))</f>
        <v/>
      </c>
      <c r="K673" s="132">
        <f>J673</f>
        <v/>
      </c>
      <c r="L673" s="148" t="n"/>
      <c r="M673" s="148" t="n"/>
      <c r="N673" s="148" t="n"/>
      <c r="O673" s="87" t="n"/>
      <c r="P673" s="81" t="n"/>
      <c r="Q673" s="81" t="n"/>
      <c r="R673" s="81" t="n"/>
      <c r="S673" s="81" t="n"/>
      <c r="T673" s="136">
        <f>IF(AND(E673&gt;0,U673=0),1,"")</f>
        <v/>
      </c>
      <c r="U673" s="136">
        <f>SUM(X673:AR673)</f>
        <v/>
      </c>
      <c r="V673" s="136">
        <f>IF(E673=$Q$16,0,SUM(X673:AI673))</f>
        <v/>
      </c>
      <c r="W673" s="136">
        <f>SUM(AK673:AR673)</f>
        <v/>
      </c>
      <c r="X673" s="136">
        <f>IF(E673=$X$6,1,"")</f>
        <v/>
      </c>
      <c r="Y673" s="136">
        <f>IF(E673=$Y$6,1,"")</f>
        <v/>
      </c>
      <c r="Z673" s="136">
        <f>IF(E673=$Z$6,1,"")</f>
        <v/>
      </c>
      <c r="AA673" s="136">
        <f>IF(E673=$AA$6,1,"")</f>
        <v/>
      </c>
      <c r="AB673" s="136">
        <f>IF(E673=$AB$6,1,"")</f>
        <v/>
      </c>
      <c r="AC673" s="136">
        <f>IF(E673=$AC$6,1,"")</f>
        <v/>
      </c>
      <c r="AD673" s="136">
        <f>IF(E673=$AD$6,1,"")</f>
        <v/>
      </c>
      <c r="AE673" s="136">
        <f>IF(E673=$AE$6,1,"")</f>
        <v/>
      </c>
      <c r="AF673" s="136">
        <f>IF(E673=$AF$6,1,"")</f>
        <v/>
      </c>
      <c r="AG673" s="136">
        <f>IF(E673=$AG$6,1,"")</f>
        <v/>
      </c>
      <c r="AH673" s="136">
        <f>IF(E673=$AH$6,1,"")</f>
        <v/>
      </c>
      <c r="AI673" s="136">
        <f>IF(E673=$AI$6,1,"")</f>
        <v/>
      </c>
      <c r="AJ673" s="136">
        <f>IF(E673=$AJ$6,1,"")</f>
        <v/>
      </c>
      <c r="AK673" s="81">
        <f>IF(E673=$AK$6,1,"")</f>
        <v/>
      </c>
      <c r="AL673" s="81">
        <f>IF(E673=$AL$6,1,"")</f>
        <v/>
      </c>
      <c r="AM673" s="81">
        <f>IF(E673=$AM$6,1,"")</f>
        <v/>
      </c>
      <c r="AN673" s="81">
        <f>IF(E673=$AN$6,1,"")</f>
        <v/>
      </c>
      <c r="AO673" s="81">
        <f>IF(E673=$AO$6,1,"")</f>
        <v/>
      </c>
      <c r="AP673" s="81">
        <f>IF(E673=$AP$6,1,"")</f>
        <v/>
      </c>
      <c r="AQ673" s="81">
        <f>IF(E673=$AQ$6,1,"")</f>
        <v/>
      </c>
      <c r="AR673" s="81">
        <f>IF(E673=$AR$6,1,"")</f>
        <v/>
      </c>
      <c r="AS673" s="81" t="n"/>
    </row>
    <row r="674" ht="15.75" customHeight="1" s="80">
      <c r="A674" s="157" t="n"/>
      <c r="B674" s="124" t="n"/>
      <c r="C674" s="125" t="n"/>
      <c r="D674" s="126" t="n"/>
      <c r="E674" s="127" t="n"/>
      <c r="F674" s="128" t="n"/>
      <c r="G674" s="129">
        <f>IF(F674="","",ROUND(F674/60,2))</f>
        <v/>
      </c>
      <c r="H674" s="130" t="n"/>
      <c r="I674" s="131" t="n"/>
      <c r="J674" s="131">
        <f>IF(COUNTIF(B674:E674,"*")=0,"",IF(T674=1,"Invalid Service",IF(AND(V674=1,F674=""),"Add Session Mins",IF(AND(E674&gt;0,H674="",T674=""),"Enter Contract Rate",IF(AND(E674="IEP mtg, prep, rept",F674&gt;0),(G674*H674),IF(AND(E674&gt;0,F674&gt;0,H674&gt;0,I674=""),"Enter Travel",IF(AND(F674&gt;0,I674="Y"),(G674*H674)+$M$10,IF(AND(F674&gt;0,I674="N"),(G674*H674),H674))))))))</f>
        <v/>
      </c>
      <c r="K674" s="132">
        <f>J674</f>
        <v/>
      </c>
      <c r="L674" s="148" t="n"/>
      <c r="M674" s="148" t="n"/>
      <c r="N674" s="148" t="n"/>
      <c r="O674" s="87" t="n"/>
      <c r="P674" s="81" t="n"/>
      <c r="Q674" s="81" t="n"/>
      <c r="R674" s="81" t="n"/>
      <c r="S674" s="81" t="n"/>
      <c r="T674" s="136">
        <f>IF(AND(E674&gt;0,U674=0),1,"")</f>
        <v/>
      </c>
      <c r="U674" s="136">
        <f>SUM(X674:AR674)</f>
        <v/>
      </c>
      <c r="V674" s="136">
        <f>IF(E674=$Q$16,0,SUM(X674:AI674))</f>
        <v/>
      </c>
      <c r="W674" s="136">
        <f>SUM(AK674:AR674)</f>
        <v/>
      </c>
      <c r="X674" s="136">
        <f>IF(E674=$X$6,1,"")</f>
        <v/>
      </c>
      <c r="Y674" s="136">
        <f>IF(E674=$Y$6,1,"")</f>
        <v/>
      </c>
      <c r="Z674" s="136">
        <f>IF(E674=$Z$6,1,"")</f>
        <v/>
      </c>
      <c r="AA674" s="136">
        <f>IF(E674=$AA$6,1,"")</f>
        <v/>
      </c>
      <c r="AB674" s="136">
        <f>IF(E674=$AB$6,1,"")</f>
        <v/>
      </c>
      <c r="AC674" s="136">
        <f>IF(E674=$AC$6,1,"")</f>
        <v/>
      </c>
      <c r="AD674" s="136">
        <f>IF(E674=$AD$6,1,"")</f>
        <v/>
      </c>
      <c r="AE674" s="136">
        <f>IF(E674=$AE$6,1,"")</f>
        <v/>
      </c>
      <c r="AF674" s="136">
        <f>IF(E674=$AF$6,1,"")</f>
        <v/>
      </c>
      <c r="AG674" s="136">
        <f>IF(E674=$AG$6,1,"")</f>
        <v/>
      </c>
      <c r="AH674" s="136">
        <f>IF(E674=$AH$6,1,"")</f>
        <v/>
      </c>
      <c r="AI674" s="136">
        <f>IF(E674=$AI$6,1,"")</f>
        <v/>
      </c>
      <c r="AJ674" s="136">
        <f>IF(E674=$AJ$6,1,"")</f>
        <v/>
      </c>
      <c r="AK674" s="81">
        <f>IF(E674=$AK$6,1,"")</f>
        <v/>
      </c>
      <c r="AL674" s="81">
        <f>IF(E674=$AL$6,1,"")</f>
        <v/>
      </c>
      <c r="AM674" s="81">
        <f>IF(E674=$AM$6,1,"")</f>
        <v/>
      </c>
      <c r="AN674" s="81">
        <f>IF(E674=$AN$6,1,"")</f>
        <v/>
      </c>
      <c r="AO674" s="81">
        <f>IF(E674=$AO$6,1,"")</f>
        <v/>
      </c>
      <c r="AP674" s="81">
        <f>IF(E674=$AP$6,1,"")</f>
        <v/>
      </c>
      <c r="AQ674" s="81">
        <f>IF(E674=$AQ$6,1,"")</f>
        <v/>
      </c>
      <c r="AR674" s="81">
        <f>IF(E674=$AR$6,1,"")</f>
        <v/>
      </c>
      <c r="AS674" s="81" t="n"/>
    </row>
    <row r="675" ht="15.75" customHeight="1" s="80">
      <c r="A675" s="157" t="n"/>
      <c r="B675" s="124" t="n"/>
      <c r="C675" s="125" t="n"/>
      <c r="D675" s="126" t="n"/>
      <c r="E675" s="127" t="n"/>
      <c r="F675" s="128" t="n"/>
      <c r="G675" s="129">
        <f>IF(F675="","",ROUND(F675/60,2))</f>
        <v/>
      </c>
      <c r="H675" s="130" t="n"/>
      <c r="I675" s="131" t="n"/>
      <c r="J675" s="131">
        <f>IF(COUNTIF(B675:E675,"*")=0,"",IF(T675=1,"Invalid Service",IF(AND(V675=1,F675=""),"Add Session Mins",IF(AND(E675&gt;0,H675="",T675=""),"Enter Contract Rate",IF(AND(E675="IEP mtg, prep, rept",F675&gt;0),(G675*H675),IF(AND(E675&gt;0,F675&gt;0,H675&gt;0,I675=""),"Enter Travel",IF(AND(F675&gt;0,I675="Y"),(G675*H675)+$M$10,IF(AND(F675&gt;0,I675="N"),(G675*H675),H675))))))))</f>
        <v/>
      </c>
      <c r="K675" s="132">
        <f>J675</f>
        <v/>
      </c>
      <c r="L675" s="148" t="n"/>
      <c r="M675" s="148" t="n"/>
      <c r="N675" s="148" t="n"/>
      <c r="O675" s="87" t="n"/>
      <c r="P675" s="81" t="n"/>
      <c r="Q675" s="81" t="n"/>
      <c r="R675" s="81" t="n"/>
      <c r="S675" s="81" t="n"/>
      <c r="T675" s="136">
        <f>IF(AND(E675&gt;0,U675=0),1,"")</f>
        <v/>
      </c>
      <c r="U675" s="136">
        <f>SUM(X675:AR675)</f>
        <v/>
      </c>
      <c r="V675" s="136">
        <f>IF(E675=$Q$16,0,SUM(X675:AI675))</f>
        <v/>
      </c>
      <c r="W675" s="136">
        <f>SUM(AK675:AR675)</f>
        <v/>
      </c>
      <c r="X675" s="136">
        <f>IF(E675=$X$6,1,"")</f>
        <v/>
      </c>
      <c r="Y675" s="136">
        <f>IF(E675=$Y$6,1,"")</f>
        <v/>
      </c>
      <c r="Z675" s="136">
        <f>IF(E675=$Z$6,1,"")</f>
        <v/>
      </c>
      <c r="AA675" s="136">
        <f>IF(E675=$AA$6,1,"")</f>
        <v/>
      </c>
      <c r="AB675" s="136">
        <f>IF(E675=$AB$6,1,"")</f>
        <v/>
      </c>
      <c r="AC675" s="136">
        <f>IF(E675=$AC$6,1,"")</f>
        <v/>
      </c>
      <c r="AD675" s="136">
        <f>IF(E675=$AD$6,1,"")</f>
        <v/>
      </c>
      <c r="AE675" s="136">
        <f>IF(E675=$AE$6,1,"")</f>
        <v/>
      </c>
      <c r="AF675" s="136">
        <f>IF(E675=$AF$6,1,"")</f>
        <v/>
      </c>
      <c r="AG675" s="136">
        <f>IF(E675=$AG$6,1,"")</f>
        <v/>
      </c>
      <c r="AH675" s="136">
        <f>IF(E675=$AH$6,1,"")</f>
        <v/>
      </c>
      <c r="AI675" s="136">
        <f>IF(E675=$AI$6,1,"")</f>
        <v/>
      </c>
      <c r="AJ675" s="136">
        <f>IF(E675=$AJ$6,1,"")</f>
        <v/>
      </c>
      <c r="AK675" s="81">
        <f>IF(E675=$AK$6,1,"")</f>
        <v/>
      </c>
      <c r="AL675" s="81">
        <f>IF(E675=$AL$6,1,"")</f>
        <v/>
      </c>
      <c r="AM675" s="81">
        <f>IF(E675=$AM$6,1,"")</f>
        <v/>
      </c>
      <c r="AN675" s="81">
        <f>IF(E675=$AN$6,1,"")</f>
        <v/>
      </c>
      <c r="AO675" s="81">
        <f>IF(E675=$AO$6,1,"")</f>
        <v/>
      </c>
      <c r="AP675" s="81">
        <f>IF(E675=$AP$6,1,"")</f>
        <v/>
      </c>
      <c r="AQ675" s="81">
        <f>IF(E675=$AQ$6,1,"")</f>
        <v/>
      </c>
      <c r="AR675" s="81">
        <f>IF(E675=$AR$6,1,"")</f>
        <v/>
      </c>
      <c r="AS675" s="81" t="n"/>
    </row>
    <row r="676" ht="15.75" customHeight="1" s="80">
      <c r="A676" s="157" t="n"/>
      <c r="B676" s="124" t="n"/>
      <c r="C676" s="125" t="n"/>
      <c r="D676" s="126" t="n"/>
      <c r="E676" s="127" t="n"/>
      <c r="F676" s="128" t="n"/>
      <c r="G676" s="129">
        <f>IF(F676="","",ROUND(F676/60,2))</f>
        <v/>
      </c>
      <c r="H676" s="130" t="n"/>
      <c r="I676" s="131" t="n"/>
      <c r="J676" s="131">
        <f>IF(COUNTIF(B676:E676,"*")=0,"",IF(T676=1,"Invalid Service",IF(AND(V676=1,F676=""),"Add Session Mins",IF(AND(E676&gt;0,H676="",T676=""),"Enter Contract Rate",IF(AND(E676="IEP mtg, prep, rept",F676&gt;0),(G676*H676),IF(AND(E676&gt;0,F676&gt;0,H676&gt;0,I676=""),"Enter Travel",IF(AND(F676&gt;0,I676="Y"),(G676*H676)+$M$10,IF(AND(F676&gt;0,I676="N"),(G676*H676),H676))))))))</f>
        <v/>
      </c>
      <c r="K676" s="132">
        <f>J676</f>
        <v/>
      </c>
      <c r="L676" s="148" t="n"/>
      <c r="M676" s="148" t="n"/>
      <c r="N676" s="148" t="n"/>
      <c r="O676" s="87" t="n"/>
      <c r="P676" s="81" t="n"/>
      <c r="Q676" s="81" t="n"/>
      <c r="R676" s="81" t="n"/>
      <c r="S676" s="81" t="n"/>
      <c r="T676" s="136">
        <f>IF(AND(E676&gt;0,U676=0),1,"")</f>
        <v/>
      </c>
      <c r="U676" s="136">
        <f>SUM(X676:AR676)</f>
        <v/>
      </c>
      <c r="V676" s="136">
        <f>IF(E676=$Q$16,0,SUM(X676:AI676))</f>
        <v/>
      </c>
      <c r="W676" s="136">
        <f>SUM(AK676:AR676)</f>
        <v/>
      </c>
      <c r="X676" s="136">
        <f>IF(E676=$X$6,1,"")</f>
        <v/>
      </c>
      <c r="Y676" s="136">
        <f>IF(E676=$Y$6,1,"")</f>
        <v/>
      </c>
      <c r="Z676" s="136">
        <f>IF(E676=$Z$6,1,"")</f>
        <v/>
      </c>
      <c r="AA676" s="136">
        <f>IF(E676=$AA$6,1,"")</f>
        <v/>
      </c>
      <c r="AB676" s="136">
        <f>IF(E676=$AB$6,1,"")</f>
        <v/>
      </c>
      <c r="AC676" s="136">
        <f>IF(E676=$AC$6,1,"")</f>
        <v/>
      </c>
      <c r="AD676" s="136">
        <f>IF(E676=$AD$6,1,"")</f>
        <v/>
      </c>
      <c r="AE676" s="136">
        <f>IF(E676=$AE$6,1,"")</f>
        <v/>
      </c>
      <c r="AF676" s="136">
        <f>IF(E676=$AF$6,1,"")</f>
        <v/>
      </c>
      <c r="AG676" s="136">
        <f>IF(E676=$AG$6,1,"")</f>
        <v/>
      </c>
      <c r="AH676" s="136">
        <f>IF(E676=$AH$6,1,"")</f>
        <v/>
      </c>
      <c r="AI676" s="136">
        <f>IF(E676=$AI$6,1,"")</f>
        <v/>
      </c>
      <c r="AJ676" s="136">
        <f>IF(E676=$AJ$6,1,"")</f>
        <v/>
      </c>
      <c r="AK676" s="81">
        <f>IF(E676=$AK$6,1,"")</f>
        <v/>
      </c>
      <c r="AL676" s="81">
        <f>IF(E676=$AL$6,1,"")</f>
        <v/>
      </c>
      <c r="AM676" s="81">
        <f>IF(E676=$AM$6,1,"")</f>
        <v/>
      </c>
      <c r="AN676" s="81">
        <f>IF(E676=$AN$6,1,"")</f>
        <v/>
      </c>
      <c r="AO676" s="81">
        <f>IF(E676=$AO$6,1,"")</f>
        <v/>
      </c>
      <c r="AP676" s="81">
        <f>IF(E676=$AP$6,1,"")</f>
        <v/>
      </c>
      <c r="AQ676" s="81">
        <f>IF(E676=$AQ$6,1,"")</f>
        <v/>
      </c>
      <c r="AR676" s="81">
        <f>IF(E676=$AR$6,1,"")</f>
        <v/>
      </c>
      <c r="AS676" s="81" t="n"/>
    </row>
    <row r="677" ht="15.75" customHeight="1" s="80">
      <c r="A677" s="157" t="n"/>
      <c r="B677" s="124" t="n"/>
      <c r="C677" s="125" t="n"/>
      <c r="D677" s="126" t="n"/>
      <c r="E677" s="127" t="n"/>
      <c r="F677" s="128" t="n"/>
      <c r="G677" s="129">
        <f>IF(F677="","",ROUND(F677/60,2))</f>
        <v/>
      </c>
      <c r="H677" s="130" t="n"/>
      <c r="I677" s="131" t="n"/>
      <c r="J677" s="131">
        <f>IF(COUNTIF(B677:E677,"*")=0,"",IF(T677=1,"Invalid Service",IF(AND(V677=1,F677=""),"Add Session Mins",IF(AND(E677&gt;0,H677="",T677=""),"Enter Contract Rate",IF(AND(E677="IEP mtg, prep, rept",F677&gt;0),(G677*H677),IF(AND(E677&gt;0,F677&gt;0,H677&gt;0,I677=""),"Enter Travel",IF(AND(F677&gt;0,I677="Y"),(G677*H677)+$M$10,IF(AND(F677&gt;0,I677="N"),(G677*H677),H677))))))))</f>
        <v/>
      </c>
      <c r="K677" s="132">
        <f>J677</f>
        <v/>
      </c>
      <c r="L677" s="148" t="n"/>
      <c r="M677" s="148" t="n"/>
      <c r="N677" s="148" t="n"/>
      <c r="O677" s="87" t="n"/>
      <c r="P677" s="81" t="n"/>
      <c r="Q677" s="81" t="n"/>
      <c r="R677" s="81" t="n"/>
      <c r="S677" s="81" t="n"/>
      <c r="T677" s="136">
        <f>IF(AND(E677&gt;0,U677=0),1,"")</f>
        <v/>
      </c>
      <c r="U677" s="136">
        <f>SUM(X677:AR677)</f>
        <v/>
      </c>
      <c r="V677" s="136">
        <f>IF(E677=$Q$16,0,SUM(X677:AI677))</f>
        <v/>
      </c>
      <c r="W677" s="136">
        <f>SUM(AK677:AR677)</f>
        <v/>
      </c>
      <c r="X677" s="136">
        <f>IF(E677=$X$6,1,"")</f>
        <v/>
      </c>
      <c r="Y677" s="136">
        <f>IF(E677=$Y$6,1,"")</f>
        <v/>
      </c>
      <c r="Z677" s="136">
        <f>IF(E677=$Z$6,1,"")</f>
        <v/>
      </c>
      <c r="AA677" s="136">
        <f>IF(E677=$AA$6,1,"")</f>
        <v/>
      </c>
      <c r="AB677" s="136">
        <f>IF(E677=$AB$6,1,"")</f>
        <v/>
      </c>
      <c r="AC677" s="136">
        <f>IF(E677=$AC$6,1,"")</f>
        <v/>
      </c>
      <c r="AD677" s="136">
        <f>IF(E677=$AD$6,1,"")</f>
        <v/>
      </c>
      <c r="AE677" s="136">
        <f>IF(E677=$AE$6,1,"")</f>
        <v/>
      </c>
      <c r="AF677" s="136">
        <f>IF(E677=$AF$6,1,"")</f>
        <v/>
      </c>
      <c r="AG677" s="136">
        <f>IF(E677=$AG$6,1,"")</f>
        <v/>
      </c>
      <c r="AH677" s="136">
        <f>IF(E677=$AH$6,1,"")</f>
        <v/>
      </c>
      <c r="AI677" s="136">
        <f>IF(E677=$AI$6,1,"")</f>
        <v/>
      </c>
      <c r="AJ677" s="136">
        <f>IF(E677=$AJ$6,1,"")</f>
        <v/>
      </c>
      <c r="AK677" s="81">
        <f>IF(E677=$AK$6,1,"")</f>
        <v/>
      </c>
      <c r="AL677" s="81">
        <f>IF(E677=$AL$6,1,"")</f>
        <v/>
      </c>
      <c r="AM677" s="81">
        <f>IF(E677=$AM$6,1,"")</f>
        <v/>
      </c>
      <c r="AN677" s="81">
        <f>IF(E677=$AN$6,1,"")</f>
        <v/>
      </c>
      <c r="AO677" s="81">
        <f>IF(E677=$AO$6,1,"")</f>
        <v/>
      </c>
      <c r="AP677" s="81">
        <f>IF(E677=$AP$6,1,"")</f>
        <v/>
      </c>
      <c r="AQ677" s="81">
        <f>IF(E677=$AQ$6,1,"")</f>
        <v/>
      </c>
      <c r="AR677" s="81">
        <f>IF(E677=$AR$6,1,"")</f>
        <v/>
      </c>
      <c r="AS677" s="81" t="n"/>
    </row>
    <row r="678" ht="15.75" customHeight="1" s="80">
      <c r="A678" s="157" t="n"/>
      <c r="B678" s="124" t="n"/>
      <c r="C678" s="125" t="n"/>
      <c r="D678" s="126" t="n"/>
      <c r="E678" s="127" t="n"/>
      <c r="F678" s="128" t="n"/>
      <c r="G678" s="129">
        <f>IF(F678="","",ROUND(F678/60,2))</f>
        <v/>
      </c>
      <c r="H678" s="130" t="n"/>
      <c r="I678" s="131" t="n"/>
      <c r="J678" s="131">
        <f>IF(COUNTIF(B678:E678,"*")=0,"",IF(T678=1,"Invalid Service",IF(AND(V678=1,F678=""),"Add Session Mins",IF(AND(E678&gt;0,H678="",T678=""),"Enter Contract Rate",IF(AND(E678="IEP mtg, prep, rept",F678&gt;0),(G678*H678),IF(AND(E678&gt;0,F678&gt;0,H678&gt;0,I678=""),"Enter Travel",IF(AND(F678&gt;0,I678="Y"),(G678*H678)+$M$10,IF(AND(F678&gt;0,I678="N"),(G678*H678),H678))))))))</f>
        <v/>
      </c>
      <c r="K678" s="132">
        <f>J678</f>
        <v/>
      </c>
      <c r="L678" s="148" t="n"/>
      <c r="M678" s="148" t="n"/>
      <c r="N678" s="148" t="n"/>
      <c r="O678" s="87" t="n"/>
      <c r="P678" s="81" t="n"/>
      <c r="Q678" s="81" t="n"/>
      <c r="R678" s="81" t="n"/>
      <c r="S678" s="81" t="n"/>
      <c r="T678" s="136">
        <f>IF(AND(E678&gt;0,U678=0),1,"")</f>
        <v/>
      </c>
      <c r="U678" s="136">
        <f>SUM(X678:AR678)</f>
        <v/>
      </c>
      <c r="V678" s="136">
        <f>IF(E678=$Q$16,0,SUM(X678:AI678))</f>
        <v/>
      </c>
      <c r="W678" s="136">
        <f>SUM(AK678:AR678)</f>
        <v/>
      </c>
      <c r="X678" s="136">
        <f>IF(E678=$X$6,1,"")</f>
        <v/>
      </c>
      <c r="Y678" s="136">
        <f>IF(E678=$Y$6,1,"")</f>
        <v/>
      </c>
      <c r="Z678" s="136">
        <f>IF(E678=$Z$6,1,"")</f>
        <v/>
      </c>
      <c r="AA678" s="136">
        <f>IF(E678=$AA$6,1,"")</f>
        <v/>
      </c>
      <c r="AB678" s="136">
        <f>IF(E678=$AB$6,1,"")</f>
        <v/>
      </c>
      <c r="AC678" s="136">
        <f>IF(E678=$AC$6,1,"")</f>
        <v/>
      </c>
      <c r="AD678" s="136">
        <f>IF(E678=$AD$6,1,"")</f>
        <v/>
      </c>
      <c r="AE678" s="136">
        <f>IF(E678=$AE$6,1,"")</f>
        <v/>
      </c>
      <c r="AF678" s="136">
        <f>IF(E678=$AF$6,1,"")</f>
        <v/>
      </c>
      <c r="AG678" s="136">
        <f>IF(E678=$AG$6,1,"")</f>
        <v/>
      </c>
      <c r="AH678" s="136">
        <f>IF(E678=$AH$6,1,"")</f>
        <v/>
      </c>
      <c r="AI678" s="136">
        <f>IF(E678=$AI$6,1,"")</f>
        <v/>
      </c>
      <c r="AJ678" s="136">
        <f>IF(E678=$AJ$6,1,"")</f>
        <v/>
      </c>
      <c r="AK678" s="81">
        <f>IF(E678=$AK$6,1,"")</f>
        <v/>
      </c>
      <c r="AL678" s="81">
        <f>IF(E678=$AL$6,1,"")</f>
        <v/>
      </c>
      <c r="AM678" s="81">
        <f>IF(E678=$AM$6,1,"")</f>
        <v/>
      </c>
      <c r="AN678" s="81">
        <f>IF(E678=$AN$6,1,"")</f>
        <v/>
      </c>
      <c r="AO678" s="81">
        <f>IF(E678=$AO$6,1,"")</f>
        <v/>
      </c>
      <c r="AP678" s="81">
        <f>IF(E678=$AP$6,1,"")</f>
        <v/>
      </c>
      <c r="AQ678" s="81">
        <f>IF(E678=$AQ$6,1,"")</f>
        <v/>
      </c>
      <c r="AR678" s="81">
        <f>IF(E678=$AR$6,1,"")</f>
        <v/>
      </c>
      <c r="AS678" s="81" t="n"/>
    </row>
    <row r="679" ht="15.75" customHeight="1" s="80">
      <c r="A679" s="157" t="n"/>
      <c r="B679" s="124" t="n"/>
      <c r="C679" s="125" t="n"/>
      <c r="D679" s="126" t="n"/>
      <c r="E679" s="127" t="n"/>
      <c r="F679" s="128" t="n"/>
      <c r="G679" s="129">
        <f>IF(F679="","",ROUND(F679/60,2))</f>
        <v/>
      </c>
      <c r="H679" s="130" t="n"/>
      <c r="I679" s="131" t="n"/>
      <c r="J679" s="131">
        <f>IF(COUNTIF(B679:E679,"*")=0,"",IF(T679=1,"Invalid Service",IF(AND(V679=1,F679=""),"Add Session Mins",IF(AND(E679&gt;0,H679="",T679=""),"Enter Contract Rate",IF(AND(E679="IEP mtg, prep, rept",F679&gt;0),(G679*H679),IF(AND(E679&gt;0,F679&gt;0,H679&gt;0,I679=""),"Enter Travel",IF(AND(F679&gt;0,I679="Y"),(G679*H679)+$M$10,IF(AND(F679&gt;0,I679="N"),(G679*H679),H679))))))))</f>
        <v/>
      </c>
      <c r="K679" s="132">
        <f>J679</f>
        <v/>
      </c>
      <c r="L679" s="148" t="n"/>
      <c r="M679" s="148" t="n"/>
      <c r="N679" s="148" t="n"/>
      <c r="O679" s="87" t="n"/>
      <c r="P679" s="81" t="n"/>
      <c r="Q679" s="81" t="n"/>
      <c r="R679" s="81" t="n"/>
      <c r="S679" s="81" t="n"/>
      <c r="T679" s="136">
        <f>IF(AND(E679&gt;0,U679=0),1,"")</f>
        <v/>
      </c>
      <c r="U679" s="136">
        <f>SUM(X679:AR679)</f>
        <v/>
      </c>
      <c r="V679" s="136">
        <f>IF(E679=$Q$16,0,SUM(X679:AI679))</f>
        <v/>
      </c>
      <c r="W679" s="136">
        <f>SUM(AK679:AR679)</f>
        <v/>
      </c>
      <c r="X679" s="136">
        <f>IF(E679=$X$6,1,"")</f>
        <v/>
      </c>
      <c r="Y679" s="136">
        <f>IF(E679=$Y$6,1,"")</f>
        <v/>
      </c>
      <c r="Z679" s="136">
        <f>IF(E679=$Z$6,1,"")</f>
        <v/>
      </c>
      <c r="AA679" s="136">
        <f>IF(E679=$AA$6,1,"")</f>
        <v/>
      </c>
      <c r="AB679" s="136">
        <f>IF(E679=$AB$6,1,"")</f>
        <v/>
      </c>
      <c r="AC679" s="136">
        <f>IF(E679=$AC$6,1,"")</f>
        <v/>
      </c>
      <c r="AD679" s="136">
        <f>IF(E679=$AD$6,1,"")</f>
        <v/>
      </c>
      <c r="AE679" s="136">
        <f>IF(E679=$AE$6,1,"")</f>
        <v/>
      </c>
      <c r="AF679" s="136">
        <f>IF(E679=$AF$6,1,"")</f>
        <v/>
      </c>
      <c r="AG679" s="136">
        <f>IF(E679=$AG$6,1,"")</f>
        <v/>
      </c>
      <c r="AH679" s="136">
        <f>IF(E679=$AH$6,1,"")</f>
        <v/>
      </c>
      <c r="AI679" s="136">
        <f>IF(E679=$AI$6,1,"")</f>
        <v/>
      </c>
      <c r="AJ679" s="136">
        <f>IF(E679=$AJ$6,1,"")</f>
        <v/>
      </c>
      <c r="AK679" s="81">
        <f>IF(E679=$AK$6,1,"")</f>
        <v/>
      </c>
      <c r="AL679" s="81">
        <f>IF(E679=$AL$6,1,"")</f>
        <v/>
      </c>
      <c r="AM679" s="81">
        <f>IF(E679=$AM$6,1,"")</f>
        <v/>
      </c>
      <c r="AN679" s="81">
        <f>IF(E679=$AN$6,1,"")</f>
        <v/>
      </c>
      <c r="AO679" s="81">
        <f>IF(E679=$AO$6,1,"")</f>
        <v/>
      </c>
      <c r="AP679" s="81">
        <f>IF(E679=$AP$6,1,"")</f>
        <v/>
      </c>
      <c r="AQ679" s="81">
        <f>IF(E679=$AQ$6,1,"")</f>
        <v/>
      </c>
      <c r="AR679" s="81">
        <f>IF(E679=$AR$6,1,"")</f>
        <v/>
      </c>
      <c r="AS679" s="81" t="n"/>
    </row>
    <row r="680" ht="15.75" customHeight="1" s="80">
      <c r="A680" s="157" t="n"/>
      <c r="B680" s="124" t="n"/>
      <c r="C680" s="125" t="n"/>
      <c r="D680" s="126" t="n"/>
      <c r="E680" s="127" t="n"/>
      <c r="F680" s="128" t="n"/>
      <c r="G680" s="129">
        <f>IF(F680="","",ROUND(F680/60,2))</f>
        <v/>
      </c>
      <c r="H680" s="130" t="n"/>
      <c r="I680" s="131" t="n"/>
      <c r="J680" s="131">
        <f>IF(COUNTIF(B680:E680,"*")=0,"",IF(T680=1,"Invalid Service",IF(AND(V680=1,F680=""),"Add Session Mins",IF(AND(E680&gt;0,H680="",T680=""),"Enter Contract Rate",IF(AND(E680="IEP mtg, prep, rept",F680&gt;0),(G680*H680),IF(AND(E680&gt;0,F680&gt;0,H680&gt;0,I680=""),"Enter Travel",IF(AND(F680&gt;0,I680="Y"),(G680*H680)+$M$10,IF(AND(F680&gt;0,I680="N"),(G680*H680),H680))))))))</f>
        <v/>
      </c>
      <c r="K680" s="132">
        <f>J680</f>
        <v/>
      </c>
      <c r="L680" s="148" t="n"/>
      <c r="M680" s="148" t="n"/>
      <c r="N680" s="148" t="n"/>
      <c r="O680" s="87" t="n"/>
      <c r="P680" s="81" t="n"/>
      <c r="Q680" s="81" t="n"/>
      <c r="R680" s="81" t="n"/>
      <c r="S680" s="81" t="n"/>
      <c r="T680" s="136">
        <f>IF(AND(E680&gt;0,U680=0),1,"")</f>
        <v/>
      </c>
      <c r="U680" s="136">
        <f>SUM(X680:AR680)</f>
        <v/>
      </c>
      <c r="V680" s="136">
        <f>IF(E680=$Q$16,0,SUM(X680:AI680))</f>
        <v/>
      </c>
      <c r="W680" s="136">
        <f>SUM(AK680:AR680)</f>
        <v/>
      </c>
      <c r="X680" s="136">
        <f>IF(E680=$X$6,1,"")</f>
        <v/>
      </c>
      <c r="Y680" s="136">
        <f>IF(E680=$Y$6,1,"")</f>
        <v/>
      </c>
      <c r="Z680" s="136">
        <f>IF(E680=$Z$6,1,"")</f>
        <v/>
      </c>
      <c r="AA680" s="136">
        <f>IF(E680=$AA$6,1,"")</f>
        <v/>
      </c>
      <c r="AB680" s="136">
        <f>IF(E680=$AB$6,1,"")</f>
        <v/>
      </c>
      <c r="AC680" s="136">
        <f>IF(E680=$AC$6,1,"")</f>
        <v/>
      </c>
      <c r="AD680" s="136">
        <f>IF(E680=$AD$6,1,"")</f>
        <v/>
      </c>
      <c r="AE680" s="136">
        <f>IF(E680=$AE$6,1,"")</f>
        <v/>
      </c>
      <c r="AF680" s="136">
        <f>IF(E680=$AF$6,1,"")</f>
        <v/>
      </c>
      <c r="AG680" s="136">
        <f>IF(E680=$AG$6,1,"")</f>
        <v/>
      </c>
      <c r="AH680" s="136">
        <f>IF(E680=$AH$6,1,"")</f>
        <v/>
      </c>
      <c r="AI680" s="136">
        <f>IF(E680=$AI$6,1,"")</f>
        <v/>
      </c>
      <c r="AJ680" s="136">
        <f>IF(E680=$AJ$6,1,"")</f>
        <v/>
      </c>
      <c r="AK680" s="81">
        <f>IF(E680=$AK$6,1,"")</f>
        <v/>
      </c>
      <c r="AL680" s="81">
        <f>IF(E680=$AL$6,1,"")</f>
        <v/>
      </c>
      <c r="AM680" s="81">
        <f>IF(E680=$AM$6,1,"")</f>
        <v/>
      </c>
      <c r="AN680" s="81">
        <f>IF(E680=$AN$6,1,"")</f>
        <v/>
      </c>
      <c r="AO680" s="81">
        <f>IF(E680=$AO$6,1,"")</f>
        <v/>
      </c>
      <c r="AP680" s="81">
        <f>IF(E680=$AP$6,1,"")</f>
        <v/>
      </c>
      <c r="AQ680" s="81">
        <f>IF(E680=$AQ$6,1,"")</f>
        <v/>
      </c>
      <c r="AR680" s="81">
        <f>IF(E680=$AR$6,1,"")</f>
        <v/>
      </c>
      <c r="AS680" s="81" t="n"/>
    </row>
    <row r="681" ht="15.75" customHeight="1" s="80">
      <c r="A681" s="157" t="n"/>
      <c r="B681" s="124" t="n"/>
      <c r="C681" s="125" t="n"/>
      <c r="D681" s="126" t="n"/>
      <c r="E681" s="127" t="n"/>
      <c r="F681" s="128" t="n"/>
      <c r="G681" s="129">
        <f>IF(F681="","",ROUND(F681/60,2))</f>
        <v/>
      </c>
      <c r="H681" s="130" t="n"/>
      <c r="I681" s="131" t="n"/>
      <c r="J681" s="131">
        <f>IF(COUNTIF(B681:E681,"*")=0,"",IF(T681=1,"Invalid Service",IF(AND(V681=1,F681=""),"Add Session Mins",IF(AND(E681&gt;0,H681="",T681=""),"Enter Contract Rate",IF(AND(E681="IEP mtg, prep, rept",F681&gt;0),(G681*H681),IF(AND(E681&gt;0,F681&gt;0,H681&gt;0,I681=""),"Enter Travel",IF(AND(F681&gt;0,I681="Y"),(G681*H681)+$M$10,IF(AND(F681&gt;0,I681="N"),(G681*H681),H681))))))))</f>
        <v/>
      </c>
      <c r="K681" s="132">
        <f>J681</f>
        <v/>
      </c>
      <c r="L681" s="148" t="n"/>
      <c r="M681" s="148" t="n"/>
      <c r="N681" s="148" t="n"/>
      <c r="O681" s="87" t="n"/>
      <c r="P681" s="81" t="n"/>
      <c r="Q681" s="81" t="n"/>
      <c r="R681" s="81" t="n"/>
      <c r="S681" s="81" t="n"/>
      <c r="T681" s="136">
        <f>IF(AND(E681&gt;0,U681=0),1,"")</f>
        <v/>
      </c>
      <c r="U681" s="136">
        <f>SUM(X681:AR681)</f>
        <v/>
      </c>
      <c r="V681" s="136">
        <f>IF(E681=$Q$16,0,SUM(X681:AI681))</f>
        <v/>
      </c>
      <c r="W681" s="136">
        <f>SUM(AK681:AR681)</f>
        <v/>
      </c>
      <c r="X681" s="136">
        <f>IF(E681=$X$6,1,"")</f>
        <v/>
      </c>
      <c r="Y681" s="136">
        <f>IF(E681=$Y$6,1,"")</f>
        <v/>
      </c>
      <c r="Z681" s="136">
        <f>IF(E681=$Z$6,1,"")</f>
        <v/>
      </c>
      <c r="AA681" s="136">
        <f>IF(E681=$AA$6,1,"")</f>
        <v/>
      </c>
      <c r="AB681" s="136">
        <f>IF(E681=$AB$6,1,"")</f>
        <v/>
      </c>
      <c r="AC681" s="136">
        <f>IF(E681=$AC$6,1,"")</f>
        <v/>
      </c>
      <c r="AD681" s="136">
        <f>IF(E681=$AD$6,1,"")</f>
        <v/>
      </c>
      <c r="AE681" s="136">
        <f>IF(E681=$AE$6,1,"")</f>
        <v/>
      </c>
      <c r="AF681" s="136">
        <f>IF(E681=$AF$6,1,"")</f>
        <v/>
      </c>
      <c r="AG681" s="136">
        <f>IF(E681=$AG$6,1,"")</f>
        <v/>
      </c>
      <c r="AH681" s="136">
        <f>IF(E681=$AH$6,1,"")</f>
        <v/>
      </c>
      <c r="AI681" s="136">
        <f>IF(E681=$AI$6,1,"")</f>
        <v/>
      </c>
      <c r="AJ681" s="136">
        <f>IF(E681=$AJ$6,1,"")</f>
        <v/>
      </c>
      <c r="AK681" s="81">
        <f>IF(E681=$AK$6,1,"")</f>
        <v/>
      </c>
      <c r="AL681" s="81">
        <f>IF(E681=$AL$6,1,"")</f>
        <v/>
      </c>
      <c r="AM681" s="81">
        <f>IF(E681=$AM$6,1,"")</f>
        <v/>
      </c>
      <c r="AN681" s="81">
        <f>IF(E681=$AN$6,1,"")</f>
        <v/>
      </c>
      <c r="AO681" s="81">
        <f>IF(E681=$AO$6,1,"")</f>
        <v/>
      </c>
      <c r="AP681" s="81">
        <f>IF(E681=$AP$6,1,"")</f>
        <v/>
      </c>
      <c r="AQ681" s="81">
        <f>IF(E681=$AQ$6,1,"")</f>
        <v/>
      </c>
      <c r="AR681" s="81">
        <f>IF(E681=$AR$6,1,"")</f>
        <v/>
      </c>
      <c r="AS681" s="81" t="n"/>
    </row>
    <row r="682" ht="15.75" customHeight="1" s="80">
      <c r="A682" s="157" t="n"/>
      <c r="B682" s="124" t="n"/>
      <c r="C682" s="125" t="n"/>
      <c r="D682" s="126" t="n"/>
      <c r="E682" s="127" t="n"/>
      <c r="F682" s="128" t="n"/>
      <c r="G682" s="129">
        <f>IF(F682="","",ROUND(F682/60,2))</f>
        <v/>
      </c>
      <c r="H682" s="130" t="n"/>
      <c r="I682" s="131" t="n"/>
      <c r="J682" s="131">
        <f>IF(COUNTIF(B682:E682,"*")=0,"",IF(T682=1,"Invalid Service",IF(AND(V682=1,F682=""),"Add Session Mins",IF(AND(E682&gt;0,H682="",T682=""),"Enter Contract Rate",IF(AND(E682="IEP mtg, prep, rept",F682&gt;0),(G682*H682),IF(AND(E682&gt;0,F682&gt;0,H682&gt;0,I682=""),"Enter Travel",IF(AND(F682&gt;0,I682="Y"),(G682*H682)+$M$10,IF(AND(F682&gt;0,I682="N"),(G682*H682),H682))))))))</f>
        <v/>
      </c>
      <c r="K682" s="132">
        <f>J682</f>
        <v/>
      </c>
      <c r="L682" s="148" t="n"/>
      <c r="M682" s="148" t="n"/>
      <c r="N682" s="148" t="n"/>
      <c r="O682" s="87" t="n"/>
      <c r="P682" s="81" t="n"/>
      <c r="Q682" s="81" t="n"/>
      <c r="R682" s="81" t="n"/>
      <c r="S682" s="81" t="n"/>
      <c r="T682" s="136">
        <f>IF(AND(E682&gt;0,U682=0),1,"")</f>
        <v/>
      </c>
      <c r="U682" s="136">
        <f>SUM(X682:AR682)</f>
        <v/>
      </c>
      <c r="V682" s="136">
        <f>IF(E682=$Q$16,0,SUM(X682:AI682))</f>
        <v/>
      </c>
      <c r="W682" s="136">
        <f>SUM(AK682:AR682)</f>
        <v/>
      </c>
      <c r="X682" s="136">
        <f>IF(E682=$X$6,1,"")</f>
        <v/>
      </c>
      <c r="Y682" s="136">
        <f>IF(E682=$Y$6,1,"")</f>
        <v/>
      </c>
      <c r="Z682" s="136">
        <f>IF(E682=$Z$6,1,"")</f>
        <v/>
      </c>
      <c r="AA682" s="136">
        <f>IF(E682=$AA$6,1,"")</f>
        <v/>
      </c>
      <c r="AB682" s="136">
        <f>IF(E682=$AB$6,1,"")</f>
        <v/>
      </c>
      <c r="AC682" s="136">
        <f>IF(E682=$AC$6,1,"")</f>
        <v/>
      </c>
      <c r="AD682" s="136">
        <f>IF(E682=$AD$6,1,"")</f>
        <v/>
      </c>
      <c r="AE682" s="136">
        <f>IF(E682=$AE$6,1,"")</f>
        <v/>
      </c>
      <c r="AF682" s="136">
        <f>IF(E682=$AF$6,1,"")</f>
        <v/>
      </c>
      <c r="AG682" s="136">
        <f>IF(E682=$AG$6,1,"")</f>
        <v/>
      </c>
      <c r="AH682" s="136">
        <f>IF(E682=$AH$6,1,"")</f>
        <v/>
      </c>
      <c r="AI682" s="136">
        <f>IF(E682=$AI$6,1,"")</f>
        <v/>
      </c>
      <c r="AJ682" s="136">
        <f>IF(E682=$AJ$6,1,"")</f>
        <v/>
      </c>
      <c r="AK682" s="81">
        <f>IF(E682=$AK$6,1,"")</f>
        <v/>
      </c>
      <c r="AL682" s="81">
        <f>IF(E682=$AL$6,1,"")</f>
        <v/>
      </c>
      <c r="AM682" s="81">
        <f>IF(E682=$AM$6,1,"")</f>
        <v/>
      </c>
      <c r="AN682" s="81">
        <f>IF(E682=$AN$6,1,"")</f>
        <v/>
      </c>
      <c r="AO682" s="81">
        <f>IF(E682=$AO$6,1,"")</f>
        <v/>
      </c>
      <c r="AP682" s="81">
        <f>IF(E682=$AP$6,1,"")</f>
        <v/>
      </c>
      <c r="AQ682" s="81">
        <f>IF(E682=$AQ$6,1,"")</f>
        <v/>
      </c>
      <c r="AR682" s="81">
        <f>IF(E682=$AR$6,1,"")</f>
        <v/>
      </c>
      <c r="AS682" s="81" t="n"/>
    </row>
    <row r="683" ht="15.75" customHeight="1" s="80">
      <c r="A683" s="157" t="n"/>
      <c r="B683" s="124" t="n"/>
      <c r="C683" s="125" t="n"/>
      <c r="D683" s="126" t="n"/>
      <c r="E683" s="127" t="n"/>
      <c r="F683" s="128" t="n"/>
      <c r="G683" s="129">
        <f>IF(F683="","",ROUND(F683/60,2))</f>
        <v/>
      </c>
      <c r="H683" s="130" t="n"/>
      <c r="I683" s="131" t="n"/>
      <c r="J683" s="131">
        <f>IF(COUNTIF(B683:E683,"*")=0,"",IF(T683=1,"Invalid Service",IF(AND(V683=1,F683=""),"Add Session Mins",IF(AND(E683&gt;0,H683="",T683=""),"Enter Contract Rate",IF(AND(E683="IEP mtg, prep, rept",F683&gt;0),(G683*H683),IF(AND(E683&gt;0,F683&gt;0,H683&gt;0,I683=""),"Enter Travel",IF(AND(F683&gt;0,I683="Y"),(G683*H683)+$M$10,IF(AND(F683&gt;0,I683="N"),(G683*H683),H683))))))))</f>
        <v/>
      </c>
      <c r="K683" s="132">
        <f>J683</f>
        <v/>
      </c>
      <c r="L683" s="148" t="n"/>
      <c r="M683" s="148" t="n"/>
      <c r="N683" s="148" t="n"/>
      <c r="O683" s="87" t="n"/>
      <c r="P683" s="81" t="n"/>
      <c r="Q683" s="81" t="n"/>
      <c r="R683" s="81" t="n"/>
      <c r="S683" s="81" t="n"/>
      <c r="T683" s="136">
        <f>IF(AND(E683&gt;0,U683=0),1,"")</f>
        <v/>
      </c>
      <c r="U683" s="136">
        <f>SUM(X683:AR683)</f>
        <v/>
      </c>
      <c r="V683" s="136">
        <f>IF(E683=$Q$16,0,SUM(X683:AI683))</f>
        <v/>
      </c>
      <c r="W683" s="136">
        <f>SUM(AK683:AR683)</f>
        <v/>
      </c>
      <c r="X683" s="136">
        <f>IF(E683=$X$6,1,"")</f>
        <v/>
      </c>
      <c r="Y683" s="136">
        <f>IF(E683=$Y$6,1,"")</f>
        <v/>
      </c>
      <c r="Z683" s="136">
        <f>IF(E683=$Z$6,1,"")</f>
        <v/>
      </c>
      <c r="AA683" s="136">
        <f>IF(E683=$AA$6,1,"")</f>
        <v/>
      </c>
      <c r="AB683" s="136">
        <f>IF(E683=$AB$6,1,"")</f>
        <v/>
      </c>
      <c r="AC683" s="136">
        <f>IF(E683=$AC$6,1,"")</f>
        <v/>
      </c>
      <c r="AD683" s="136">
        <f>IF(E683=$AD$6,1,"")</f>
        <v/>
      </c>
      <c r="AE683" s="136">
        <f>IF(E683=$AE$6,1,"")</f>
        <v/>
      </c>
      <c r="AF683" s="136">
        <f>IF(E683=$AF$6,1,"")</f>
        <v/>
      </c>
      <c r="AG683" s="136">
        <f>IF(E683=$AG$6,1,"")</f>
        <v/>
      </c>
      <c r="AH683" s="136">
        <f>IF(E683=$AH$6,1,"")</f>
        <v/>
      </c>
      <c r="AI683" s="136">
        <f>IF(E683=$AI$6,1,"")</f>
        <v/>
      </c>
      <c r="AJ683" s="136">
        <f>IF(E683=$AJ$6,1,"")</f>
        <v/>
      </c>
      <c r="AK683" s="81">
        <f>IF(E683=$AK$6,1,"")</f>
        <v/>
      </c>
      <c r="AL683" s="81">
        <f>IF(E683=$AL$6,1,"")</f>
        <v/>
      </c>
      <c r="AM683" s="81">
        <f>IF(E683=$AM$6,1,"")</f>
        <v/>
      </c>
      <c r="AN683" s="81">
        <f>IF(E683=$AN$6,1,"")</f>
        <v/>
      </c>
      <c r="AO683" s="81">
        <f>IF(E683=$AO$6,1,"")</f>
        <v/>
      </c>
      <c r="AP683" s="81">
        <f>IF(E683=$AP$6,1,"")</f>
        <v/>
      </c>
      <c r="AQ683" s="81">
        <f>IF(E683=$AQ$6,1,"")</f>
        <v/>
      </c>
      <c r="AR683" s="81">
        <f>IF(E683=$AR$6,1,"")</f>
        <v/>
      </c>
      <c r="AS683" s="81" t="n"/>
    </row>
    <row r="684" ht="15.75" customHeight="1" s="80">
      <c r="A684" s="157" t="n"/>
      <c r="B684" s="124" t="n"/>
      <c r="C684" s="125" t="n"/>
      <c r="D684" s="126" t="n"/>
      <c r="E684" s="127" t="n"/>
      <c r="F684" s="128" t="n"/>
      <c r="G684" s="129">
        <f>IF(F684="","",ROUND(F684/60,2))</f>
        <v/>
      </c>
      <c r="H684" s="130" t="n"/>
      <c r="I684" s="131" t="n"/>
      <c r="J684" s="131">
        <f>IF(COUNTIF(B684:E684,"*")=0,"",IF(T684=1,"Invalid Service",IF(AND(V684=1,F684=""),"Add Session Mins",IF(AND(E684&gt;0,H684="",T684=""),"Enter Contract Rate",IF(AND(E684="IEP mtg, prep, rept",F684&gt;0),(G684*H684),IF(AND(E684&gt;0,F684&gt;0,H684&gt;0,I684=""),"Enter Travel",IF(AND(F684&gt;0,I684="Y"),(G684*H684)+$M$10,IF(AND(F684&gt;0,I684="N"),(G684*H684),H684))))))))</f>
        <v/>
      </c>
      <c r="K684" s="132">
        <f>J684</f>
        <v/>
      </c>
      <c r="L684" s="148" t="n"/>
      <c r="M684" s="148" t="n"/>
      <c r="N684" s="148" t="n"/>
      <c r="O684" s="87" t="n"/>
      <c r="P684" s="81" t="n"/>
      <c r="Q684" s="81" t="n"/>
      <c r="R684" s="81" t="n"/>
      <c r="S684" s="81" t="n"/>
      <c r="T684" s="136">
        <f>IF(AND(E684&gt;0,U684=0),1,"")</f>
        <v/>
      </c>
      <c r="U684" s="136">
        <f>SUM(X684:AR684)</f>
        <v/>
      </c>
      <c r="V684" s="136">
        <f>IF(E684=$Q$16,0,SUM(X684:AI684))</f>
        <v/>
      </c>
      <c r="W684" s="136">
        <f>SUM(AK684:AR684)</f>
        <v/>
      </c>
      <c r="X684" s="136">
        <f>IF(E684=$X$6,1,"")</f>
        <v/>
      </c>
      <c r="Y684" s="136">
        <f>IF(E684=$Y$6,1,"")</f>
        <v/>
      </c>
      <c r="Z684" s="136">
        <f>IF(E684=$Z$6,1,"")</f>
        <v/>
      </c>
      <c r="AA684" s="136">
        <f>IF(E684=$AA$6,1,"")</f>
        <v/>
      </c>
      <c r="AB684" s="136">
        <f>IF(E684=$AB$6,1,"")</f>
        <v/>
      </c>
      <c r="AC684" s="136">
        <f>IF(E684=$AC$6,1,"")</f>
        <v/>
      </c>
      <c r="AD684" s="136">
        <f>IF(E684=$AD$6,1,"")</f>
        <v/>
      </c>
      <c r="AE684" s="136">
        <f>IF(E684=$AE$6,1,"")</f>
        <v/>
      </c>
      <c r="AF684" s="136">
        <f>IF(E684=$AF$6,1,"")</f>
        <v/>
      </c>
      <c r="AG684" s="136">
        <f>IF(E684=$AG$6,1,"")</f>
        <v/>
      </c>
      <c r="AH684" s="136">
        <f>IF(E684=$AH$6,1,"")</f>
        <v/>
      </c>
      <c r="AI684" s="136">
        <f>IF(E684=$AI$6,1,"")</f>
        <v/>
      </c>
      <c r="AJ684" s="136">
        <f>IF(E684=$AJ$6,1,"")</f>
        <v/>
      </c>
      <c r="AK684" s="81">
        <f>IF(E684=$AK$6,1,"")</f>
        <v/>
      </c>
      <c r="AL684" s="81">
        <f>IF(E684=$AL$6,1,"")</f>
        <v/>
      </c>
      <c r="AM684" s="81">
        <f>IF(E684=$AM$6,1,"")</f>
        <v/>
      </c>
      <c r="AN684" s="81">
        <f>IF(E684=$AN$6,1,"")</f>
        <v/>
      </c>
      <c r="AO684" s="81">
        <f>IF(E684=$AO$6,1,"")</f>
        <v/>
      </c>
      <c r="AP684" s="81">
        <f>IF(E684=$AP$6,1,"")</f>
        <v/>
      </c>
      <c r="AQ684" s="81">
        <f>IF(E684=$AQ$6,1,"")</f>
        <v/>
      </c>
      <c r="AR684" s="81">
        <f>IF(E684=$AR$6,1,"")</f>
        <v/>
      </c>
      <c r="AS684" s="81" t="n"/>
    </row>
    <row r="685" ht="15.75" customHeight="1" s="80">
      <c r="A685" s="157" t="n"/>
      <c r="B685" s="124" t="n"/>
      <c r="C685" s="125" t="n"/>
      <c r="D685" s="126" t="n"/>
      <c r="E685" s="127" t="n"/>
      <c r="F685" s="128" t="n"/>
      <c r="G685" s="129">
        <f>IF(F685="","",ROUND(F685/60,2))</f>
        <v/>
      </c>
      <c r="H685" s="130" t="n"/>
      <c r="I685" s="131" t="n"/>
      <c r="J685" s="131">
        <f>IF(COUNTIF(B685:E685,"*")=0,"",IF(T685=1,"Invalid Service",IF(AND(V685=1,F685=""),"Add Session Mins",IF(AND(E685&gt;0,H685="",T685=""),"Enter Contract Rate",IF(AND(E685="IEP mtg, prep, rept",F685&gt;0),(G685*H685),IF(AND(E685&gt;0,F685&gt;0,H685&gt;0,I685=""),"Enter Travel",IF(AND(F685&gt;0,I685="Y"),(G685*H685)+$M$10,IF(AND(F685&gt;0,I685="N"),(G685*H685),H685))))))))</f>
        <v/>
      </c>
      <c r="K685" s="132">
        <f>J685</f>
        <v/>
      </c>
      <c r="L685" s="148" t="n"/>
      <c r="M685" s="148" t="n"/>
      <c r="N685" s="148" t="n"/>
      <c r="O685" s="87" t="n"/>
      <c r="P685" s="81" t="n"/>
      <c r="Q685" s="81" t="n"/>
      <c r="R685" s="81" t="n"/>
      <c r="S685" s="81" t="n"/>
      <c r="T685" s="136">
        <f>IF(AND(E685&gt;0,U685=0),1,"")</f>
        <v/>
      </c>
      <c r="U685" s="136">
        <f>SUM(X685:AR685)</f>
        <v/>
      </c>
      <c r="V685" s="136">
        <f>IF(E685=$Q$16,0,SUM(X685:AI685))</f>
        <v/>
      </c>
      <c r="W685" s="136">
        <f>SUM(AK685:AR685)</f>
        <v/>
      </c>
      <c r="X685" s="136">
        <f>IF(E685=$X$6,1,"")</f>
        <v/>
      </c>
      <c r="Y685" s="136">
        <f>IF(E685=$Y$6,1,"")</f>
        <v/>
      </c>
      <c r="Z685" s="136">
        <f>IF(E685=$Z$6,1,"")</f>
        <v/>
      </c>
      <c r="AA685" s="136">
        <f>IF(E685=$AA$6,1,"")</f>
        <v/>
      </c>
      <c r="AB685" s="136">
        <f>IF(E685=$AB$6,1,"")</f>
        <v/>
      </c>
      <c r="AC685" s="136">
        <f>IF(E685=$AC$6,1,"")</f>
        <v/>
      </c>
      <c r="AD685" s="136">
        <f>IF(E685=$AD$6,1,"")</f>
        <v/>
      </c>
      <c r="AE685" s="136">
        <f>IF(E685=$AE$6,1,"")</f>
        <v/>
      </c>
      <c r="AF685" s="136">
        <f>IF(E685=$AF$6,1,"")</f>
        <v/>
      </c>
      <c r="AG685" s="136">
        <f>IF(E685=$AG$6,1,"")</f>
        <v/>
      </c>
      <c r="AH685" s="136">
        <f>IF(E685=$AH$6,1,"")</f>
        <v/>
      </c>
      <c r="AI685" s="136">
        <f>IF(E685=$AI$6,1,"")</f>
        <v/>
      </c>
      <c r="AJ685" s="136">
        <f>IF(E685=$AJ$6,1,"")</f>
        <v/>
      </c>
      <c r="AK685" s="81">
        <f>IF(E685=$AK$6,1,"")</f>
        <v/>
      </c>
      <c r="AL685" s="81">
        <f>IF(E685=$AL$6,1,"")</f>
        <v/>
      </c>
      <c r="AM685" s="81">
        <f>IF(E685=$AM$6,1,"")</f>
        <v/>
      </c>
      <c r="AN685" s="81">
        <f>IF(E685=$AN$6,1,"")</f>
        <v/>
      </c>
      <c r="AO685" s="81">
        <f>IF(E685=$AO$6,1,"")</f>
        <v/>
      </c>
      <c r="AP685" s="81">
        <f>IF(E685=$AP$6,1,"")</f>
        <v/>
      </c>
      <c r="AQ685" s="81">
        <f>IF(E685=$AQ$6,1,"")</f>
        <v/>
      </c>
      <c r="AR685" s="81">
        <f>IF(E685=$AR$6,1,"")</f>
        <v/>
      </c>
      <c r="AS685" s="81" t="n"/>
    </row>
    <row r="686" ht="15.75" customHeight="1" s="80">
      <c r="A686" s="157" t="n"/>
      <c r="B686" s="124" t="n"/>
      <c r="C686" s="125" t="n"/>
      <c r="D686" s="126" t="n"/>
      <c r="E686" s="127" t="n"/>
      <c r="F686" s="128" t="n"/>
      <c r="G686" s="129">
        <f>IF(F686="","",ROUND(F686/60,2))</f>
        <v/>
      </c>
      <c r="H686" s="130" t="n"/>
      <c r="I686" s="131" t="n"/>
      <c r="J686" s="131">
        <f>IF(COUNTIF(B686:E686,"*")=0,"",IF(T686=1,"Invalid Service",IF(AND(V686=1,F686=""),"Add Session Mins",IF(AND(E686&gt;0,H686="",T686=""),"Enter Contract Rate",IF(AND(E686="IEP mtg, prep, rept",F686&gt;0),(G686*H686),IF(AND(E686&gt;0,F686&gt;0,H686&gt;0,I686=""),"Enter Travel",IF(AND(F686&gt;0,I686="Y"),(G686*H686)+$M$10,IF(AND(F686&gt;0,I686="N"),(G686*H686),H686))))))))</f>
        <v/>
      </c>
      <c r="K686" s="132">
        <f>J686</f>
        <v/>
      </c>
      <c r="L686" s="148" t="n"/>
      <c r="M686" s="148" t="n"/>
      <c r="N686" s="148" t="n"/>
      <c r="O686" s="87" t="n"/>
      <c r="P686" s="81" t="n"/>
      <c r="Q686" s="81" t="n"/>
      <c r="R686" s="81" t="n"/>
      <c r="S686" s="81" t="n"/>
      <c r="T686" s="136">
        <f>IF(AND(E686&gt;0,U686=0),1,"")</f>
        <v/>
      </c>
      <c r="U686" s="136">
        <f>SUM(X686:AR686)</f>
        <v/>
      </c>
      <c r="V686" s="136">
        <f>IF(E686=$Q$16,0,SUM(X686:AI686))</f>
        <v/>
      </c>
      <c r="W686" s="136">
        <f>SUM(AK686:AR686)</f>
        <v/>
      </c>
      <c r="X686" s="136">
        <f>IF(E686=$X$6,1,"")</f>
        <v/>
      </c>
      <c r="Y686" s="136">
        <f>IF(E686=$Y$6,1,"")</f>
        <v/>
      </c>
      <c r="Z686" s="136">
        <f>IF(E686=$Z$6,1,"")</f>
        <v/>
      </c>
      <c r="AA686" s="136">
        <f>IF(E686=$AA$6,1,"")</f>
        <v/>
      </c>
      <c r="AB686" s="136">
        <f>IF(E686=$AB$6,1,"")</f>
        <v/>
      </c>
      <c r="AC686" s="136">
        <f>IF(E686=$AC$6,1,"")</f>
        <v/>
      </c>
      <c r="AD686" s="136">
        <f>IF(E686=$AD$6,1,"")</f>
        <v/>
      </c>
      <c r="AE686" s="136">
        <f>IF(E686=$AE$6,1,"")</f>
        <v/>
      </c>
      <c r="AF686" s="136">
        <f>IF(E686=$AF$6,1,"")</f>
        <v/>
      </c>
      <c r="AG686" s="136">
        <f>IF(E686=$AG$6,1,"")</f>
        <v/>
      </c>
      <c r="AH686" s="136">
        <f>IF(E686=$AH$6,1,"")</f>
        <v/>
      </c>
      <c r="AI686" s="136">
        <f>IF(E686=$AI$6,1,"")</f>
        <v/>
      </c>
      <c r="AJ686" s="136">
        <f>IF(E686=$AJ$6,1,"")</f>
        <v/>
      </c>
      <c r="AK686" s="81">
        <f>IF(E686=$AK$6,1,"")</f>
        <v/>
      </c>
      <c r="AL686" s="81">
        <f>IF(E686=$AL$6,1,"")</f>
        <v/>
      </c>
      <c r="AM686" s="81">
        <f>IF(E686=$AM$6,1,"")</f>
        <v/>
      </c>
      <c r="AN686" s="81">
        <f>IF(E686=$AN$6,1,"")</f>
        <v/>
      </c>
      <c r="AO686" s="81">
        <f>IF(E686=$AO$6,1,"")</f>
        <v/>
      </c>
      <c r="AP686" s="81">
        <f>IF(E686=$AP$6,1,"")</f>
        <v/>
      </c>
      <c r="AQ686" s="81">
        <f>IF(E686=$AQ$6,1,"")</f>
        <v/>
      </c>
      <c r="AR686" s="81">
        <f>IF(E686=$AR$6,1,"")</f>
        <v/>
      </c>
      <c r="AS686" s="81" t="n"/>
    </row>
    <row r="687" ht="15.75" customHeight="1" s="80">
      <c r="A687" s="157" t="n"/>
      <c r="B687" s="124" t="n"/>
      <c r="C687" s="125" t="n"/>
      <c r="D687" s="126" t="n"/>
      <c r="E687" s="127" t="n"/>
      <c r="F687" s="128" t="n"/>
      <c r="G687" s="129">
        <f>IF(F687="","",ROUND(F687/60,2))</f>
        <v/>
      </c>
      <c r="H687" s="130" t="n"/>
      <c r="I687" s="131" t="n"/>
      <c r="J687" s="131">
        <f>IF(COUNTIF(B687:E687,"*")=0,"",IF(T687=1,"Invalid Service",IF(AND(V687=1,F687=""),"Add Session Mins",IF(AND(E687&gt;0,H687="",T687=""),"Enter Contract Rate",IF(AND(E687="IEP mtg, prep, rept",F687&gt;0),(G687*H687),IF(AND(E687&gt;0,F687&gt;0,H687&gt;0,I687=""),"Enter Travel",IF(AND(F687&gt;0,I687="Y"),(G687*H687)+$M$10,IF(AND(F687&gt;0,I687="N"),(G687*H687),H687))))))))</f>
        <v/>
      </c>
      <c r="K687" s="132">
        <f>J687</f>
        <v/>
      </c>
      <c r="L687" s="148" t="n"/>
      <c r="M687" s="148" t="n"/>
      <c r="N687" s="148" t="n"/>
      <c r="O687" s="87" t="n"/>
      <c r="P687" s="81" t="n"/>
      <c r="Q687" s="81" t="n"/>
      <c r="R687" s="81" t="n"/>
      <c r="S687" s="81" t="n"/>
      <c r="T687" s="136">
        <f>IF(AND(E687&gt;0,U687=0),1,"")</f>
        <v/>
      </c>
      <c r="U687" s="136">
        <f>SUM(X687:AR687)</f>
        <v/>
      </c>
      <c r="V687" s="136">
        <f>IF(E687=$Q$16,0,SUM(X687:AI687))</f>
        <v/>
      </c>
      <c r="W687" s="136">
        <f>SUM(AK687:AR687)</f>
        <v/>
      </c>
      <c r="X687" s="136">
        <f>IF(E687=$X$6,1,"")</f>
        <v/>
      </c>
      <c r="Y687" s="136">
        <f>IF(E687=$Y$6,1,"")</f>
        <v/>
      </c>
      <c r="Z687" s="136">
        <f>IF(E687=$Z$6,1,"")</f>
        <v/>
      </c>
      <c r="AA687" s="136">
        <f>IF(E687=$AA$6,1,"")</f>
        <v/>
      </c>
      <c r="AB687" s="136">
        <f>IF(E687=$AB$6,1,"")</f>
        <v/>
      </c>
      <c r="AC687" s="136">
        <f>IF(E687=$AC$6,1,"")</f>
        <v/>
      </c>
      <c r="AD687" s="136">
        <f>IF(E687=$AD$6,1,"")</f>
        <v/>
      </c>
      <c r="AE687" s="136">
        <f>IF(E687=$AE$6,1,"")</f>
        <v/>
      </c>
      <c r="AF687" s="136">
        <f>IF(E687=$AF$6,1,"")</f>
        <v/>
      </c>
      <c r="AG687" s="136">
        <f>IF(E687=$AG$6,1,"")</f>
        <v/>
      </c>
      <c r="AH687" s="136">
        <f>IF(E687=$AH$6,1,"")</f>
        <v/>
      </c>
      <c r="AI687" s="136">
        <f>IF(E687=$AI$6,1,"")</f>
        <v/>
      </c>
      <c r="AJ687" s="136">
        <f>IF(E687=$AJ$6,1,"")</f>
        <v/>
      </c>
      <c r="AK687" s="81">
        <f>IF(E687=$AK$6,1,"")</f>
        <v/>
      </c>
      <c r="AL687" s="81">
        <f>IF(E687=$AL$6,1,"")</f>
        <v/>
      </c>
      <c r="AM687" s="81">
        <f>IF(E687=$AM$6,1,"")</f>
        <v/>
      </c>
      <c r="AN687" s="81">
        <f>IF(E687=$AN$6,1,"")</f>
        <v/>
      </c>
      <c r="AO687" s="81">
        <f>IF(E687=$AO$6,1,"")</f>
        <v/>
      </c>
      <c r="AP687" s="81">
        <f>IF(E687=$AP$6,1,"")</f>
        <v/>
      </c>
      <c r="AQ687" s="81">
        <f>IF(E687=$AQ$6,1,"")</f>
        <v/>
      </c>
      <c r="AR687" s="81">
        <f>IF(E687=$AR$6,1,"")</f>
        <v/>
      </c>
      <c r="AS687" s="81" t="n"/>
    </row>
    <row r="688" ht="15.75" customHeight="1" s="80">
      <c r="A688" s="157" t="n"/>
      <c r="B688" s="124" t="n"/>
      <c r="C688" s="125" t="n"/>
      <c r="D688" s="126" t="n"/>
      <c r="E688" s="127" t="n"/>
      <c r="F688" s="128" t="n"/>
      <c r="G688" s="129">
        <f>IF(F688="","",ROUND(F688/60,2))</f>
        <v/>
      </c>
      <c r="H688" s="130" t="n"/>
      <c r="I688" s="131" t="n"/>
      <c r="J688" s="131">
        <f>IF(COUNTIF(B688:E688,"*")=0,"",IF(T688=1,"Invalid Service",IF(AND(V688=1,F688=""),"Add Session Mins",IF(AND(E688&gt;0,H688="",T688=""),"Enter Contract Rate",IF(AND(E688="IEP mtg, prep, rept",F688&gt;0),(G688*H688),IF(AND(E688&gt;0,F688&gt;0,H688&gt;0,I688=""),"Enter Travel",IF(AND(F688&gt;0,I688="Y"),(G688*H688)+$M$10,IF(AND(F688&gt;0,I688="N"),(G688*H688),H688))))))))</f>
        <v/>
      </c>
      <c r="K688" s="132">
        <f>J688</f>
        <v/>
      </c>
      <c r="L688" s="148" t="n"/>
      <c r="M688" s="148" t="n"/>
      <c r="N688" s="148" t="n"/>
      <c r="O688" s="87" t="n"/>
      <c r="P688" s="81" t="n"/>
      <c r="Q688" s="81" t="n"/>
      <c r="R688" s="81" t="n"/>
      <c r="S688" s="81" t="n"/>
      <c r="T688" s="136">
        <f>IF(AND(E688&gt;0,U688=0),1,"")</f>
        <v/>
      </c>
      <c r="U688" s="136">
        <f>SUM(X688:AR688)</f>
        <v/>
      </c>
      <c r="V688" s="136">
        <f>IF(E688=$Q$16,0,SUM(X688:AI688))</f>
        <v/>
      </c>
      <c r="W688" s="136">
        <f>SUM(AK688:AR688)</f>
        <v/>
      </c>
      <c r="X688" s="136">
        <f>IF(E688=$X$6,1,"")</f>
        <v/>
      </c>
      <c r="Y688" s="136">
        <f>IF(E688=$Y$6,1,"")</f>
        <v/>
      </c>
      <c r="Z688" s="136">
        <f>IF(E688=$Z$6,1,"")</f>
        <v/>
      </c>
      <c r="AA688" s="136">
        <f>IF(E688=$AA$6,1,"")</f>
        <v/>
      </c>
      <c r="AB688" s="136">
        <f>IF(E688=$AB$6,1,"")</f>
        <v/>
      </c>
      <c r="AC688" s="136">
        <f>IF(E688=$AC$6,1,"")</f>
        <v/>
      </c>
      <c r="AD688" s="136">
        <f>IF(E688=$AD$6,1,"")</f>
        <v/>
      </c>
      <c r="AE688" s="136">
        <f>IF(E688=$AE$6,1,"")</f>
        <v/>
      </c>
      <c r="AF688" s="136">
        <f>IF(E688=$AF$6,1,"")</f>
        <v/>
      </c>
      <c r="AG688" s="136">
        <f>IF(E688=$AG$6,1,"")</f>
        <v/>
      </c>
      <c r="AH688" s="136">
        <f>IF(E688=$AH$6,1,"")</f>
        <v/>
      </c>
      <c r="AI688" s="136">
        <f>IF(E688=$AI$6,1,"")</f>
        <v/>
      </c>
      <c r="AJ688" s="136">
        <f>IF(E688=$AJ$6,1,"")</f>
        <v/>
      </c>
      <c r="AK688" s="81">
        <f>IF(E688=$AK$6,1,"")</f>
        <v/>
      </c>
      <c r="AL688" s="81">
        <f>IF(E688=$AL$6,1,"")</f>
        <v/>
      </c>
      <c r="AM688" s="81">
        <f>IF(E688=$AM$6,1,"")</f>
        <v/>
      </c>
      <c r="AN688" s="81">
        <f>IF(E688=$AN$6,1,"")</f>
        <v/>
      </c>
      <c r="AO688" s="81">
        <f>IF(E688=$AO$6,1,"")</f>
        <v/>
      </c>
      <c r="AP688" s="81">
        <f>IF(E688=$AP$6,1,"")</f>
        <v/>
      </c>
      <c r="AQ688" s="81">
        <f>IF(E688=$AQ$6,1,"")</f>
        <v/>
      </c>
      <c r="AR688" s="81">
        <f>IF(E688=$AR$6,1,"")</f>
        <v/>
      </c>
      <c r="AS688" s="81" t="n"/>
    </row>
    <row r="689" ht="15.75" customHeight="1" s="80">
      <c r="A689" s="157" t="n"/>
      <c r="B689" s="124" t="n"/>
      <c r="C689" s="125" t="n"/>
      <c r="D689" s="126" t="n"/>
      <c r="E689" s="127" t="n"/>
      <c r="F689" s="128" t="n"/>
      <c r="G689" s="129">
        <f>IF(F689="","",ROUND(F689/60,2))</f>
        <v/>
      </c>
      <c r="H689" s="130" t="n"/>
      <c r="I689" s="131" t="n"/>
      <c r="J689" s="131">
        <f>IF(COUNTIF(B689:E689,"*")=0,"",IF(T689=1,"Invalid Service",IF(AND(V689=1,F689=""),"Add Session Mins",IF(AND(E689&gt;0,H689="",T689=""),"Enter Contract Rate",IF(AND(E689="IEP mtg, prep, rept",F689&gt;0),(G689*H689),IF(AND(E689&gt;0,F689&gt;0,H689&gt;0,I689=""),"Enter Travel",IF(AND(F689&gt;0,I689="Y"),(G689*H689)+$M$10,IF(AND(F689&gt;0,I689="N"),(G689*H689),H689))))))))</f>
        <v/>
      </c>
      <c r="K689" s="132">
        <f>J689</f>
        <v/>
      </c>
      <c r="L689" s="148" t="n"/>
      <c r="M689" s="148" t="n"/>
      <c r="N689" s="148" t="n"/>
      <c r="O689" s="87" t="n"/>
      <c r="P689" s="81" t="n"/>
      <c r="Q689" s="81" t="n"/>
      <c r="R689" s="81" t="n"/>
      <c r="S689" s="81" t="n"/>
      <c r="T689" s="136">
        <f>IF(AND(E689&gt;0,U689=0),1,"")</f>
        <v/>
      </c>
      <c r="U689" s="136">
        <f>SUM(X689:AR689)</f>
        <v/>
      </c>
      <c r="V689" s="136">
        <f>IF(E689=$Q$16,0,SUM(X689:AI689))</f>
        <v/>
      </c>
      <c r="W689" s="136">
        <f>SUM(AK689:AR689)</f>
        <v/>
      </c>
      <c r="X689" s="136">
        <f>IF(E689=$X$6,1,"")</f>
        <v/>
      </c>
      <c r="Y689" s="136">
        <f>IF(E689=$Y$6,1,"")</f>
        <v/>
      </c>
      <c r="Z689" s="136">
        <f>IF(E689=$Z$6,1,"")</f>
        <v/>
      </c>
      <c r="AA689" s="136">
        <f>IF(E689=$AA$6,1,"")</f>
        <v/>
      </c>
      <c r="AB689" s="136">
        <f>IF(E689=$AB$6,1,"")</f>
        <v/>
      </c>
      <c r="AC689" s="136">
        <f>IF(E689=$AC$6,1,"")</f>
        <v/>
      </c>
      <c r="AD689" s="136">
        <f>IF(E689=$AD$6,1,"")</f>
        <v/>
      </c>
      <c r="AE689" s="136">
        <f>IF(E689=$AE$6,1,"")</f>
        <v/>
      </c>
      <c r="AF689" s="136">
        <f>IF(E689=$AF$6,1,"")</f>
        <v/>
      </c>
      <c r="AG689" s="136">
        <f>IF(E689=$AG$6,1,"")</f>
        <v/>
      </c>
      <c r="AH689" s="136">
        <f>IF(E689=$AH$6,1,"")</f>
        <v/>
      </c>
      <c r="AI689" s="136">
        <f>IF(E689=$AI$6,1,"")</f>
        <v/>
      </c>
      <c r="AJ689" s="136">
        <f>IF(E689=$AJ$6,1,"")</f>
        <v/>
      </c>
      <c r="AK689" s="81">
        <f>IF(E689=$AK$6,1,"")</f>
        <v/>
      </c>
      <c r="AL689" s="81">
        <f>IF(E689=$AL$6,1,"")</f>
        <v/>
      </c>
      <c r="AM689" s="81">
        <f>IF(E689=$AM$6,1,"")</f>
        <v/>
      </c>
      <c r="AN689" s="81">
        <f>IF(E689=$AN$6,1,"")</f>
        <v/>
      </c>
      <c r="AO689" s="81">
        <f>IF(E689=$AO$6,1,"")</f>
        <v/>
      </c>
      <c r="AP689" s="81">
        <f>IF(E689=$AP$6,1,"")</f>
        <v/>
      </c>
      <c r="AQ689" s="81">
        <f>IF(E689=$AQ$6,1,"")</f>
        <v/>
      </c>
      <c r="AR689" s="81">
        <f>IF(E689=$AR$6,1,"")</f>
        <v/>
      </c>
      <c r="AS689" s="81" t="n"/>
    </row>
    <row r="690" ht="15.75" customHeight="1" s="80">
      <c r="A690" s="157" t="n"/>
      <c r="B690" s="124" t="n"/>
      <c r="C690" s="125" t="n"/>
      <c r="D690" s="126" t="n"/>
      <c r="E690" s="127" t="n"/>
      <c r="F690" s="128" t="n"/>
      <c r="G690" s="129">
        <f>IF(F690="","",ROUND(F690/60,2))</f>
        <v/>
      </c>
      <c r="H690" s="130" t="n"/>
      <c r="I690" s="131" t="n"/>
      <c r="J690" s="131">
        <f>IF(COUNTIF(B690:E690,"*")=0,"",IF(T690=1,"Invalid Service",IF(AND(V690=1,F690=""),"Add Session Mins",IF(AND(E690&gt;0,H690="",T690=""),"Enter Contract Rate",IF(AND(E690="IEP mtg, prep, rept",F690&gt;0),(G690*H690),IF(AND(E690&gt;0,F690&gt;0,H690&gt;0,I690=""),"Enter Travel",IF(AND(F690&gt;0,I690="Y"),(G690*H690)+$M$10,IF(AND(F690&gt;0,I690="N"),(G690*H690),H690))))))))</f>
        <v/>
      </c>
      <c r="K690" s="132">
        <f>J690</f>
        <v/>
      </c>
      <c r="L690" s="148" t="n"/>
      <c r="M690" s="148" t="n"/>
      <c r="N690" s="148" t="n"/>
      <c r="O690" s="87" t="n"/>
      <c r="P690" s="81" t="n"/>
      <c r="Q690" s="81" t="n"/>
      <c r="R690" s="81" t="n"/>
      <c r="S690" s="81" t="n"/>
      <c r="T690" s="136">
        <f>IF(AND(E690&gt;0,U690=0),1,"")</f>
        <v/>
      </c>
      <c r="U690" s="136">
        <f>SUM(X690:AR690)</f>
        <v/>
      </c>
      <c r="V690" s="136">
        <f>IF(E690=$Q$16,0,SUM(X690:AI690))</f>
        <v/>
      </c>
      <c r="W690" s="136">
        <f>SUM(AK690:AR690)</f>
        <v/>
      </c>
      <c r="X690" s="136">
        <f>IF(E690=$X$6,1,"")</f>
        <v/>
      </c>
      <c r="Y690" s="136">
        <f>IF(E690=$Y$6,1,"")</f>
        <v/>
      </c>
      <c r="Z690" s="136">
        <f>IF(E690=$Z$6,1,"")</f>
        <v/>
      </c>
      <c r="AA690" s="136">
        <f>IF(E690=$AA$6,1,"")</f>
        <v/>
      </c>
      <c r="AB690" s="136">
        <f>IF(E690=$AB$6,1,"")</f>
        <v/>
      </c>
      <c r="AC690" s="136">
        <f>IF(E690=$AC$6,1,"")</f>
        <v/>
      </c>
      <c r="AD690" s="136">
        <f>IF(E690=$AD$6,1,"")</f>
        <v/>
      </c>
      <c r="AE690" s="136">
        <f>IF(E690=$AE$6,1,"")</f>
        <v/>
      </c>
      <c r="AF690" s="136">
        <f>IF(E690=$AF$6,1,"")</f>
        <v/>
      </c>
      <c r="AG690" s="136">
        <f>IF(E690=$AG$6,1,"")</f>
        <v/>
      </c>
      <c r="AH690" s="136">
        <f>IF(E690=$AH$6,1,"")</f>
        <v/>
      </c>
      <c r="AI690" s="136">
        <f>IF(E690=$AI$6,1,"")</f>
        <v/>
      </c>
      <c r="AJ690" s="136">
        <f>IF(E690=$AJ$6,1,"")</f>
        <v/>
      </c>
      <c r="AK690" s="81">
        <f>IF(E690=$AK$6,1,"")</f>
        <v/>
      </c>
      <c r="AL690" s="81">
        <f>IF(E690=$AL$6,1,"")</f>
        <v/>
      </c>
      <c r="AM690" s="81">
        <f>IF(E690=$AM$6,1,"")</f>
        <v/>
      </c>
      <c r="AN690" s="81">
        <f>IF(E690=$AN$6,1,"")</f>
        <v/>
      </c>
      <c r="AO690" s="81">
        <f>IF(E690=$AO$6,1,"")</f>
        <v/>
      </c>
      <c r="AP690" s="81">
        <f>IF(E690=$AP$6,1,"")</f>
        <v/>
      </c>
      <c r="AQ690" s="81">
        <f>IF(E690=$AQ$6,1,"")</f>
        <v/>
      </c>
      <c r="AR690" s="81">
        <f>IF(E690=$AR$6,1,"")</f>
        <v/>
      </c>
      <c r="AS690" s="81" t="n"/>
    </row>
    <row r="691" ht="15.75" customHeight="1" s="80">
      <c r="A691" s="157" t="n"/>
      <c r="B691" s="124" t="n"/>
      <c r="C691" s="125" t="n"/>
      <c r="D691" s="126" t="n"/>
      <c r="E691" s="127" t="n"/>
      <c r="F691" s="128" t="n"/>
      <c r="G691" s="129">
        <f>IF(F691="","",ROUND(F691/60,2))</f>
        <v/>
      </c>
      <c r="H691" s="130" t="n"/>
      <c r="I691" s="131" t="n"/>
      <c r="J691" s="131">
        <f>IF(COUNTIF(B691:E691,"*")=0,"",IF(T691=1,"Invalid Service",IF(AND(V691=1,F691=""),"Add Session Mins",IF(AND(E691&gt;0,H691="",T691=""),"Enter Contract Rate",IF(AND(E691="IEP mtg, prep, rept",F691&gt;0),(G691*H691),IF(AND(E691&gt;0,F691&gt;0,H691&gt;0,I691=""),"Enter Travel",IF(AND(F691&gt;0,I691="Y"),(G691*H691)+$M$10,IF(AND(F691&gt;0,I691="N"),(G691*H691),H691))))))))</f>
        <v/>
      </c>
      <c r="K691" s="132">
        <f>J691</f>
        <v/>
      </c>
      <c r="L691" s="148" t="n"/>
      <c r="M691" s="148" t="n"/>
      <c r="N691" s="148" t="n"/>
      <c r="O691" s="87" t="n"/>
      <c r="P691" s="81" t="n"/>
      <c r="Q691" s="81" t="n"/>
      <c r="R691" s="81" t="n"/>
      <c r="S691" s="81" t="n"/>
      <c r="T691" s="136">
        <f>IF(AND(E691&gt;0,U691=0),1,"")</f>
        <v/>
      </c>
      <c r="U691" s="136">
        <f>SUM(X691:AR691)</f>
        <v/>
      </c>
      <c r="V691" s="136">
        <f>IF(E691=$Q$16,0,SUM(X691:AI691))</f>
        <v/>
      </c>
      <c r="W691" s="136">
        <f>SUM(AK691:AR691)</f>
        <v/>
      </c>
      <c r="X691" s="136">
        <f>IF(E691=$X$6,1,"")</f>
        <v/>
      </c>
      <c r="Y691" s="136">
        <f>IF(E691=$Y$6,1,"")</f>
        <v/>
      </c>
      <c r="Z691" s="136">
        <f>IF(E691=$Z$6,1,"")</f>
        <v/>
      </c>
      <c r="AA691" s="136">
        <f>IF(E691=$AA$6,1,"")</f>
        <v/>
      </c>
      <c r="AB691" s="136">
        <f>IF(E691=$AB$6,1,"")</f>
        <v/>
      </c>
      <c r="AC691" s="136">
        <f>IF(E691=$AC$6,1,"")</f>
        <v/>
      </c>
      <c r="AD691" s="136">
        <f>IF(E691=$AD$6,1,"")</f>
        <v/>
      </c>
      <c r="AE691" s="136">
        <f>IF(E691=$AE$6,1,"")</f>
        <v/>
      </c>
      <c r="AF691" s="136">
        <f>IF(E691=$AF$6,1,"")</f>
        <v/>
      </c>
      <c r="AG691" s="136">
        <f>IF(E691=$AG$6,1,"")</f>
        <v/>
      </c>
      <c r="AH691" s="136">
        <f>IF(E691=$AH$6,1,"")</f>
        <v/>
      </c>
      <c r="AI691" s="136">
        <f>IF(E691=$AI$6,1,"")</f>
        <v/>
      </c>
      <c r="AJ691" s="136">
        <f>IF(E691=$AJ$6,1,"")</f>
        <v/>
      </c>
      <c r="AK691" s="81">
        <f>IF(E691=$AK$6,1,"")</f>
        <v/>
      </c>
      <c r="AL691" s="81">
        <f>IF(E691=$AL$6,1,"")</f>
        <v/>
      </c>
      <c r="AM691" s="81">
        <f>IF(E691=$AM$6,1,"")</f>
        <v/>
      </c>
      <c r="AN691" s="81">
        <f>IF(E691=$AN$6,1,"")</f>
        <v/>
      </c>
      <c r="AO691" s="81">
        <f>IF(E691=$AO$6,1,"")</f>
        <v/>
      </c>
      <c r="AP691" s="81">
        <f>IF(E691=$AP$6,1,"")</f>
        <v/>
      </c>
      <c r="AQ691" s="81">
        <f>IF(E691=$AQ$6,1,"")</f>
        <v/>
      </c>
      <c r="AR691" s="81">
        <f>IF(E691=$AR$6,1,"")</f>
        <v/>
      </c>
      <c r="AS691" s="81" t="n"/>
    </row>
    <row r="692" ht="15.75" customHeight="1" s="80">
      <c r="A692" s="157" t="n"/>
      <c r="B692" s="124" t="n"/>
      <c r="C692" s="125" t="n"/>
      <c r="D692" s="126" t="n"/>
      <c r="E692" s="127" t="n"/>
      <c r="F692" s="128" t="n"/>
      <c r="G692" s="129">
        <f>IF(F692="","",ROUND(F692/60,2))</f>
        <v/>
      </c>
      <c r="H692" s="130" t="n"/>
      <c r="I692" s="131" t="n"/>
      <c r="J692" s="131">
        <f>IF(COUNTIF(B692:E692,"*")=0,"",IF(T692=1,"Invalid Service",IF(AND(V692=1,F692=""),"Add Session Mins",IF(AND(E692&gt;0,H692="",T692=""),"Enter Contract Rate",IF(AND(E692="IEP mtg, prep, rept",F692&gt;0),(G692*H692),IF(AND(E692&gt;0,F692&gt;0,H692&gt;0,I692=""),"Enter Travel",IF(AND(F692&gt;0,I692="Y"),(G692*H692)+$M$10,IF(AND(F692&gt;0,I692="N"),(G692*H692),H692))))))))</f>
        <v/>
      </c>
      <c r="K692" s="132">
        <f>J692</f>
        <v/>
      </c>
      <c r="L692" s="148" t="n"/>
      <c r="M692" s="148" t="n"/>
      <c r="N692" s="148" t="n"/>
      <c r="O692" s="87" t="n"/>
      <c r="P692" s="81" t="n"/>
      <c r="Q692" s="81" t="n"/>
      <c r="R692" s="81" t="n"/>
      <c r="S692" s="81" t="n"/>
      <c r="T692" s="136">
        <f>IF(AND(E692&gt;0,U692=0),1,"")</f>
        <v/>
      </c>
      <c r="U692" s="136">
        <f>SUM(X692:AR692)</f>
        <v/>
      </c>
      <c r="V692" s="136">
        <f>IF(E692=$Q$16,0,SUM(X692:AI692))</f>
        <v/>
      </c>
      <c r="W692" s="136">
        <f>SUM(AK692:AR692)</f>
        <v/>
      </c>
      <c r="X692" s="136">
        <f>IF(E692=$X$6,1,"")</f>
        <v/>
      </c>
      <c r="Y692" s="136">
        <f>IF(E692=$Y$6,1,"")</f>
        <v/>
      </c>
      <c r="Z692" s="136">
        <f>IF(E692=$Z$6,1,"")</f>
        <v/>
      </c>
      <c r="AA692" s="136">
        <f>IF(E692=$AA$6,1,"")</f>
        <v/>
      </c>
      <c r="AB692" s="136">
        <f>IF(E692=$AB$6,1,"")</f>
        <v/>
      </c>
      <c r="AC692" s="136">
        <f>IF(E692=$AC$6,1,"")</f>
        <v/>
      </c>
      <c r="AD692" s="136">
        <f>IF(E692=$AD$6,1,"")</f>
        <v/>
      </c>
      <c r="AE692" s="136">
        <f>IF(E692=$AE$6,1,"")</f>
        <v/>
      </c>
      <c r="AF692" s="136">
        <f>IF(E692=$AF$6,1,"")</f>
        <v/>
      </c>
      <c r="AG692" s="136">
        <f>IF(E692=$AG$6,1,"")</f>
        <v/>
      </c>
      <c r="AH692" s="136">
        <f>IF(E692=$AH$6,1,"")</f>
        <v/>
      </c>
      <c r="AI692" s="136">
        <f>IF(E692=$AI$6,1,"")</f>
        <v/>
      </c>
      <c r="AJ692" s="136">
        <f>IF(E692=$AJ$6,1,"")</f>
        <v/>
      </c>
      <c r="AK692" s="81">
        <f>IF(E692=$AK$6,1,"")</f>
        <v/>
      </c>
      <c r="AL692" s="81">
        <f>IF(E692=$AL$6,1,"")</f>
        <v/>
      </c>
      <c r="AM692" s="81">
        <f>IF(E692=$AM$6,1,"")</f>
        <v/>
      </c>
      <c r="AN692" s="81">
        <f>IF(E692=$AN$6,1,"")</f>
        <v/>
      </c>
      <c r="AO692" s="81">
        <f>IF(E692=$AO$6,1,"")</f>
        <v/>
      </c>
      <c r="AP692" s="81">
        <f>IF(E692=$AP$6,1,"")</f>
        <v/>
      </c>
      <c r="AQ692" s="81">
        <f>IF(E692=$AQ$6,1,"")</f>
        <v/>
      </c>
      <c r="AR692" s="81">
        <f>IF(E692=$AR$6,1,"")</f>
        <v/>
      </c>
      <c r="AS692" s="81" t="n"/>
    </row>
    <row r="693" ht="15.75" customHeight="1" s="80">
      <c r="A693" s="157" t="n"/>
      <c r="B693" s="124" t="n"/>
      <c r="C693" s="125" t="n"/>
      <c r="D693" s="126" t="n"/>
      <c r="E693" s="127" t="n"/>
      <c r="F693" s="128" t="n"/>
      <c r="G693" s="129">
        <f>IF(F693="","",ROUND(F693/60,2))</f>
        <v/>
      </c>
      <c r="H693" s="130" t="n"/>
      <c r="I693" s="131" t="n"/>
      <c r="J693" s="131">
        <f>IF(COUNTIF(B693:E693,"*")=0,"",IF(T693=1,"Invalid Service",IF(AND(V693=1,F693=""),"Add Session Mins",IF(AND(E693&gt;0,H693="",T693=""),"Enter Contract Rate",IF(AND(E693="IEP mtg, prep, rept",F693&gt;0),(G693*H693),IF(AND(E693&gt;0,F693&gt;0,H693&gt;0,I693=""),"Enter Travel",IF(AND(F693&gt;0,I693="Y"),(G693*H693)+$M$10,IF(AND(F693&gt;0,I693="N"),(G693*H693),H693))))))))</f>
        <v/>
      </c>
      <c r="K693" s="132">
        <f>J693</f>
        <v/>
      </c>
      <c r="L693" s="148" t="n"/>
      <c r="M693" s="148" t="n"/>
      <c r="N693" s="148" t="n"/>
      <c r="O693" s="87" t="n"/>
      <c r="P693" s="81" t="n"/>
      <c r="Q693" s="81" t="n"/>
      <c r="R693" s="81" t="n"/>
      <c r="S693" s="81" t="n"/>
      <c r="T693" s="136">
        <f>IF(AND(E693&gt;0,U693=0),1,"")</f>
        <v/>
      </c>
      <c r="U693" s="136">
        <f>SUM(X693:AR693)</f>
        <v/>
      </c>
      <c r="V693" s="136">
        <f>IF(E693=$Q$16,0,SUM(X693:AI693))</f>
        <v/>
      </c>
      <c r="W693" s="136">
        <f>SUM(AK693:AR693)</f>
        <v/>
      </c>
      <c r="X693" s="136">
        <f>IF(E693=$X$6,1,"")</f>
        <v/>
      </c>
      <c r="Y693" s="136">
        <f>IF(E693=$Y$6,1,"")</f>
        <v/>
      </c>
      <c r="Z693" s="136">
        <f>IF(E693=$Z$6,1,"")</f>
        <v/>
      </c>
      <c r="AA693" s="136">
        <f>IF(E693=$AA$6,1,"")</f>
        <v/>
      </c>
      <c r="AB693" s="136">
        <f>IF(E693=$AB$6,1,"")</f>
        <v/>
      </c>
      <c r="AC693" s="136">
        <f>IF(E693=$AC$6,1,"")</f>
        <v/>
      </c>
      <c r="AD693" s="136">
        <f>IF(E693=$AD$6,1,"")</f>
        <v/>
      </c>
      <c r="AE693" s="136">
        <f>IF(E693=$AE$6,1,"")</f>
        <v/>
      </c>
      <c r="AF693" s="136">
        <f>IF(E693=$AF$6,1,"")</f>
        <v/>
      </c>
      <c r="AG693" s="136">
        <f>IF(E693=$AG$6,1,"")</f>
        <v/>
      </c>
      <c r="AH693" s="136">
        <f>IF(E693=$AH$6,1,"")</f>
        <v/>
      </c>
      <c r="AI693" s="136">
        <f>IF(E693=$AI$6,1,"")</f>
        <v/>
      </c>
      <c r="AJ693" s="136">
        <f>IF(E693=$AJ$6,1,"")</f>
        <v/>
      </c>
      <c r="AK693" s="81">
        <f>IF(E693=$AK$6,1,"")</f>
        <v/>
      </c>
      <c r="AL693" s="81">
        <f>IF(E693=$AL$6,1,"")</f>
        <v/>
      </c>
      <c r="AM693" s="81">
        <f>IF(E693=$AM$6,1,"")</f>
        <v/>
      </c>
      <c r="AN693" s="81">
        <f>IF(E693=$AN$6,1,"")</f>
        <v/>
      </c>
      <c r="AO693" s="81">
        <f>IF(E693=$AO$6,1,"")</f>
        <v/>
      </c>
      <c r="AP693" s="81">
        <f>IF(E693=$AP$6,1,"")</f>
        <v/>
      </c>
      <c r="AQ693" s="81">
        <f>IF(E693=$AQ$6,1,"")</f>
        <v/>
      </c>
      <c r="AR693" s="81">
        <f>IF(E693=$AR$6,1,"")</f>
        <v/>
      </c>
      <c r="AS693" s="81" t="n"/>
    </row>
    <row r="694" ht="15.75" customHeight="1" s="80">
      <c r="A694" s="157" t="n"/>
      <c r="B694" s="124" t="n"/>
      <c r="C694" s="125" t="n"/>
      <c r="D694" s="126" t="n"/>
      <c r="E694" s="127" t="n"/>
      <c r="F694" s="128" t="n"/>
      <c r="G694" s="129">
        <f>IF(F694="","",ROUND(F694/60,2))</f>
        <v/>
      </c>
      <c r="H694" s="130" t="n"/>
      <c r="I694" s="131" t="n"/>
      <c r="J694" s="131">
        <f>IF(COUNTIF(B694:E694,"*")=0,"",IF(T694=1,"Invalid Service",IF(AND(V694=1,F694=""),"Add Session Mins",IF(AND(E694&gt;0,H694="",T694=""),"Enter Contract Rate",IF(AND(E694="IEP mtg, prep, rept",F694&gt;0),(G694*H694),IF(AND(E694&gt;0,F694&gt;0,H694&gt;0,I694=""),"Enter Travel",IF(AND(F694&gt;0,I694="Y"),(G694*H694)+$M$10,IF(AND(F694&gt;0,I694="N"),(G694*H694),H694))))))))</f>
        <v/>
      </c>
      <c r="K694" s="132">
        <f>J694</f>
        <v/>
      </c>
      <c r="L694" s="148" t="n"/>
      <c r="M694" s="148" t="n"/>
      <c r="N694" s="148" t="n"/>
      <c r="O694" s="87" t="n"/>
      <c r="P694" s="81" t="n"/>
      <c r="Q694" s="81" t="n"/>
      <c r="R694" s="81" t="n"/>
      <c r="S694" s="81" t="n"/>
      <c r="T694" s="136">
        <f>IF(AND(E694&gt;0,U694=0),1,"")</f>
        <v/>
      </c>
      <c r="U694" s="136">
        <f>SUM(X694:AR694)</f>
        <v/>
      </c>
      <c r="V694" s="136">
        <f>IF(E694=$Q$16,0,SUM(X694:AI694))</f>
        <v/>
      </c>
      <c r="W694" s="136">
        <f>SUM(AK694:AR694)</f>
        <v/>
      </c>
      <c r="X694" s="136">
        <f>IF(E694=$X$6,1,"")</f>
        <v/>
      </c>
      <c r="Y694" s="136">
        <f>IF(E694=$Y$6,1,"")</f>
        <v/>
      </c>
      <c r="Z694" s="136">
        <f>IF(E694=$Z$6,1,"")</f>
        <v/>
      </c>
      <c r="AA694" s="136">
        <f>IF(E694=$AA$6,1,"")</f>
        <v/>
      </c>
      <c r="AB694" s="136">
        <f>IF(E694=$AB$6,1,"")</f>
        <v/>
      </c>
      <c r="AC694" s="136">
        <f>IF(E694=$AC$6,1,"")</f>
        <v/>
      </c>
      <c r="AD694" s="136">
        <f>IF(E694=$AD$6,1,"")</f>
        <v/>
      </c>
      <c r="AE694" s="136">
        <f>IF(E694=$AE$6,1,"")</f>
        <v/>
      </c>
      <c r="AF694" s="136">
        <f>IF(E694=$AF$6,1,"")</f>
        <v/>
      </c>
      <c r="AG694" s="136">
        <f>IF(E694=$AG$6,1,"")</f>
        <v/>
      </c>
      <c r="AH694" s="136">
        <f>IF(E694=$AH$6,1,"")</f>
        <v/>
      </c>
      <c r="AI694" s="136">
        <f>IF(E694=$AI$6,1,"")</f>
        <v/>
      </c>
      <c r="AJ694" s="136">
        <f>IF(E694=$AJ$6,1,"")</f>
        <v/>
      </c>
      <c r="AK694" s="81">
        <f>IF(E694=$AK$6,1,"")</f>
        <v/>
      </c>
      <c r="AL694" s="81">
        <f>IF(E694=$AL$6,1,"")</f>
        <v/>
      </c>
      <c r="AM694" s="81">
        <f>IF(E694=$AM$6,1,"")</f>
        <v/>
      </c>
      <c r="AN694" s="81">
        <f>IF(E694=$AN$6,1,"")</f>
        <v/>
      </c>
      <c r="AO694" s="81">
        <f>IF(E694=$AO$6,1,"")</f>
        <v/>
      </c>
      <c r="AP694" s="81">
        <f>IF(E694=$AP$6,1,"")</f>
        <v/>
      </c>
      <c r="AQ694" s="81">
        <f>IF(E694=$AQ$6,1,"")</f>
        <v/>
      </c>
      <c r="AR694" s="81">
        <f>IF(E694=$AR$6,1,"")</f>
        <v/>
      </c>
      <c r="AS694" s="81" t="n"/>
    </row>
    <row r="695" ht="15.75" customHeight="1" s="80">
      <c r="A695" s="157" t="n"/>
      <c r="B695" s="124" t="n"/>
      <c r="C695" s="125" t="n"/>
      <c r="D695" s="126" t="n"/>
      <c r="E695" s="127" t="n"/>
      <c r="F695" s="128" t="n"/>
      <c r="G695" s="129">
        <f>IF(F695="","",ROUND(F695/60,2))</f>
        <v/>
      </c>
      <c r="H695" s="130" t="n"/>
      <c r="I695" s="131" t="n"/>
      <c r="J695" s="131">
        <f>IF(COUNTIF(B695:E695,"*")=0,"",IF(T695=1,"Invalid Service",IF(AND(V695=1,F695=""),"Add Session Mins",IF(AND(E695&gt;0,H695="",T695=""),"Enter Contract Rate",IF(AND(E695="IEP mtg, prep, rept",F695&gt;0),(G695*H695),IF(AND(E695&gt;0,F695&gt;0,H695&gt;0,I695=""),"Enter Travel",IF(AND(F695&gt;0,I695="Y"),(G695*H695)+$M$10,IF(AND(F695&gt;0,I695="N"),(G695*H695),H695))))))))</f>
        <v/>
      </c>
      <c r="K695" s="132">
        <f>J695</f>
        <v/>
      </c>
      <c r="L695" s="148" t="n"/>
      <c r="M695" s="148" t="n"/>
      <c r="N695" s="148" t="n"/>
      <c r="O695" s="87" t="n"/>
      <c r="P695" s="81" t="n"/>
      <c r="Q695" s="81" t="n"/>
      <c r="R695" s="81" t="n"/>
      <c r="S695" s="81" t="n"/>
      <c r="T695" s="136">
        <f>IF(AND(E695&gt;0,U695=0),1,"")</f>
        <v/>
      </c>
      <c r="U695" s="136">
        <f>SUM(X695:AR695)</f>
        <v/>
      </c>
      <c r="V695" s="136">
        <f>IF(E695=$Q$16,0,SUM(X695:AI695))</f>
        <v/>
      </c>
      <c r="W695" s="136">
        <f>SUM(AK695:AR695)</f>
        <v/>
      </c>
      <c r="X695" s="136">
        <f>IF(E695=$X$6,1,"")</f>
        <v/>
      </c>
      <c r="Y695" s="136">
        <f>IF(E695=$Y$6,1,"")</f>
        <v/>
      </c>
      <c r="Z695" s="136">
        <f>IF(E695=$Z$6,1,"")</f>
        <v/>
      </c>
      <c r="AA695" s="136">
        <f>IF(E695=$AA$6,1,"")</f>
        <v/>
      </c>
      <c r="AB695" s="136">
        <f>IF(E695=$AB$6,1,"")</f>
        <v/>
      </c>
      <c r="AC695" s="136">
        <f>IF(E695=$AC$6,1,"")</f>
        <v/>
      </c>
      <c r="AD695" s="136">
        <f>IF(E695=$AD$6,1,"")</f>
        <v/>
      </c>
      <c r="AE695" s="136">
        <f>IF(E695=$AE$6,1,"")</f>
        <v/>
      </c>
      <c r="AF695" s="136">
        <f>IF(E695=$AF$6,1,"")</f>
        <v/>
      </c>
      <c r="AG695" s="136">
        <f>IF(E695=$AG$6,1,"")</f>
        <v/>
      </c>
      <c r="AH695" s="136">
        <f>IF(E695=$AH$6,1,"")</f>
        <v/>
      </c>
      <c r="AI695" s="136">
        <f>IF(E695=$AI$6,1,"")</f>
        <v/>
      </c>
      <c r="AJ695" s="136">
        <f>IF(E695=$AJ$6,1,"")</f>
        <v/>
      </c>
      <c r="AK695" s="81">
        <f>IF(E695=$AK$6,1,"")</f>
        <v/>
      </c>
      <c r="AL695" s="81">
        <f>IF(E695=$AL$6,1,"")</f>
        <v/>
      </c>
      <c r="AM695" s="81">
        <f>IF(E695=$AM$6,1,"")</f>
        <v/>
      </c>
      <c r="AN695" s="81">
        <f>IF(E695=$AN$6,1,"")</f>
        <v/>
      </c>
      <c r="AO695" s="81">
        <f>IF(E695=$AO$6,1,"")</f>
        <v/>
      </c>
      <c r="AP695" s="81">
        <f>IF(E695=$AP$6,1,"")</f>
        <v/>
      </c>
      <c r="AQ695" s="81">
        <f>IF(E695=$AQ$6,1,"")</f>
        <v/>
      </c>
      <c r="AR695" s="81">
        <f>IF(E695=$AR$6,1,"")</f>
        <v/>
      </c>
      <c r="AS695" s="81" t="n"/>
    </row>
    <row r="696" ht="15.75" customHeight="1" s="80">
      <c r="A696" s="157" t="n"/>
      <c r="B696" s="124" t="n"/>
      <c r="C696" s="125" t="n"/>
      <c r="D696" s="126" t="n"/>
      <c r="E696" s="127" t="n"/>
      <c r="F696" s="128" t="n"/>
      <c r="G696" s="129">
        <f>IF(F696="","",ROUND(F696/60,2))</f>
        <v/>
      </c>
      <c r="H696" s="130" t="n"/>
      <c r="I696" s="131" t="n"/>
      <c r="J696" s="131">
        <f>IF(COUNTIF(B696:E696,"*")=0,"",IF(T696=1,"Invalid Service",IF(AND(V696=1,F696=""),"Add Session Mins",IF(AND(E696&gt;0,H696="",T696=""),"Enter Contract Rate",IF(AND(E696="IEP mtg, prep, rept",F696&gt;0),(G696*H696),IF(AND(E696&gt;0,F696&gt;0,H696&gt;0,I696=""),"Enter Travel",IF(AND(F696&gt;0,I696="Y"),(G696*H696)+$M$10,IF(AND(F696&gt;0,I696="N"),(G696*H696),H696))))))))</f>
        <v/>
      </c>
      <c r="K696" s="132">
        <f>J696</f>
        <v/>
      </c>
      <c r="L696" s="148" t="n"/>
      <c r="M696" s="148" t="n"/>
      <c r="N696" s="148" t="n"/>
      <c r="O696" s="87" t="n"/>
      <c r="P696" s="81" t="n"/>
      <c r="Q696" s="81" t="n"/>
      <c r="R696" s="81" t="n"/>
      <c r="S696" s="81" t="n"/>
      <c r="T696" s="136">
        <f>IF(AND(E696&gt;0,U696=0),1,"")</f>
        <v/>
      </c>
      <c r="U696" s="136">
        <f>SUM(X696:AR696)</f>
        <v/>
      </c>
      <c r="V696" s="136">
        <f>IF(E696=$Q$16,0,SUM(X696:AI696))</f>
        <v/>
      </c>
      <c r="W696" s="136">
        <f>SUM(AK696:AR696)</f>
        <v/>
      </c>
      <c r="X696" s="136">
        <f>IF(E696=$X$6,1,"")</f>
        <v/>
      </c>
      <c r="Y696" s="136">
        <f>IF(E696=$Y$6,1,"")</f>
        <v/>
      </c>
      <c r="Z696" s="136">
        <f>IF(E696=$Z$6,1,"")</f>
        <v/>
      </c>
      <c r="AA696" s="136">
        <f>IF(E696=$AA$6,1,"")</f>
        <v/>
      </c>
      <c r="AB696" s="136">
        <f>IF(E696=$AB$6,1,"")</f>
        <v/>
      </c>
      <c r="AC696" s="136">
        <f>IF(E696=$AC$6,1,"")</f>
        <v/>
      </c>
      <c r="AD696" s="136">
        <f>IF(E696=$AD$6,1,"")</f>
        <v/>
      </c>
      <c r="AE696" s="136">
        <f>IF(E696=$AE$6,1,"")</f>
        <v/>
      </c>
      <c r="AF696" s="136">
        <f>IF(E696=$AF$6,1,"")</f>
        <v/>
      </c>
      <c r="AG696" s="136">
        <f>IF(E696=$AG$6,1,"")</f>
        <v/>
      </c>
      <c r="AH696" s="136">
        <f>IF(E696=$AH$6,1,"")</f>
        <v/>
      </c>
      <c r="AI696" s="136">
        <f>IF(E696=$AI$6,1,"")</f>
        <v/>
      </c>
      <c r="AJ696" s="136">
        <f>IF(E696=$AJ$6,1,"")</f>
        <v/>
      </c>
      <c r="AK696" s="81">
        <f>IF(E696=$AK$6,1,"")</f>
        <v/>
      </c>
      <c r="AL696" s="81">
        <f>IF(E696=$AL$6,1,"")</f>
        <v/>
      </c>
      <c r="AM696" s="81">
        <f>IF(E696=$AM$6,1,"")</f>
        <v/>
      </c>
      <c r="AN696" s="81">
        <f>IF(E696=$AN$6,1,"")</f>
        <v/>
      </c>
      <c r="AO696" s="81">
        <f>IF(E696=$AO$6,1,"")</f>
        <v/>
      </c>
      <c r="AP696" s="81">
        <f>IF(E696=$AP$6,1,"")</f>
        <v/>
      </c>
      <c r="AQ696" s="81">
        <f>IF(E696=$AQ$6,1,"")</f>
        <v/>
      </c>
      <c r="AR696" s="81">
        <f>IF(E696=$AR$6,1,"")</f>
        <v/>
      </c>
      <c r="AS696" s="81" t="n"/>
    </row>
    <row r="697" ht="15.75" customHeight="1" s="80">
      <c r="A697" s="157" t="n"/>
      <c r="B697" s="124" t="n"/>
      <c r="C697" s="125" t="n"/>
      <c r="D697" s="126" t="n"/>
      <c r="E697" s="127" t="n"/>
      <c r="F697" s="128" t="n"/>
      <c r="G697" s="129">
        <f>IF(F697="","",ROUND(F697/60,2))</f>
        <v/>
      </c>
      <c r="H697" s="130" t="n"/>
      <c r="I697" s="131" t="n"/>
      <c r="J697" s="131">
        <f>IF(COUNTIF(B697:E697,"*")=0,"",IF(T697=1,"Invalid Service",IF(AND(V697=1,F697=""),"Add Session Mins",IF(AND(E697&gt;0,H697="",T697=""),"Enter Contract Rate",IF(AND(E697="IEP mtg, prep, rept",F697&gt;0),(G697*H697),IF(AND(E697&gt;0,F697&gt;0,H697&gt;0,I697=""),"Enter Travel",IF(AND(F697&gt;0,I697="Y"),(G697*H697)+$M$10,IF(AND(F697&gt;0,I697="N"),(G697*H697),H697))))))))</f>
        <v/>
      </c>
      <c r="K697" s="132">
        <f>J697</f>
        <v/>
      </c>
      <c r="L697" s="148" t="n"/>
      <c r="M697" s="148" t="n"/>
      <c r="N697" s="148" t="n"/>
      <c r="O697" s="87" t="n"/>
      <c r="P697" s="81" t="n"/>
      <c r="Q697" s="81" t="n"/>
      <c r="R697" s="81" t="n"/>
      <c r="S697" s="81" t="n"/>
      <c r="T697" s="136">
        <f>IF(AND(E697&gt;0,U697=0),1,"")</f>
        <v/>
      </c>
      <c r="U697" s="136">
        <f>SUM(X697:AR697)</f>
        <v/>
      </c>
      <c r="V697" s="136">
        <f>IF(E697=$Q$16,0,SUM(X697:AI697))</f>
        <v/>
      </c>
      <c r="W697" s="136">
        <f>SUM(AK697:AR697)</f>
        <v/>
      </c>
      <c r="X697" s="136">
        <f>IF(E697=$X$6,1,"")</f>
        <v/>
      </c>
      <c r="Y697" s="136">
        <f>IF(E697=$Y$6,1,"")</f>
        <v/>
      </c>
      <c r="Z697" s="136">
        <f>IF(E697=$Z$6,1,"")</f>
        <v/>
      </c>
      <c r="AA697" s="136">
        <f>IF(E697=$AA$6,1,"")</f>
        <v/>
      </c>
      <c r="AB697" s="136">
        <f>IF(E697=$AB$6,1,"")</f>
        <v/>
      </c>
      <c r="AC697" s="136">
        <f>IF(E697=$AC$6,1,"")</f>
        <v/>
      </c>
      <c r="AD697" s="136">
        <f>IF(E697=$AD$6,1,"")</f>
        <v/>
      </c>
      <c r="AE697" s="136">
        <f>IF(E697=$AE$6,1,"")</f>
        <v/>
      </c>
      <c r="AF697" s="136">
        <f>IF(E697=$AF$6,1,"")</f>
        <v/>
      </c>
      <c r="AG697" s="136">
        <f>IF(E697=$AG$6,1,"")</f>
        <v/>
      </c>
      <c r="AH697" s="136">
        <f>IF(E697=$AH$6,1,"")</f>
        <v/>
      </c>
      <c r="AI697" s="136">
        <f>IF(E697=$AI$6,1,"")</f>
        <v/>
      </c>
      <c r="AJ697" s="136">
        <f>IF(E697=$AJ$6,1,"")</f>
        <v/>
      </c>
      <c r="AK697" s="81">
        <f>IF(E697=$AK$6,1,"")</f>
        <v/>
      </c>
      <c r="AL697" s="81">
        <f>IF(E697=$AL$6,1,"")</f>
        <v/>
      </c>
      <c r="AM697" s="81">
        <f>IF(E697=$AM$6,1,"")</f>
        <v/>
      </c>
      <c r="AN697" s="81">
        <f>IF(E697=$AN$6,1,"")</f>
        <v/>
      </c>
      <c r="AO697" s="81">
        <f>IF(E697=$AO$6,1,"")</f>
        <v/>
      </c>
      <c r="AP697" s="81">
        <f>IF(E697=$AP$6,1,"")</f>
        <v/>
      </c>
      <c r="AQ697" s="81">
        <f>IF(E697=$AQ$6,1,"")</f>
        <v/>
      </c>
      <c r="AR697" s="81">
        <f>IF(E697=$AR$6,1,"")</f>
        <v/>
      </c>
      <c r="AS697" s="81" t="n"/>
    </row>
    <row r="698" ht="15.75" customHeight="1" s="80">
      <c r="A698" s="157" t="n"/>
      <c r="B698" s="124" t="n"/>
      <c r="C698" s="125" t="n"/>
      <c r="D698" s="126" t="n"/>
      <c r="E698" s="127" t="n"/>
      <c r="F698" s="128" t="n"/>
      <c r="G698" s="129">
        <f>IF(F698="","",ROUND(F698/60,2))</f>
        <v/>
      </c>
      <c r="H698" s="130" t="n"/>
      <c r="I698" s="131" t="n"/>
      <c r="J698" s="131">
        <f>IF(COUNTIF(B698:E698,"*")=0,"",IF(T698=1,"Invalid Service",IF(AND(V698=1,F698=""),"Add Session Mins",IF(AND(E698&gt;0,H698="",T698=""),"Enter Contract Rate",IF(AND(E698="IEP mtg, prep, rept",F698&gt;0),(G698*H698),IF(AND(E698&gt;0,F698&gt;0,H698&gt;0,I698=""),"Enter Travel",IF(AND(F698&gt;0,I698="Y"),(G698*H698)+$M$10,IF(AND(F698&gt;0,I698="N"),(G698*H698),H698))))))))</f>
        <v/>
      </c>
      <c r="K698" s="132">
        <f>J698</f>
        <v/>
      </c>
      <c r="L698" s="148" t="n"/>
      <c r="M698" s="148" t="n"/>
      <c r="N698" s="148" t="n"/>
      <c r="O698" s="87" t="n"/>
      <c r="P698" s="81" t="n"/>
      <c r="Q698" s="81" t="n"/>
      <c r="R698" s="81" t="n"/>
      <c r="S698" s="81" t="n"/>
      <c r="T698" s="136">
        <f>IF(AND(E698&gt;0,U698=0),1,"")</f>
        <v/>
      </c>
      <c r="U698" s="136">
        <f>SUM(X698:AR698)</f>
        <v/>
      </c>
      <c r="V698" s="136">
        <f>IF(E698=$Q$16,0,SUM(X698:AI698))</f>
        <v/>
      </c>
      <c r="W698" s="136">
        <f>SUM(AK698:AR698)</f>
        <v/>
      </c>
      <c r="X698" s="136">
        <f>IF(E698=$X$6,1,"")</f>
        <v/>
      </c>
      <c r="Y698" s="136">
        <f>IF(E698=$Y$6,1,"")</f>
        <v/>
      </c>
      <c r="Z698" s="136">
        <f>IF(E698=$Z$6,1,"")</f>
        <v/>
      </c>
      <c r="AA698" s="136">
        <f>IF(E698=$AA$6,1,"")</f>
        <v/>
      </c>
      <c r="AB698" s="136">
        <f>IF(E698=$AB$6,1,"")</f>
        <v/>
      </c>
      <c r="AC698" s="136">
        <f>IF(E698=$AC$6,1,"")</f>
        <v/>
      </c>
      <c r="AD698" s="136">
        <f>IF(E698=$AD$6,1,"")</f>
        <v/>
      </c>
      <c r="AE698" s="136">
        <f>IF(E698=$AE$6,1,"")</f>
        <v/>
      </c>
      <c r="AF698" s="136">
        <f>IF(E698=$AF$6,1,"")</f>
        <v/>
      </c>
      <c r="AG698" s="136">
        <f>IF(E698=$AG$6,1,"")</f>
        <v/>
      </c>
      <c r="AH698" s="136">
        <f>IF(E698=$AH$6,1,"")</f>
        <v/>
      </c>
      <c r="AI698" s="136">
        <f>IF(E698=$AI$6,1,"")</f>
        <v/>
      </c>
      <c r="AJ698" s="136">
        <f>IF(E698=$AJ$6,1,"")</f>
        <v/>
      </c>
      <c r="AK698" s="81">
        <f>IF(E698=$AK$6,1,"")</f>
        <v/>
      </c>
      <c r="AL698" s="81">
        <f>IF(E698=$AL$6,1,"")</f>
        <v/>
      </c>
      <c r="AM698" s="81">
        <f>IF(E698=$AM$6,1,"")</f>
        <v/>
      </c>
      <c r="AN698" s="81">
        <f>IF(E698=$AN$6,1,"")</f>
        <v/>
      </c>
      <c r="AO698" s="81">
        <f>IF(E698=$AO$6,1,"")</f>
        <v/>
      </c>
      <c r="AP698" s="81">
        <f>IF(E698=$AP$6,1,"")</f>
        <v/>
      </c>
      <c r="AQ698" s="81">
        <f>IF(E698=$AQ$6,1,"")</f>
        <v/>
      </c>
      <c r="AR698" s="81">
        <f>IF(E698=$AR$6,1,"")</f>
        <v/>
      </c>
      <c r="AS698" s="81" t="n"/>
    </row>
    <row r="699" ht="15.75" customHeight="1" s="80">
      <c r="A699" s="157" t="n"/>
      <c r="B699" s="124" t="n"/>
      <c r="C699" s="125" t="n"/>
      <c r="D699" s="126" t="n"/>
      <c r="E699" s="127" t="n"/>
      <c r="F699" s="128" t="n"/>
      <c r="G699" s="129">
        <f>IF(F699="","",ROUND(F699/60,2))</f>
        <v/>
      </c>
      <c r="H699" s="130" t="n"/>
      <c r="I699" s="131" t="n"/>
      <c r="J699" s="131">
        <f>IF(COUNTIF(B699:E699,"*")=0,"",IF(T699=1,"Invalid Service",IF(AND(V699=1,F699=""),"Add Session Mins",IF(AND(E699&gt;0,H699="",T699=""),"Enter Contract Rate",IF(AND(E699="IEP mtg, prep, rept",F699&gt;0),(G699*H699),IF(AND(E699&gt;0,F699&gt;0,H699&gt;0,I699=""),"Enter Travel",IF(AND(F699&gt;0,I699="Y"),(G699*H699)+$M$10,IF(AND(F699&gt;0,I699="N"),(G699*H699),H699))))))))</f>
        <v/>
      </c>
      <c r="K699" s="132">
        <f>J699</f>
        <v/>
      </c>
      <c r="L699" s="148" t="n"/>
      <c r="M699" s="148" t="n"/>
      <c r="N699" s="148" t="n"/>
      <c r="O699" s="87" t="n"/>
      <c r="P699" s="81" t="n"/>
      <c r="Q699" s="81" t="n"/>
      <c r="R699" s="81" t="n"/>
      <c r="S699" s="81" t="n"/>
      <c r="T699" s="136">
        <f>IF(AND(E699&gt;0,U699=0),1,"")</f>
        <v/>
      </c>
      <c r="U699" s="136">
        <f>SUM(X699:AR699)</f>
        <v/>
      </c>
      <c r="V699" s="136">
        <f>IF(E699=$Q$16,0,SUM(X699:AI699))</f>
        <v/>
      </c>
      <c r="W699" s="136">
        <f>SUM(AK699:AR699)</f>
        <v/>
      </c>
      <c r="X699" s="136">
        <f>IF(E699=$X$6,1,"")</f>
        <v/>
      </c>
      <c r="Y699" s="136">
        <f>IF(E699=$Y$6,1,"")</f>
        <v/>
      </c>
      <c r="Z699" s="136">
        <f>IF(E699=$Z$6,1,"")</f>
        <v/>
      </c>
      <c r="AA699" s="136">
        <f>IF(E699=$AA$6,1,"")</f>
        <v/>
      </c>
      <c r="AB699" s="136">
        <f>IF(E699=$AB$6,1,"")</f>
        <v/>
      </c>
      <c r="AC699" s="136">
        <f>IF(E699=$AC$6,1,"")</f>
        <v/>
      </c>
      <c r="AD699" s="136">
        <f>IF(E699=$AD$6,1,"")</f>
        <v/>
      </c>
      <c r="AE699" s="136">
        <f>IF(E699=$AE$6,1,"")</f>
        <v/>
      </c>
      <c r="AF699" s="136">
        <f>IF(E699=$AF$6,1,"")</f>
        <v/>
      </c>
      <c r="AG699" s="136">
        <f>IF(E699=$AG$6,1,"")</f>
        <v/>
      </c>
      <c r="AH699" s="136">
        <f>IF(E699=$AH$6,1,"")</f>
        <v/>
      </c>
      <c r="AI699" s="136">
        <f>IF(E699=$AI$6,1,"")</f>
        <v/>
      </c>
      <c r="AJ699" s="136">
        <f>IF(E699=$AJ$6,1,"")</f>
        <v/>
      </c>
      <c r="AK699" s="81">
        <f>IF(E699=$AK$6,1,"")</f>
        <v/>
      </c>
      <c r="AL699" s="81">
        <f>IF(E699=$AL$6,1,"")</f>
        <v/>
      </c>
      <c r="AM699" s="81">
        <f>IF(E699=$AM$6,1,"")</f>
        <v/>
      </c>
      <c r="AN699" s="81">
        <f>IF(E699=$AN$6,1,"")</f>
        <v/>
      </c>
      <c r="AO699" s="81">
        <f>IF(E699=$AO$6,1,"")</f>
        <v/>
      </c>
      <c r="AP699" s="81">
        <f>IF(E699=$AP$6,1,"")</f>
        <v/>
      </c>
      <c r="AQ699" s="81">
        <f>IF(E699=$AQ$6,1,"")</f>
        <v/>
      </c>
      <c r="AR699" s="81">
        <f>IF(E699=$AR$6,1,"")</f>
        <v/>
      </c>
      <c r="AS699" s="81" t="n"/>
    </row>
    <row r="700" ht="15.75" customHeight="1" s="80">
      <c r="A700" s="157" t="n"/>
      <c r="B700" s="124" t="n"/>
      <c r="C700" s="125" t="n"/>
      <c r="D700" s="126" t="n"/>
      <c r="E700" s="127" t="n"/>
      <c r="F700" s="128" t="n"/>
      <c r="G700" s="129">
        <f>IF(F700="","",ROUND(F700/60,2))</f>
        <v/>
      </c>
      <c r="H700" s="130" t="n"/>
      <c r="I700" s="131" t="n"/>
      <c r="J700" s="131">
        <f>IF(COUNTIF(B700:E700,"*")=0,"",IF(T700=1,"Invalid Service",IF(AND(V700=1,F700=""),"Add Session Mins",IF(AND(E700&gt;0,H700="",T700=""),"Enter Contract Rate",IF(AND(E700="IEP mtg, prep, rept",F700&gt;0),(G700*H700),IF(AND(E700&gt;0,F700&gt;0,H700&gt;0,I700=""),"Enter Travel",IF(AND(F700&gt;0,I700="Y"),(G700*H700)+$M$10,IF(AND(F700&gt;0,I700="N"),(G700*H700),H700))))))))</f>
        <v/>
      </c>
      <c r="K700" s="132">
        <f>J700</f>
        <v/>
      </c>
      <c r="L700" s="148" t="n"/>
      <c r="M700" s="148" t="n"/>
      <c r="N700" s="148" t="n"/>
      <c r="O700" s="87" t="n"/>
      <c r="P700" s="81" t="n"/>
      <c r="Q700" s="81" t="n"/>
      <c r="R700" s="81" t="n"/>
      <c r="S700" s="81" t="n"/>
      <c r="T700" s="136">
        <f>IF(AND(E700&gt;0,U700=0),1,"")</f>
        <v/>
      </c>
      <c r="U700" s="136">
        <f>SUM(X700:AR700)</f>
        <v/>
      </c>
      <c r="V700" s="136">
        <f>IF(E700=$Q$16,0,SUM(X700:AI700))</f>
        <v/>
      </c>
      <c r="W700" s="136">
        <f>SUM(AK700:AR700)</f>
        <v/>
      </c>
      <c r="X700" s="136">
        <f>IF(E700=$X$6,1,"")</f>
        <v/>
      </c>
      <c r="Y700" s="136">
        <f>IF(E700=$Y$6,1,"")</f>
        <v/>
      </c>
      <c r="Z700" s="136">
        <f>IF(E700=$Z$6,1,"")</f>
        <v/>
      </c>
      <c r="AA700" s="136">
        <f>IF(E700=$AA$6,1,"")</f>
        <v/>
      </c>
      <c r="AB700" s="136">
        <f>IF(E700=$AB$6,1,"")</f>
        <v/>
      </c>
      <c r="AC700" s="136">
        <f>IF(E700=$AC$6,1,"")</f>
        <v/>
      </c>
      <c r="AD700" s="136">
        <f>IF(E700=$AD$6,1,"")</f>
        <v/>
      </c>
      <c r="AE700" s="136">
        <f>IF(E700=$AE$6,1,"")</f>
        <v/>
      </c>
      <c r="AF700" s="136">
        <f>IF(E700=$AF$6,1,"")</f>
        <v/>
      </c>
      <c r="AG700" s="136">
        <f>IF(E700=$AG$6,1,"")</f>
        <v/>
      </c>
      <c r="AH700" s="136">
        <f>IF(E700=$AH$6,1,"")</f>
        <v/>
      </c>
      <c r="AI700" s="136">
        <f>IF(E700=$AI$6,1,"")</f>
        <v/>
      </c>
      <c r="AJ700" s="136">
        <f>IF(E700=$AJ$6,1,"")</f>
        <v/>
      </c>
      <c r="AK700" s="81">
        <f>IF(E700=$AK$6,1,"")</f>
        <v/>
      </c>
      <c r="AL700" s="81">
        <f>IF(E700=$AL$6,1,"")</f>
        <v/>
      </c>
      <c r="AM700" s="81">
        <f>IF(E700=$AM$6,1,"")</f>
        <v/>
      </c>
      <c r="AN700" s="81">
        <f>IF(E700=$AN$6,1,"")</f>
        <v/>
      </c>
      <c r="AO700" s="81">
        <f>IF(E700=$AO$6,1,"")</f>
        <v/>
      </c>
      <c r="AP700" s="81">
        <f>IF(E700=$AP$6,1,"")</f>
        <v/>
      </c>
      <c r="AQ700" s="81">
        <f>IF(E700=$AQ$6,1,"")</f>
        <v/>
      </c>
      <c r="AR700" s="81">
        <f>IF(E700=$AR$6,1,"")</f>
        <v/>
      </c>
      <c r="AS700" s="81" t="n"/>
    </row>
    <row r="701" ht="15.75" customHeight="1" s="80">
      <c r="A701" s="157" t="n"/>
      <c r="B701" s="124" t="n"/>
      <c r="C701" s="125" t="n"/>
      <c r="D701" s="126" t="n"/>
      <c r="E701" s="127" t="n"/>
      <c r="F701" s="128" t="n"/>
      <c r="G701" s="129">
        <f>IF(F701="","",ROUND(F701/60,2))</f>
        <v/>
      </c>
      <c r="H701" s="130" t="n"/>
      <c r="I701" s="131" t="n"/>
      <c r="J701" s="131">
        <f>IF(COUNTIF(B701:E701,"*")=0,"",IF(T701=1,"Invalid Service",IF(AND(V701=1,F701=""),"Add Session Mins",IF(AND(E701&gt;0,H701="",T701=""),"Enter Contract Rate",IF(AND(E701="IEP mtg, prep, rept",F701&gt;0),(G701*H701),IF(AND(E701&gt;0,F701&gt;0,H701&gt;0,I701=""),"Enter Travel",IF(AND(F701&gt;0,I701="Y"),(G701*H701)+$M$10,IF(AND(F701&gt;0,I701="N"),(G701*H701),H701))))))))</f>
        <v/>
      </c>
      <c r="K701" s="132">
        <f>J701</f>
        <v/>
      </c>
      <c r="L701" s="148" t="n"/>
      <c r="M701" s="148" t="n"/>
      <c r="N701" s="148" t="n"/>
      <c r="O701" s="87" t="n"/>
      <c r="P701" s="81" t="n"/>
      <c r="Q701" s="81" t="n"/>
      <c r="R701" s="81" t="n"/>
      <c r="S701" s="81" t="n"/>
      <c r="T701" s="136">
        <f>IF(AND(E701&gt;0,U701=0),1,"")</f>
        <v/>
      </c>
      <c r="U701" s="136">
        <f>SUM(X701:AR701)</f>
        <v/>
      </c>
      <c r="V701" s="136">
        <f>IF(E701=$Q$16,0,SUM(X701:AI701))</f>
        <v/>
      </c>
      <c r="W701" s="136">
        <f>SUM(AK701:AR701)</f>
        <v/>
      </c>
      <c r="X701" s="136">
        <f>IF(E701=$X$6,1,"")</f>
        <v/>
      </c>
      <c r="Y701" s="136">
        <f>IF(E701=$Y$6,1,"")</f>
        <v/>
      </c>
      <c r="Z701" s="136">
        <f>IF(E701=$Z$6,1,"")</f>
        <v/>
      </c>
      <c r="AA701" s="136">
        <f>IF(E701=$AA$6,1,"")</f>
        <v/>
      </c>
      <c r="AB701" s="136">
        <f>IF(E701=$AB$6,1,"")</f>
        <v/>
      </c>
      <c r="AC701" s="136">
        <f>IF(E701=$AC$6,1,"")</f>
        <v/>
      </c>
      <c r="AD701" s="136">
        <f>IF(E701=$AD$6,1,"")</f>
        <v/>
      </c>
      <c r="AE701" s="136">
        <f>IF(E701=$AE$6,1,"")</f>
        <v/>
      </c>
      <c r="AF701" s="136">
        <f>IF(E701=$AF$6,1,"")</f>
        <v/>
      </c>
      <c r="AG701" s="136">
        <f>IF(E701=$AG$6,1,"")</f>
        <v/>
      </c>
      <c r="AH701" s="136">
        <f>IF(E701=$AH$6,1,"")</f>
        <v/>
      </c>
      <c r="AI701" s="136">
        <f>IF(E701=$AI$6,1,"")</f>
        <v/>
      </c>
      <c r="AJ701" s="136">
        <f>IF(E701=$AJ$6,1,"")</f>
        <v/>
      </c>
      <c r="AK701" s="81">
        <f>IF(E701=$AK$6,1,"")</f>
        <v/>
      </c>
      <c r="AL701" s="81">
        <f>IF(E701=$AL$6,1,"")</f>
        <v/>
      </c>
      <c r="AM701" s="81">
        <f>IF(E701=$AM$6,1,"")</f>
        <v/>
      </c>
      <c r="AN701" s="81">
        <f>IF(E701=$AN$6,1,"")</f>
        <v/>
      </c>
      <c r="AO701" s="81">
        <f>IF(E701=$AO$6,1,"")</f>
        <v/>
      </c>
      <c r="AP701" s="81">
        <f>IF(E701=$AP$6,1,"")</f>
        <v/>
      </c>
      <c r="AQ701" s="81">
        <f>IF(E701=$AQ$6,1,"")</f>
        <v/>
      </c>
      <c r="AR701" s="81">
        <f>IF(E701=$AR$6,1,"")</f>
        <v/>
      </c>
      <c r="AS701" s="81" t="n"/>
    </row>
    <row r="702" ht="15.75" customHeight="1" s="80">
      <c r="A702" s="157" t="n"/>
      <c r="B702" s="124" t="n"/>
      <c r="C702" s="125" t="n"/>
      <c r="D702" s="126" t="n"/>
      <c r="E702" s="127" t="n"/>
      <c r="F702" s="128" t="n"/>
      <c r="G702" s="129">
        <f>IF(F702="","",ROUND(F702/60,2))</f>
        <v/>
      </c>
      <c r="H702" s="130" t="n"/>
      <c r="I702" s="131" t="n"/>
      <c r="J702" s="131">
        <f>IF(COUNTIF(B702:E702,"*")=0,"",IF(T702=1,"Invalid Service",IF(AND(V702=1,F702=""),"Add Session Mins",IF(AND(E702&gt;0,H702="",T702=""),"Enter Contract Rate",IF(AND(E702="IEP mtg, prep, rept",F702&gt;0),(G702*H702),IF(AND(E702&gt;0,F702&gt;0,H702&gt;0,I702=""),"Enter Travel",IF(AND(F702&gt;0,I702="Y"),(G702*H702)+$M$10,IF(AND(F702&gt;0,I702="N"),(G702*H702),H702))))))))</f>
        <v/>
      </c>
      <c r="K702" s="132">
        <f>J702</f>
        <v/>
      </c>
      <c r="L702" s="148" t="n"/>
      <c r="M702" s="148" t="n"/>
      <c r="N702" s="148" t="n"/>
      <c r="O702" s="87" t="n"/>
      <c r="P702" s="81" t="n"/>
      <c r="Q702" s="81" t="n"/>
      <c r="R702" s="81" t="n"/>
      <c r="S702" s="81" t="n"/>
      <c r="T702" s="136">
        <f>IF(AND(E702&gt;0,U702=0),1,"")</f>
        <v/>
      </c>
      <c r="U702" s="136">
        <f>SUM(X702:AR702)</f>
        <v/>
      </c>
      <c r="V702" s="136">
        <f>IF(E702=$Q$16,0,SUM(X702:AI702))</f>
        <v/>
      </c>
      <c r="W702" s="136">
        <f>SUM(AK702:AR702)</f>
        <v/>
      </c>
      <c r="X702" s="136">
        <f>IF(E702=$X$6,1,"")</f>
        <v/>
      </c>
      <c r="Y702" s="136">
        <f>IF(E702=$Y$6,1,"")</f>
        <v/>
      </c>
      <c r="Z702" s="136">
        <f>IF(E702=$Z$6,1,"")</f>
        <v/>
      </c>
      <c r="AA702" s="136">
        <f>IF(E702=$AA$6,1,"")</f>
        <v/>
      </c>
      <c r="AB702" s="136">
        <f>IF(E702=$AB$6,1,"")</f>
        <v/>
      </c>
      <c r="AC702" s="136">
        <f>IF(E702=$AC$6,1,"")</f>
        <v/>
      </c>
      <c r="AD702" s="136">
        <f>IF(E702=$AD$6,1,"")</f>
        <v/>
      </c>
      <c r="AE702" s="136">
        <f>IF(E702=$AE$6,1,"")</f>
        <v/>
      </c>
      <c r="AF702" s="136">
        <f>IF(E702=$AF$6,1,"")</f>
        <v/>
      </c>
      <c r="AG702" s="136">
        <f>IF(E702=$AG$6,1,"")</f>
        <v/>
      </c>
      <c r="AH702" s="136">
        <f>IF(E702=$AH$6,1,"")</f>
        <v/>
      </c>
      <c r="AI702" s="136">
        <f>IF(E702=$AI$6,1,"")</f>
        <v/>
      </c>
      <c r="AJ702" s="136">
        <f>IF(E702=$AJ$6,1,"")</f>
        <v/>
      </c>
      <c r="AK702" s="81">
        <f>IF(E702=$AK$6,1,"")</f>
        <v/>
      </c>
      <c r="AL702" s="81">
        <f>IF(E702=$AL$6,1,"")</f>
        <v/>
      </c>
      <c r="AM702" s="81">
        <f>IF(E702=$AM$6,1,"")</f>
        <v/>
      </c>
      <c r="AN702" s="81">
        <f>IF(E702=$AN$6,1,"")</f>
        <v/>
      </c>
      <c r="AO702" s="81">
        <f>IF(E702=$AO$6,1,"")</f>
        <v/>
      </c>
      <c r="AP702" s="81">
        <f>IF(E702=$AP$6,1,"")</f>
        <v/>
      </c>
      <c r="AQ702" s="81">
        <f>IF(E702=$AQ$6,1,"")</f>
        <v/>
      </c>
      <c r="AR702" s="81">
        <f>IF(E702=$AR$6,1,"")</f>
        <v/>
      </c>
      <c r="AS702" s="81" t="n"/>
    </row>
    <row r="703" ht="15.75" customHeight="1" s="80">
      <c r="A703" s="157" t="n"/>
      <c r="B703" s="124" t="n"/>
      <c r="C703" s="125" t="n"/>
      <c r="D703" s="126" t="n"/>
      <c r="E703" s="127" t="n"/>
      <c r="F703" s="128" t="n"/>
      <c r="G703" s="129">
        <f>IF(F703="","",ROUND(F703/60,2))</f>
        <v/>
      </c>
      <c r="H703" s="130" t="n"/>
      <c r="I703" s="131" t="n"/>
      <c r="J703" s="131">
        <f>IF(COUNTIF(B703:E703,"*")=0,"",IF(T703=1,"Invalid Service",IF(AND(V703=1,F703=""),"Add Session Mins",IF(AND(E703&gt;0,H703="",T703=""),"Enter Contract Rate",IF(AND(E703="IEP mtg, prep, rept",F703&gt;0),(G703*H703),IF(AND(E703&gt;0,F703&gt;0,H703&gt;0,I703=""),"Enter Travel",IF(AND(F703&gt;0,I703="Y"),(G703*H703)+$M$10,IF(AND(F703&gt;0,I703="N"),(G703*H703),H703))))))))</f>
        <v/>
      </c>
      <c r="K703" s="132">
        <f>J703</f>
        <v/>
      </c>
      <c r="L703" s="148" t="n"/>
      <c r="M703" s="148" t="n"/>
      <c r="N703" s="148" t="n"/>
      <c r="O703" s="87" t="n"/>
      <c r="P703" s="81" t="n"/>
      <c r="Q703" s="81" t="n"/>
      <c r="R703" s="81" t="n"/>
      <c r="S703" s="81" t="n"/>
      <c r="T703" s="136">
        <f>IF(AND(E703&gt;0,U703=0),1,"")</f>
        <v/>
      </c>
      <c r="U703" s="136">
        <f>SUM(X703:AR703)</f>
        <v/>
      </c>
      <c r="V703" s="136">
        <f>IF(E703=$Q$16,0,SUM(X703:AI703))</f>
        <v/>
      </c>
      <c r="W703" s="136">
        <f>SUM(AK703:AR703)</f>
        <v/>
      </c>
      <c r="X703" s="136">
        <f>IF(E703=$X$6,1,"")</f>
        <v/>
      </c>
      <c r="Y703" s="136">
        <f>IF(E703=$Y$6,1,"")</f>
        <v/>
      </c>
      <c r="Z703" s="136">
        <f>IF(E703=$Z$6,1,"")</f>
        <v/>
      </c>
      <c r="AA703" s="136">
        <f>IF(E703=$AA$6,1,"")</f>
        <v/>
      </c>
      <c r="AB703" s="136">
        <f>IF(E703=$AB$6,1,"")</f>
        <v/>
      </c>
      <c r="AC703" s="136">
        <f>IF(E703=$AC$6,1,"")</f>
        <v/>
      </c>
      <c r="AD703" s="136">
        <f>IF(E703=$AD$6,1,"")</f>
        <v/>
      </c>
      <c r="AE703" s="136">
        <f>IF(E703=$AE$6,1,"")</f>
        <v/>
      </c>
      <c r="AF703" s="136">
        <f>IF(E703=$AF$6,1,"")</f>
        <v/>
      </c>
      <c r="AG703" s="136">
        <f>IF(E703=$AG$6,1,"")</f>
        <v/>
      </c>
      <c r="AH703" s="136">
        <f>IF(E703=$AH$6,1,"")</f>
        <v/>
      </c>
      <c r="AI703" s="136">
        <f>IF(E703=$AI$6,1,"")</f>
        <v/>
      </c>
      <c r="AJ703" s="136">
        <f>IF(E703=$AJ$6,1,"")</f>
        <v/>
      </c>
      <c r="AK703" s="81">
        <f>IF(E703=$AK$6,1,"")</f>
        <v/>
      </c>
      <c r="AL703" s="81">
        <f>IF(E703=$AL$6,1,"")</f>
        <v/>
      </c>
      <c r="AM703" s="81">
        <f>IF(E703=$AM$6,1,"")</f>
        <v/>
      </c>
      <c r="AN703" s="81">
        <f>IF(E703=$AN$6,1,"")</f>
        <v/>
      </c>
      <c r="AO703" s="81">
        <f>IF(E703=$AO$6,1,"")</f>
        <v/>
      </c>
      <c r="AP703" s="81">
        <f>IF(E703=$AP$6,1,"")</f>
        <v/>
      </c>
      <c r="AQ703" s="81">
        <f>IF(E703=$AQ$6,1,"")</f>
        <v/>
      </c>
      <c r="AR703" s="81">
        <f>IF(E703=$AR$6,1,"")</f>
        <v/>
      </c>
      <c r="AS703" s="81" t="n"/>
    </row>
    <row r="704" ht="15.75" customHeight="1" s="80">
      <c r="A704" s="157" t="n"/>
      <c r="B704" s="124" t="n"/>
      <c r="C704" s="125" t="n"/>
      <c r="D704" s="126" t="n"/>
      <c r="E704" s="127" t="n"/>
      <c r="F704" s="128" t="n"/>
      <c r="G704" s="129">
        <f>IF(F704="","",ROUND(F704/60,2))</f>
        <v/>
      </c>
      <c r="H704" s="130" t="n"/>
      <c r="I704" s="131" t="n"/>
      <c r="J704" s="131">
        <f>IF(COUNTIF(B704:E704,"*")=0,"",IF(T704=1,"Invalid Service",IF(AND(V704=1,F704=""),"Add Session Mins",IF(AND(E704&gt;0,H704="",T704=""),"Enter Contract Rate",IF(AND(E704="IEP mtg, prep, rept",F704&gt;0),(G704*H704),IF(AND(E704&gt;0,F704&gt;0,H704&gt;0,I704=""),"Enter Travel",IF(AND(F704&gt;0,I704="Y"),(G704*H704)+$M$10,IF(AND(F704&gt;0,I704="N"),(G704*H704),H704))))))))</f>
        <v/>
      </c>
      <c r="K704" s="132">
        <f>J704</f>
        <v/>
      </c>
      <c r="L704" s="148" t="n"/>
      <c r="M704" s="148" t="n"/>
      <c r="N704" s="148" t="n"/>
      <c r="O704" s="87" t="n"/>
      <c r="P704" s="81" t="n"/>
      <c r="Q704" s="81" t="n"/>
      <c r="R704" s="81" t="n"/>
      <c r="S704" s="81" t="n"/>
      <c r="T704" s="136">
        <f>IF(AND(E704&gt;0,U704=0),1,"")</f>
        <v/>
      </c>
      <c r="U704" s="136">
        <f>SUM(X704:AR704)</f>
        <v/>
      </c>
      <c r="V704" s="136">
        <f>IF(E704=$Q$16,0,SUM(X704:AI704))</f>
        <v/>
      </c>
      <c r="W704" s="136">
        <f>SUM(AK704:AR704)</f>
        <v/>
      </c>
      <c r="X704" s="136">
        <f>IF(E704=$X$6,1,"")</f>
        <v/>
      </c>
      <c r="Y704" s="136">
        <f>IF(E704=$Y$6,1,"")</f>
        <v/>
      </c>
      <c r="Z704" s="136">
        <f>IF(E704=$Z$6,1,"")</f>
        <v/>
      </c>
      <c r="AA704" s="136">
        <f>IF(E704=$AA$6,1,"")</f>
        <v/>
      </c>
      <c r="AB704" s="136">
        <f>IF(E704=$AB$6,1,"")</f>
        <v/>
      </c>
      <c r="AC704" s="136">
        <f>IF(E704=$AC$6,1,"")</f>
        <v/>
      </c>
      <c r="AD704" s="136">
        <f>IF(E704=$AD$6,1,"")</f>
        <v/>
      </c>
      <c r="AE704" s="136">
        <f>IF(E704=$AE$6,1,"")</f>
        <v/>
      </c>
      <c r="AF704" s="136">
        <f>IF(E704=$AF$6,1,"")</f>
        <v/>
      </c>
      <c r="AG704" s="136">
        <f>IF(E704=$AG$6,1,"")</f>
        <v/>
      </c>
      <c r="AH704" s="136">
        <f>IF(E704=$AH$6,1,"")</f>
        <v/>
      </c>
      <c r="AI704" s="136">
        <f>IF(E704=$AI$6,1,"")</f>
        <v/>
      </c>
      <c r="AJ704" s="136">
        <f>IF(E704=$AJ$6,1,"")</f>
        <v/>
      </c>
      <c r="AK704" s="81">
        <f>IF(E704=$AK$6,1,"")</f>
        <v/>
      </c>
      <c r="AL704" s="81">
        <f>IF(E704=$AL$6,1,"")</f>
        <v/>
      </c>
      <c r="AM704" s="81">
        <f>IF(E704=$AM$6,1,"")</f>
        <v/>
      </c>
      <c r="AN704" s="81">
        <f>IF(E704=$AN$6,1,"")</f>
        <v/>
      </c>
      <c r="AO704" s="81">
        <f>IF(E704=$AO$6,1,"")</f>
        <v/>
      </c>
      <c r="AP704" s="81">
        <f>IF(E704=$AP$6,1,"")</f>
        <v/>
      </c>
      <c r="AQ704" s="81">
        <f>IF(E704=$AQ$6,1,"")</f>
        <v/>
      </c>
      <c r="AR704" s="81">
        <f>IF(E704=$AR$6,1,"")</f>
        <v/>
      </c>
      <c r="AS704" s="81" t="n"/>
    </row>
    <row r="705" ht="15.75" customHeight="1" s="80">
      <c r="A705" s="157" t="n"/>
      <c r="B705" s="124" t="n"/>
      <c r="C705" s="125" t="n"/>
      <c r="D705" s="126" t="n"/>
      <c r="E705" s="127" t="n"/>
      <c r="F705" s="128" t="n"/>
      <c r="G705" s="129">
        <f>IF(F705="","",ROUND(F705/60,2))</f>
        <v/>
      </c>
      <c r="H705" s="130" t="n"/>
      <c r="I705" s="131" t="n"/>
      <c r="J705" s="131">
        <f>IF(COUNTIF(B705:E705,"*")=0,"",IF(T705=1,"Invalid Service",IF(AND(V705=1,F705=""),"Add Session Mins",IF(AND(E705&gt;0,H705="",T705=""),"Enter Contract Rate",IF(AND(E705="IEP mtg, prep, rept",F705&gt;0),(G705*H705),IF(AND(E705&gt;0,F705&gt;0,H705&gt;0,I705=""),"Enter Travel",IF(AND(F705&gt;0,I705="Y"),(G705*H705)+$M$10,IF(AND(F705&gt;0,I705="N"),(G705*H705),H705))))))))</f>
        <v/>
      </c>
      <c r="K705" s="132">
        <f>J705</f>
        <v/>
      </c>
      <c r="L705" s="148" t="n"/>
      <c r="M705" s="148" t="n"/>
      <c r="N705" s="148" t="n"/>
      <c r="O705" s="87" t="n"/>
      <c r="P705" s="81" t="n"/>
      <c r="Q705" s="81" t="n"/>
      <c r="R705" s="81" t="n"/>
      <c r="S705" s="81" t="n"/>
      <c r="T705" s="136">
        <f>IF(AND(E705&gt;0,U705=0),1,"")</f>
        <v/>
      </c>
      <c r="U705" s="136">
        <f>SUM(X705:AR705)</f>
        <v/>
      </c>
      <c r="V705" s="136">
        <f>IF(E705=$Q$16,0,SUM(X705:AI705))</f>
        <v/>
      </c>
      <c r="W705" s="136">
        <f>SUM(AK705:AR705)</f>
        <v/>
      </c>
      <c r="X705" s="136">
        <f>IF(E705=$X$6,1,"")</f>
        <v/>
      </c>
      <c r="Y705" s="136">
        <f>IF(E705=$Y$6,1,"")</f>
        <v/>
      </c>
      <c r="Z705" s="136">
        <f>IF(E705=$Z$6,1,"")</f>
        <v/>
      </c>
      <c r="AA705" s="136">
        <f>IF(E705=$AA$6,1,"")</f>
        <v/>
      </c>
      <c r="AB705" s="136">
        <f>IF(E705=$AB$6,1,"")</f>
        <v/>
      </c>
      <c r="AC705" s="136">
        <f>IF(E705=$AC$6,1,"")</f>
        <v/>
      </c>
      <c r="AD705" s="136">
        <f>IF(E705=$AD$6,1,"")</f>
        <v/>
      </c>
      <c r="AE705" s="136">
        <f>IF(E705=$AE$6,1,"")</f>
        <v/>
      </c>
      <c r="AF705" s="136">
        <f>IF(E705=$AF$6,1,"")</f>
        <v/>
      </c>
      <c r="AG705" s="136">
        <f>IF(E705=$AG$6,1,"")</f>
        <v/>
      </c>
      <c r="AH705" s="136">
        <f>IF(E705=$AH$6,1,"")</f>
        <v/>
      </c>
      <c r="AI705" s="136">
        <f>IF(E705=$AI$6,1,"")</f>
        <v/>
      </c>
      <c r="AJ705" s="136">
        <f>IF(E705=$AJ$6,1,"")</f>
        <v/>
      </c>
      <c r="AK705" s="81">
        <f>IF(E705=$AK$6,1,"")</f>
        <v/>
      </c>
      <c r="AL705" s="81">
        <f>IF(E705=$AL$6,1,"")</f>
        <v/>
      </c>
      <c r="AM705" s="81">
        <f>IF(E705=$AM$6,1,"")</f>
        <v/>
      </c>
      <c r="AN705" s="81">
        <f>IF(E705=$AN$6,1,"")</f>
        <v/>
      </c>
      <c r="AO705" s="81">
        <f>IF(E705=$AO$6,1,"")</f>
        <v/>
      </c>
      <c r="AP705" s="81">
        <f>IF(E705=$AP$6,1,"")</f>
        <v/>
      </c>
      <c r="AQ705" s="81">
        <f>IF(E705=$AQ$6,1,"")</f>
        <v/>
      </c>
      <c r="AR705" s="81">
        <f>IF(E705=$AR$6,1,"")</f>
        <v/>
      </c>
      <c r="AS705" s="81" t="n"/>
    </row>
    <row r="706" ht="15.75" customHeight="1" s="80">
      <c r="A706" s="157" t="n"/>
      <c r="B706" s="124" t="n"/>
      <c r="C706" s="125" t="n"/>
      <c r="D706" s="126" t="n"/>
      <c r="E706" s="127" t="n"/>
      <c r="F706" s="128" t="n"/>
      <c r="G706" s="129">
        <f>IF(F706="","",ROUND(F706/60,2))</f>
        <v/>
      </c>
      <c r="H706" s="130" t="n"/>
      <c r="I706" s="131" t="n"/>
      <c r="J706" s="131">
        <f>IF(COUNTIF(B706:E706,"*")=0,"",IF(T706=1,"Invalid Service",IF(AND(V706=1,F706=""),"Add Session Mins",IF(AND(E706&gt;0,H706="",T706=""),"Enter Contract Rate",IF(AND(E706="IEP mtg, prep, rept",F706&gt;0),(G706*H706),IF(AND(E706&gt;0,F706&gt;0,H706&gt;0,I706=""),"Enter Travel",IF(AND(F706&gt;0,I706="Y"),(G706*H706)+$M$10,IF(AND(F706&gt;0,I706="N"),(G706*H706),H706))))))))</f>
        <v/>
      </c>
      <c r="K706" s="132">
        <f>J706</f>
        <v/>
      </c>
      <c r="L706" s="148" t="n"/>
      <c r="M706" s="148" t="n"/>
      <c r="N706" s="148" t="n"/>
      <c r="O706" s="87" t="n"/>
      <c r="P706" s="81" t="n"/>
      <c r="Q706" s="81" t="n"/>
      <c r="R706" s="81" t="n"/>
      <c r="S706" s="81" t="n"/>
      <c r="T706" s="136">
        <f>IF(AND(E706&gt;0,U706=0),1,"")</f>
        <v/>
      </c>
      <c r="U706" s="136">
        <f>SUM(X706:AR706)</f>
        <v/>
      </c>
      <c r="V706" s="136">
        <f>IF(E706=$Q$16,0,SUM(X706:AI706))</f>
        <v/>
      </c>
      <c r="W706" s="136">
        <f>SUM(AK706:AR706)</f>
        <v/>
      </c>
      <c r="X706" s="136">
        <f>IF(E706=$X$6,1,"")</f>
        <v/>
      </c>
      <c r="Y706" s="136">
        <f>IF(E706=$Y$6,1,"")</f>
        <v/>
      </c>
      <c r="Z706" s="136">
        <f>IF(E706=$Z$6,1,"")</f>
        <v/>
      </c>
      <c r="AA706" s="136">
        <f>IF(E706=$AA$6,1,"")</f>
        <v/>
      </c>
      <c r="AB706" s="136">
        <f>IF(E706=$AB$6,1,"")</f>
        <v/>
      </c>
      <c r="AC706" s="136">
        <f>IF(E706=$AC$6,1,"")</f>
        <v/>
      </c>
      <c r="AD706" s="136">
        <f>IF(E706=$AD$6,1,"")</f>
        <v/>
      </c>
      <c r="AE706" s="136">
        <f>IF(E706=$AE$6,1,"")</f>
        <v/>
      </c>
      <c r="AF706" s="136">
        <f>IF(E706=$AF$6,1,"")</f>
        <v/>
      </c>
      <c r="AG706" s="136">
        <f>IF(E706=$AG$6,1,"")</f>
        <v/>
      </c>
      <c r="AH706" s="136">
        <f>IF(E706=$AH$6,1,"")</f>
        <v/>
      </c>
      <c r="AI706" s="136">
        <f>IF(E706=$AI$6,1,"")</f>
        <v/>
      </c>
      <c r="AJ706" s="136">
        <f>IF(E706=$AJ$6,1,"")</f>
        <v/>
      </c>
      <c r="AK706" s="81">
        <f>IF(E706=$AK$6,1,"")</f>
        <v/>
      </c>
      <c r="AL706" s="81">
        <f>IF(E706=$AL$6,1,"")</f>
        <v/>
      </c>
      <c r="AM706" s="81">
        <f>IF(E706=$AM$6,1,"")</f>
        <v/>
      </c>
      <c r="AN706" s="81">
        <f>IF(E706=$AN$6,1,"")</f>
        <v/>
      </c>
      <c r="AO706" s="81">
        <f>IF(E706=$AO$6,1,"")</f>
        <v/>
      </c>
      <c r="AP706" s="81">
        <f>IF(E706=$AP$6,1,"")</f>
        <v/>
      </c>
      <c r="AQ706" s="81">
        <f>IF(E706=$AQ$6,1,"")</f>
        <v/>
      </c>
      <c r="AR706" s="81">
        <f>IF(E706=$AR$6,1,"")</f>
        <v/>
      </c>
      <c r="AS706" s="81" t="n"/>
    </row>
    <row r="707" ht="15.75" customHeight="1" s="80">
      <c r="A707" s="157" t="n"/>
      <c r="B707" s="124" t="n"/>
      <c r="C707" s="125" t="n"/>
      <c r="D707" s="126" t="n"/>
      <c r="E707" s="127" t="n"/>
      <c r="F707" s="128" t="n"/>
      <c r="G707" s="129">
        <f>IF(F707="","",ROUND(F707/60,2))</f>
        <v/>
      </c>
      <c r="H707" s="130" t="n"/>
      <c r="I707" s="131" t="n"/>
      <c r="J707" s="131">
        <f>IF(COUNTIF(B707:E707,"*")=0,"",IF(T707=1,"Invalid Service",IF(AND(V707=1,F707=""),"Add Session Mins",IF(AND(E707&gt;0,H707="",T707=""),"Enter Contract Rate",IF(AND(E707="IEP mtg, prep, rept",F707&gt;0),(G707*H707),IF(AND(E707&gt;0,F707&gt;0,H707&gt;0,I707=""),"Enter Travel",IF(AND(F707&gt;0,I707="Y"),(G707*H707)+$M$10,IF(AND(F707&gt;0,I707="N"),(G707*H707),H707))))))))</f>
        <v/>
      </c>
      <c r="K707" s="132">
        <f>J707</f>
        <v/>
      </c>
      <c r="L707" s="148" t="n"/>
      <c r="M707" s="148" t="n"/>
      <c r="N707" s="148" t="n"/>
      <c r="O707" s="87" t="n"/>
      <c r="P707" s="81" t="n"/>
      <c r="Q707" s="81" t="n"/>
      <c r="R707" s="81" t="n"/>
      <c r="S707" s="81" t="n"/>
      <c r="T707" s="136">
        <f>IF(AND(E707&gt;0,U707=0),1,"")</f>
        <v/>
      </c>
      <c r="U707" s="136">
        <f>SUM(X707:AR707)</f>
        <v/>
      </c>
      <c r="V707" s="136">
        <f>IF(E707=$Q$16,0,SUM(X707:AI707))</f>
        <v/>
      </c>
      <c r="W707" s="136">
        <f>SUM(AK707:AR707)</f>
        <v/>
      </c>
      <c r="X707" s="136">
        <f>IF(E707=$X$6,1,"")</f>
        <v/>
      </c>
      <c r="Y707" s="136">
        <f>IF(E707=$Y$6,1,"")</f>
        <v/>
      </c>
      <c r="Z707" s="136">
        <f>IF(E707=$Z$6,1,"")</f>
        <v/>
      </c>
      <c r="AA707" s="136">
        <f>IF(E707=$AA$6,1,"")</f>
        <v/>
      </c>
      <c r="AB707" s="136">
        <f>IF(E707=$AB$6,1,"")</f>
        <v/>
      </c>
      <c r="AC707" s="136">
        <f>IF(E707=$AC$6,1,"")</f>
        <v/>
      </c>
      <c r="AD707" s="136">
        <f>IF(E707=$AD$6,1,"")</f>
        <v/>
      </c>
      <c r="AE707" s="136">
        <f>IF(E707=$AE$6,1,"")</f>
        <v/>
      </c>
      <c r="AF707" s="136">
        <f>IF(E707=$AF$6,1,"")</f>
        <v/>
      </c>
      <c r="AG707" s="136">
        <f>IF(E707=$AG$6,1,"")</f>
        <v/>
      </c>
      <c r="AH707" s="136">
        <f>IF(E707=$AH$6,1,"")</f>
        <v/>
      </c>
      <c r="AI707" s="136">
        <f>IF(E707=$AI$6,1,"")</f>
        <v/>
      </c>
      <c r="AJ707" s="136">
        <f>IF(E707=$AJ$6,1,"")</f>
        <v/>
      </c>
      <c r="AK707" s="81">
        <f>IF(E707=$AK$6,1,"")</f>
        <v/>
      </c>
      <c r="AL707" s="81">
        <f>IF(E707=$AL$6,1,"")</f>
        <v/>
      </c>
      <c r="AM707" s="81">
        <f>IF(E707=$AM$6,1,"")</f>
        <v/>
      </c>
      <c r="AN707" s="81">
        <f>IF(E707=$AN$6,1,"")</f>
        <v/>
      </c>
      <c r="AO707" s="81">
        <f>IF(E707=$AO$6,1,"")</f>
        <v/>
      </c>
      <c r="AP707" s="81">
        <f>IF(E707=$AP$6,1,"")</f>
        <v/>
      </c>
      <c r="AQ707" s="81">
        <f>IF(E707=$AQ$6,1,"")</f>
        <v/>
      </c>
      <c r="AR707" s="81">
        <f>IF(E707=$AR$6,1,"")</f>
        <v/>
      </c>
      <c r="AS707" s="81" t="n"/>
    </row>
    <row r="708" ht="15.75" customHeight="1" s="80">
      <c r="A708" s="157" t="n"/>
      <c r="B708" s="124" t="n"/>
      <c r="C708" s="125" t="n"/>
      <c r="D708" s="126" t="n"/>
      <c r="E708" s="127" t="n"/>
      <c r="F708" s="128" t="n"/>
      <c r="G708" s="129">
        <f>IF(F708="","",ROUND(F708/60,2))</f>
        <v/>
      </c>
      <c r="H708" s="130" t="n"/>
      <c r="I708" s="131" t="n"/>
      <c r="J708" s="131">
        <f>IF(COUNTIF(B708:E708,"*")=0,"",IF(T708=1,"Invalid Service",IF(AND(V708=1,F708=""),"Add Session Mins",IF(AND(E708&gt;0,H708="",T708=""),"Enter Contract Rate",IF(AND(E708="IEP mtg, prep, rept",F708&gt;0),(G708*H708),IF(AND(E708&gt;0,F708&gt;0,H708&gt;0,I708=""),"Enter Travel",IF(AND(F708&gt;0,I708="Y"),(G708*H708)+$M$10,IF(AND(F708&gt;0,I708="N"),(G708*H708),H708))))))))</f>
        <v/>
      </c>
      <c r="K708" s="132">
        <f>J708</f>
        <v/>
      </c>
      <c r="L708" s="148" t="n"/>
      <c r="M708" s="148" t="n"/>
      <c r="N708" s="148" t="n"/>
      <c r="O708" s="87" t="n"/>
      <c r="P708" s="81" t="n"/>
      <c r="Q708" s="81" t="n"/>
      <c r="R708" s="81" t="n"/>
      <c r="S708" s="81" t="n"/>
      <c r="T708" s="136">
        <f>IF(AND(E708&gt;0,U708=0),1,"")</f>
        <v/>
      </c>
      <c r="U708" s="136">
        <f>SUM(X708:AR708)</f>
        <v/>
      </c>
      <c r="V708" s="136">
        <f>IF(E708=$Q$16,0,SUM(X708:AI708))</f>
        <v/>
      </c>
      <c r="W708" s="136">
        <f>SUM(AK708:AR708)</f>
        <v/>
      </c>
      <c r="X708" s="136">
        <f>IF(E708=$X$6,1,"")</f>
        <v/>
      </c>
      <c r="Y708" s="136">
        <f>IF(E708=$Y$6,1,"")</f>
        <v/>
      </c>
      <c r="Z708" s="136">
        <f>IF(E708=$Z$6,1,"")</f>
        <v/>
      </c>
      <c r="AA708" s="136">
        <f>IF(E708=$AA$6,1,"")</f>
        <v/>
      </c>
      <c r="AB708" s="136">
        <f>IF(E708=$AB$6,1,"")</f>
        <v/>
      </c>
      <c r="AC708" s="136">
        <f>IF(E708=$AC$6,1,"")</f>
        <v/>
      </c>
      <c r="AD708" s="136">
        <f>IF(E708=$AD$6,1,"")</f>
        <v/>
      </c>
      <c r="AE708" s="136">
        <f>IF(E708=$AE$6,1,"")</f>
        <v/>
      </c>
      <c r="AF708" s="136">
        <f>IF(E708=$AF$6,1,"")</f>
        <v/>
      </c>
      <c r="AG708" s="136">
        <f>IF(E708=$AG$6,1,"")</f>
        <v/>
      </c>
      <c r="AH708" s="136">
        <f>IF(E708=$AH$6,1,"")</f>
        <v/>
      </c>
      <c r="AI708" s="136">
        <f>IF(E708=$AI$6,1,"")</f>
        <v/>
      </c>
      <c r="AJ708" s="136">
        <f>IF(E708=$AJ$6,1,"")</f>
        <v/>
      </c>
      <c r="AK708" s="81">
        <f>IF(E708=$AK$6,1,"")</f>
        <v/>
      </c>
      <c r="AL708" s="81">
        <f>IF(E708=$AL$6,1,"")</f>
        <v/>
      </c>
      <c r="AM708" s="81">
        <f>IF(E708=$AM$6,1,"")</f>
        <v/>
      </c>
      <c r="AN708" s="81">
        <f>IF(E708=$AN$6,1,"")</f>
        <v/>
      </c>
      <c r="AO708" s="81">
        <f>IF(E708=$AO$6,1,"")</f>
        <v/>
      </c>
      <c r="AP708" s="81">
        <f>IF(E708=$AP$6,1,"")</f>
        <v/>
      </c>
      <c r="AQ708" s="81">
        <f>IF(E708=$AQ$6,1,"")</f>
        <v/>
      </c>
      <c r="AR708" s="81">
        <f>IF(E708=$AR$6,1,"")</f>
        <v/>
      </c>
      <c r="AS708" s="81" t="n"/>
    </row>
    <row r="709" ht="15.75" customHeight="1" s="80">
      <c r="A709" s="157" t="n"/>
      <c r="B709" s="124" t="n"/>
      <c r="C709" s="125" t="n"/>
      <c r="D709" s="126" t="n"/>
      <c r="E709" s="127" t="n"/>
      <c r="F709" s="128" t="n"/>
      <c r="G709" s="129">
        <f>IF(F709="","",ROUND(F709/60,2))</f>
        <v/>
      </c>
      <c r="H709" s="130" t="n"/>
      <c r="I709" s="131" t="n"/>
      <c r="J709" s="131">
        <f>IF(COUNTIF(B709:E709,"*")=0,"",IF(T709=1,"Invalid Service",IF(AND(V709=1,F709=""),"Add Session Mins",IF(AND(E709&gt;0,H709="",T709=""),"Enter Contract Rate",IF(AND(E709="IEP mtg, prep, rept",F709&gt;0),(G709*H709),IF(AND(E709&gt;0,F709&gt;0,H709&gt;0,I709=""),"Enter Travel",IF(AND(F709&gt;0,I709="Y"),(G709*H709)+$M$10,IF(AND(F709&gt;0,I709="N"),(G709*H709),H709))))))))</f>
        <v/>
      </c>
      <c r="K709" s="132">
        <f>J709</f>
        <v/>
      </c>
      <c r="L709" s="148" t="n"/>
      <c r="M709" s="148" t="n"/>
      <c r="N709" s="148" t="n"/>
      <c r="O709" s="87" t="n"/>
      <c r="P709" s="81" t="n"/>
      <c r="Q709" s="81" t="n"/>
      <c r="R709" s="81" t="n"/>
      <c r="S709" s="81" t="n"/>
      <c r="T709" s="136">
        <f>IF(AND(E709&gt;0,U709=0),1,"")</f>
        <v/>
      </c>
      <c r="U709" s="136">
        <f>SUM(X709:AR709)</f>
        <v/>
      </c>
      <c r="V709" s="136">
        <f>IF(E709=$Q$16,0,SUM(X709:AI709))</f>
        <v/>
      </c>
      <c r="W709" s="136">
        <f>SUM(AK709:AR709)</f>
        <v/>
      </c>
      <c r="X709" s="136">
        <f>IF(E709=$X$6,1,"")</f>
        <v/>
      </c>
      <c r="Y709" s="136">
        <f>IF(E709=$Y$6,1,"")</f>
        <v/>
      </c>
      <c r="Z709" s="136">
        <f>IF(E709=$Z$6,1,"")</f>
        <v/>
      </c>
      <c r="AA709" s="136">
        <f>IF(E709=$AA$6,1,"")</f>
        <v/>
      </c>
      <c r="AB709" s="136">
        <f>IF(E709=$AB$6,1,"")</f>
        <v/>
      </c>
      <c r="AC709" s="136">
        <f>IF(E709=$AC$6,1,"")</f>
        <v/>
      </c>
      <c r="AD709" s="136">
        <f>IF(E709=$AD$6,1,"")</f>
        <v/>
      </c>
      <c r="AE709" s="136">
        <f>IF(E709=$AE$6,1,"")</f>
        <v/>
      </c>
      <c r="AF709" s="136">
        <f>IF(E709=$AF$6,1,"")</f>
        <v/>
      </c>
      <c r="AG709" s="136">
        <f>IF(E709=$AG$6,1,"")</f>
        <v/>
      </c>
      <c r="AH709" s="136">
        <f>IF(E709=$AH$6,1,"")</f>
        <v/>
      </c>
      <c r="AI709" s="136">
        <f>IF(E709=$AI$6,1,"")</f>
        <v/>
      </c>
      <c r="AJ709" s="136">
        <f>IF(E709=$AJ$6,1,"")</f>
        <v/>
      </c>
      <c r="AK709" s="81">
        <f>IF(E709=$AK$6,1,"")</f>
        <v/>
      </c>
      <c r="AL709" s="81">
        <f>IF(E709=$AL$6,1,"")</f>
        <v/>
      </c>
      <c r="AM709" s="81">
        <f>IF(E709=$AM$6,1,"")</f>
        <v/>
      </c>
      <c r="AN709" s="81">
        <f>IF(E709=$AN$6,1,"")</f>
        <v/>
      </c>
      <c r="AO709" s="81">
        <f>IF(E709=$AO$6,1,"")</f>
        <v/>
      </c>
      <c r="AP709" s="81">
        <f>IF(E709=$AP$6,1,"")</f>
        <v/>
      </c>
      <c r="AQ709" s="81">
        <f>IF(E709=$AQ$6,1,"")</f>
        <v/>
      </c>
      <c r="AR709" s="81">
        <f>IF(E709=$AR$6,1,"")</f>
        <v/>
      </c>
      <c r="AS709" s="81" t="n"/>
    </row>
    <row r="710" ht="15.75" customHeight="1" s="80">
      <c r="A710" s="157" t="n"/>
      <c r="B710" s="124" t="n"/>
      <c r="C710" s="125" t="n"/>
      <c r="D710" s="126" t="n"/>
      <c r="E710" s="127" t="n"/>
      <c r="F710" s="128" t="n"/>
      <c r="G710" s="129">
        <f>IF(F710="","",ROUND(F710/60,2))</f>
        <v/>
      </c>
      <c r="H710" s="130" t="n"/>
      <c r="I710" s="131" t="n"/>
      <c r="J710" s="131">
        <f>IF(COUNTIF(B710:E710,"*")=0,"",IF(T710=1,"Invalid Service",IF(AND(V710=1,F710=""),"Add Session Mins",IF(AND(E710&gt;0,H710="",T710=""),"Enter Contract Rate",IF(AND(E710="IEP mtg, prep, rept",F710&gt;0),(G710*H710),IF(AND(E710&gt;0,F710&gt;0,H710&gt;0,I710=""),"Enter Travel",IF(AND(F710&gt;0,I710="Y"),(G710*H710)+$M$10,IF(AND(F710&gt;0,I710="N"),(G710*H710),H710))))))))</f>
        <v/>
      </c>
      <c r="K710" s="132">
        <f>J710</f>
        <v/>
      </c>
      <c r="L710" s="148" t="n"/>
      <c r="M710" s="148" t="n"/>
      <c r="N710" s="148" t="n"/>
      <c r="O710" s="87" t="n"/>
      <c r="P710" s="81" t="n"/>
      <c r="Q710" s="81" t="n"/>
      <c r="R710" s="81" t="n"/>
      <c r="S710" s="81" t="n"/>
      <c r="T710" s="136">
        <f>IF(AND(E710&gt;0,U710=0),1,"")</f>
        <v/>
      </c>
      <c r="U710" s="136">
        <f>SUM(X710:AR710)</f>
        <v/>
      </c>
      <c r="V710" s="136">
        <f>IF(E710=$Q$16,0,SUM(X710:AI710))</f>
        <v/>
      </c>
      <c r="W710" s="136">
        <f>SUM(AK710:AR710)</f>
        <v/>
      </c>
      <c r="X710" s="136">
        <f>IF(E710=$X$6,1,"")</f>
        <v/>
      </c>
      <c r="Y710" s="136">
        <f>IF(E710=$Y$6,1,"")</f>
        <v/>
      </c>
      <c r="Z710" s="136">
        <f>IF(E710=$Z$6,1,"")</f>
        <v/>
      </c>
      <c r="AA710" s="136">
        <f>IF(E710=$AA$6,1,"")</f>
        <v/>
      </c>
      <c r="AB710" s="136">
        <f>IF(E710=$AB$6,1,"")</f>
        <v/>
      </c>
      <c r="AC710" s="136">
        <f>IF(E710=$AC$6,1,"")</f>
        <v/>
      </c>
      <c r="AD710" s="136">
        <f>IF(E710=$AD$6,1,"")</f>
        <v/>
      </c>
      <c r="AE710" s="136">
        <f>IF(E710=$AE$6,1,"")</f>
        <v/>
      </c>
      <c r="AF710" s="136">
        <f>IF(E710=$AF$6,1,"")</f>
        <v/>
      </c>
      <c r="AG710" s="136">
        <f>IF(E710=$AG$6,1,"")</f>
        <v/>
      </c>
      <c r="AH710" s="136">
        <f>IF(E710=$AH$6,1,"")</f>
        <v/>
      </c>
      <c r="AI710" s="136">
        <f>IF(E710=$AI$6,1,"")</f>
        <v/>
      </c>
      <c r="AJ710" s="136">
        <f>IF(E710=$AJ$6,1,"")</f>
        <v/>
      </c>
      <c r="AK710" s="81">
        <f>IF(E710=$AK$6,1,"")</f>
        <v/>
      </c>
      <c r="AL710" s="81">
        <f>IF(E710=$AL$6,1,"")</f>
        <v/>
      </c>
      <c r="AM710" s="81">
        <f>IF(E710=$AM$6,1,"")</f>
        <v/>
      </c>
      <c r="AN710" s="81">
        <f>IF(E710=$AN$6,1,"")</f>
        <v/>
      </c>
      <c r="AO710" s="81">
        <f>IF(E710=$AO$6,1,"")</f>
        <v/>
      </c>
      <c r="AP710" s="81">
        <f>IF(E710=$AP$6,1,"")</f>
        <v/>
      </c>
      <c r="AQ710" s="81">
        <f>IF(E710=$AQ$6,1,"")</f>
        <v/>
      </c>
      <c r="AR710" s="81">
        <f>IF(E710=$AR$6,1,"")</f>
        <v/>
      </c>
      <c r="AS710" s="81" t="n"/>
    </row>
    <row r="711" ht="15.75" customHeight="1" s="80">
      <c r="A711" s="157" t="n"/>
      <c r="B711" s="124" t="n"/>
      <c r="C711" s="125" t="n"/>
      <c r="D711" s="126" t="n"/>
      <c r="E711" s="127" t="n"/>
      <c r="F711" s="128" t="n"/>
      <c r="G711" s="129">
        <f>IF(F711="","",ROUND(F711/60,2))</f>
        <v/>
      </c>
      <c r="H711" s="130" t="n"/>
      <c r="I711" s="131" t="n"/>
      <c r="J711" s="131">
        <f>IF(COUNTIF(B711:E711,"*")=0,"",IF(T711=1,"Invalid Service",IF(AND(V711=1,F711=""),"Add Session Mins",IF(AND(E711&gt;0,H711="",T711=""),"Enter Contract Rate",IF(AND(E711="IEP mtg, prep, rept",F711&gt;0),(G711*H711),IF(AND(E711&gt;0,F711&gt;0,H711&gt;0,I711=""),"Enter Travel",IF(AND(F711&gt;0,I711="Y"),(G711*H711)+$M$10,IF(AND(F711&gt;0,I711="N"),(G711*H711),H711))))))))</f>
        <v/>
      </c>
      <c r="K711" s="132">
        <f>J711</f>
        <v/>
      </c>
      <c r="L711" s="148" t="n"/>
      <c r="M711" s="148" t="n"/>
      <c r="N711" s="148" t="n"/>
      <c r="O711" s="87" t="n"/>
      <c r="P711" s="81" t="n"/>
      <c r="Q711" s="81" t="n"/>
      <c r="R711" s="81" t="n"/>
      <c r="S711" s="81" t="n"/>
      <c r="T711" s="136">
        <f>IF(AND(E711&gt;0,U711=0),1,"")</f>
        <v/>
      </c>
      <c r="U711" s="136">
        <f>SUM(X711:AR711)</f>
        <v/>
      </c>
      <c r="V711" s="136">
        <f>IF(E711=$Q$16,0,SUM(X711:AI711))</f>
        <v/>
      </c>
      <c r="W711" s="136">
        <f>SUM(AK711:AR711)</f>
        <v/>
      </c>
      <c r="X711" s="136">
        <f>IF(E711=$X$6,1,"")</f>
        <v/>
      </c>
      <c r="Y711" s="136">
        <f>IF(E711=$Y$6,1,"")</f>
        <v/>
      </c>
      <c r="Z711" s="136">
        <f>IF(E711=$Z$6,1,"")</f>
        <v/>
      </c>
      <c r="AA711" s="136">
        <f>IF(E711=$AA$6,1,"")</f>
        <v/>
      </c>
      <c r="AB711" s="136">
        <f>IF(E711=$AB$6,1,"")</f>
        <v/>
      </c>
      <c r="AC711" s="136">
        <f>IF(E711=$AC$6,1,"")</f>
        <v/>
      </c>
      <c r="AD711" s="136">
        <f>IF(E711=$AD$6,1,"")</f>
        <v/>
      </c>
      <c r="AE711" s="136">
        <f>IF(E711=$AE$6,1,"")</f>
        <v/>
      </c>
      <c r="AF711" s="136">
        <f>IF(E711=$AF$6,1,"")</f>
        <v/>
      </c>
      <c r="AG711" s="136">
        <f>IF(E711=$AG$6,1,"")</f>
        <v/>
      </c>
      <c r="AH711" s="136">
        <f>IF(E711=$AH$6,1,"")</f>
        <v/>
      </c>
      <c r="AI711" s="136">
        <f>IF(E711=$AI$6,1,"")</f>
        <v/>
      </c>
      <c r="AJ711" s="136">
        <f>IF(E711=$AJ$6,1,"")</f>
        <v/>
      </c>
      <c r="AK711" s="81">
        <f>IF(E711=$AK$6,1,"")</f>
        <v/>
      </c>
      <c r="AL711" s="81">
        <f>IF(E711=$AL$6,1,"")</f>
        <v/>
      </c>
      <c r="AM711" s="81">
        <f>IF(E711=$AM$6,1,"")</f>
        <v/>
      </c>
      <c r="AN711" s="81">
        <f>IF(E711=$AN$6,1,"")</f>
        <v/>
      </c>
      <c r="AO711" s="81">
        <f>IF(E711=$AO$6,1,"")</f>
        <v/>
      </c>
      <c r="AP711" s="81">
        <f>IF(E711=$AP$6,1,"")</f>
        <v/>
      </c>
      <c r="AQ711" s="81">
        <f>IF(E711=$AQ$6,1,"")</f>
        <v/>
      </c>
      <c r="AR711" s="81">
        <f>IF(E711=$AR$6,1,"")</f>
        <v/>
      </c>
      <c r="AS711" s="81" t="n"/>
    </row>
    <row r="712" ht="15.75" customHeight="1" s="80">
      <c r="A712" s="157" t="n"/>
      <c r="B712" s="124" t="n"/>
      <c r="C712" s="125" t="n"/>
      <c r="D712" s="126" t="n"/>
      <c r="E712" s="127" t="n"/>
      <c r="F712" s="128" t="n"/>
      <c r="G712" s="129">
        <f>IF(F712="","",ROUND(F712/60,2))</f>
        <v/>
      </c>
      <c r="H712" s="130" t="n"/>
      <c r="I712" s="131" t="n"/>
      <c r="J712" s="131">
        <f>IF(COUNTIF(B712:E712,"*")=0,"",IF(T712=1,"Invalid Service",IF(AND(V712=1,F712=""),"Add Session Mins",IF(AND(E712&gt;0,H712="",T712=""),"Enter Contract Rate",IF(AND(E712="IEP mtg, prep, rept",F712&gt;0),(G712*H712),IF(AND(E712&gt;0,F712&gt;0,H712&gt;0,I712=""),"Enter Travel",IF(AND(F712&gt;0,I712="Y"),(G712*H712)+$M$10,IF(AND(F712&gt;0,I712="N"),(G712*H712),H712))))))))</f>
        <v/>
      </c>
      <c r="K712" s="132">
        <f>J712</f>
        <v/>
      </c>
      <c r="L712" s="148" t="n"/>
      <c r="M712" s="148" t="n"/>
      <c r="N712" s="148" t="n"/>
      <c r="O712" s="87" t="n"/>
      <c r="P712" s="81" t="n"/>
      <c r="Q712" s="81" t="n"/>
      <c r="R712" s="81" t="n"/>
      <c r="S712" s="81" t="n"/>
      <c r="T712" s="136">
        <f>IF(AND(E712&gt;0,U712=0),1,"")</f>
        <v/>
      </c>
      <c r="U712" s="136">
        <f>SUM(X712:AR712)</f>
        <v/>
      </c>
      <c r="V712" s="136">
        <f>IF(E712=$Q$16,0,SUM(X712:AI712))</f>
        <v/>
      </c>
      <c r="W712" s="136">
        <f>SUM(AK712:AR712)</f>
        <v/>
      </c>
      <c r="X712" s="136">
        <f>IF(E712=$X$6,1,"")</f>
        <v/>
      </c>
      <c r="Y712" s="136">
        <f>IF(E712=$Y$6,1,"")</f>
        <v/>
      </c>
      <c r="Z712" s="136">
        <f>IF(E712=$Z$6,1,"")</f>
        <v/>
      </c>
      <c r="AA712" s="136">
        <f>IF(E712=$AA$6,1,"")</f>
        <v/>
      </c>
      <c r="AB712" s="136">
        <f>IF(E712=$AB$6,1,"")</f>
        <v/>
      </c>
      <c r="AC712" s="136">
        <f>IF(E712=$AC$6,1,"")</f>
        <v/>
      </c>
      <c r="AD712" s="136">
        <f>IF(E712=$AD$6,1,"")</f>
        <v/>
      </c>
      <c r="AE712" s="136">
        <f>IF(E712=$AE$6,1,"")</f>
        <v/>
      </c>
      <c r="AF712" s="136">
        <f>IF(E712=$AF$6,1,"")</f>
        <v/>
      </c>
      <c r="AG712" s="136">
        <f>IF(E712=$AG$6,1,"")</f>
        <v/>
      </c>
      <c r="AH712" s="136">
        <f>IF(E712=$AH$6,1,"")</f>
        <v/>
      </c>
      <c r="AI712" s="136">
        <f>IF(E712=$AI$6,1,"")</f>
        <v/>
      </c>
      <c r="AJ712" s="136">
        <f>IF(E712=$AJ$6,1,"")</f>
        <v/>
      </c>
      <c r="AK712" s="81">
        <f>IF(E712=$AK$6,1,"")</f>
        <v/>
      </c>
      <c r="AL712" s="81">
        <f>IF(E712=$AL$6,1,"")</f>
        <v/>
      </c>
      <c r="AM712" s="81">
        <f>IF(E712=$AM$6,1,"")</f>
        <v/>
      </c>
      <c r="AN712" s="81">
        <f>IF(E712=$AN$6,1,"")</f>
        <v/>
      </c>
      <c r="AO712" s="81">
        <f>IF(E712=$AO$6,1,"")</f>
        <v/>
      </c>
      <c r="AP712" s="81">
        <f>IF(E712=$AP$6,1,"")</f>
        <v/>
      </c>
      <c r="AQ712" s="81">
        <f>IF(E712=$AQ$6,1,"")</f>
        <v/>
      </c>
      <c r="AR712" s="81">
        <f>IF(E712=$AR$6,1,"")</f>
        <v/>
      </c>
      <c r="AS712" s="81" t="n"/>
    </row>
    <row r="713" ht="15.75" customHeight="1" s="80">
      <c r="A713" s="157" t="n"/>
      <c r="B713" s="124" t="n"/>
      <c r="C713" s="125" t="n"/>
      <c r="D713" s="126" t="n"/>
      <c r="E713" s="127" t="n"/>
      <c r="F713" s="128" t="n"/>
      <c r="G713" s="129">
        <f>IF(F713="","",ROUND(F713/60,2))</f>
        <v/>
      </c>
      <c r="H713" s="130" t="n"/>
      <c r="I713" s="131" t="n"/>
      <c r="J713" s="131">
        <f>IF(COUNTIF(B713:E713,"*")=0,"",IF(T713=1,"Invalid Service",IF(AND(V713=1,F713=""),"Add Session Mins",IF(AND(E713&gt;0,H713="",T713=""),"Enter Contract Rate",IF(AND(E713="IEP mtg, prep, rept",F713&gt;0),(G713*H713),IF(AND(E713&gt;0,F713&gt;0,H713&gt;0,I713=""),"Enter Travel",IF(AND(F713&gt;0,I713="Y"),(G713*H713)+$M$10,IF(AND(F713&gt;0,I713="N"),(G713*H713),H713))))))))</f>
        <v/>
      </c>
      <c r="K713" s="132">
        <f>J713</f>
        <v/>
      </c>
      <c r="L713" s="148" t="n"/>
      <c r="M713" s="148" t="n"/>
      <c r="N713" s="148" t="n"/>
      <c r="O713" s="87" t="n"/>
      <c r="P713" s="81" t="n"/>
      <c r="Q713" s="81" t="n"/>
      <c r="R713" s="81" t="n"/>
      <c r="S713" s="81" t="n"/>
      <c r="T713" s="136">
        <f>IF(AND(E713&gt;0,U713=0),1,"")</f>
        <v/>
      </c>
      <c r="U713" s="136">
        <f>SUM(X713:AR713)</f>
        <v/>
      </c>
      <c r="V713" s="136">
        <f>IF(E713=$Q$16,0,SUM(X713:AI713))</f>
        <v/>
      </c>
      <c r="W713" s="136">
        <f>SUM(AK713:AR713)</f>
        <v/>
      </c>
      <c r="X713" s="136">
        <f>IF(E713=$X$6,1,"")</f>
        <v/>
      </c>
      <c r="Y713" s="136">
        <f>IF(E713=$Y$6,1,"")</f>
        <v/>
      </c>
      <c r="Z713" s="136">
        <f>IF(E713=$Z$6,1,"")</f>
        <v/>
      </c>
      <c r="AA713" s="136">
        <f>IF(E713=$AA$6,1,"")</f>
        <v/>
      </c>
      <c r="AB713" s="136">
        <f>IF(E713=$AB$6,1,"")</f>
        <v/>
      </c>
      <c r="AC713" s="136">
        <f>IF(E713=$AC$6,1,"")</f>
        <v/>
      </c>
      <c r="AD713" s="136">
        <f>IF(E713=$AD$6,1,"")</f>
        <v/>
      </c>
      <c r="AE713" s="136">
        <f>IF(E713=$AE$6,1,"")</f>
        <v/>
      </c>
      <c r="AF713" s="136">
        <f>IF(E713=$AF$6,1,"")</f>
        <v/>
      </c>
      <c r="AG713" s="136">
        <f>IF(E713=$AG$6,1,"")</f>
        <v/>
      </c>
      <c r="AH713" s="136">
        <f>IF(E713=$AH$6,1,"")</f>
        <v/>
      </c>
      <c r="AI713" s="136">
        <f>IF(E713=$AI$6,1,"")</f>
        <v/>
      </c>
      <c r="AJ713" s="136">
        <f>IF(E713=$AJ$6,1,"")</f>
        <v/>
      </c>
      <c r="AK713" s="81">
        <f>IF(E713=$AK$6,1,"")</f>
        <v/>
      </c>
      <c r="AL713" s="81">
        <f>IF(E713=$AL$6,1,"")</f>
        <v/>
      </c>
      <c r="AM713" s="81">
        <f>IF(E713=$AM$6,1,"")</f>
        <v/>
      </c>
      <c r="AN713" s="81">
        <f>IF(E713=$AN$6,1,"")</f>
        <v/>
      </c>
      <c r="AO713" s="81">
        <f>IF(E713=$AO$6,1,"")</f>
        <v/>
      </c>
      <c r="AP713" s="81">
        <f>IF(E713=$AP$6,1,"")</f>
        <v/>
      </c>
      <c r="AQ713" s="81">
        <f>IF(E713=$AQ$6,1,"")</f>
        <v/>
      </c>
      <c r="AR713" s="81">
        <f>IF(E713=$AR$6,1,"")</f>
        <v/>
      </c>
      <c r="AS713" s="81" t="n"/>
    </row>
    <row r="714" ht="15.75" customHeight="1" s="80">
      <c r="A714" s="157" t="n"/>
      <c r="B714" s="124" t="n"/>
      <c r="C714" s="125" t="n"/>
      <c r="D714" s="126" t="n"/>
      <c r="E714" s="127" t="n"/>
      <c r="F714" s="128" t="n"/>
      <c r="G714" s="129">
        <f>IF(F714="","",ROUND(F714/60,2))</f>
        <v/>
      </c>
      <c r="H714" s="130" t="n"/>
      <c r="I714" s="131" t="n"/>
      <c r="J714" s="131">
        <f>IF(COUNTIF(B714:E714,"*")=0,"",IF(T714=1,"Invalid Service",IF(AND(V714=1,F714=""),"Add Session Mins",IF(AND(E714&gt;0,H714="",T714=""),"Enter Contract Rate",IF(AND(E714="IEP mtg, prep, rept",F714&gt;0),(G714*H714),IF(AND(E714&gt;0,F714&gt;0,H714&gt;0,I714=""),"Enter Travel",IF(AND(F714&gt;0,I714="Y"),(G714*H714)+$M$10,IF(AND(F714&gt;0,I714="N"),(G714*H714),H714))))))))</f>
        <v/>
      </c>
      <c r="K714" s="132">
        <f>J714</f>
        <v/>
      </c>
      <c r="L714" s="148" t="n"/>
      <c r="M714" s="148" t="n"/>
      <c r="N714" s="148" t="n"/>
      <c r="O714" s="87" t="n"/>
      <c r="P714" s="81" t="n"/>
      <c r="Q714" s="81" t="n"/>
      <c r="R714" s="81" t="n"/>
      <c r="S714" s="81" t="n"/>
      <c r="T714" s="136">
        <f>IF(AND(E714&gt;0,U714=0),1,"")</f>
        <v/>
      </c>
      <c r="U714" s="136">
        <f>SUM(X714:AR714)</f>
        <v/>
      </c>
      <c r="V714" s="136">
        <f>IF(E714=$Q$16,0,SUM(X714:AI714))</f>
        <v/>
      </c>
      <c r="W714" s="136">
        <f>SUM(AK714:AR714)</f>
        <v/>
      </c>
      <c r="X714" s="136">
        <f>IF(E714=$X$6,1,"")</f>
        <v/>
      </c>
      <c r="Y714" s="136">
        <f>IF(E714=$Y$6,1,"")</f>
        <v/>
      </c>
      <c r="Z714" s="136">
        <f>IF(E714=$Z$6,1,"")</f>
        <v/>
      </c>
      <c r="AA714" s="136">
        <f>IF(E714=$AA$6,1,"")</f>
        <v/>
      </c>
      <c r="AB714" s="136">
        <f>IF(E714=$AB$6,1,"")</f>
        <v/>
      </c>
      <c r="AC714" s="136">
        <f>IF(E714=$AC$6,1,"")</f>
        <v/>
      </c>
      <c r="AD714" s="136">
        <f>IF(E714=$AD$6,1,"")</f>
        <v/>
      </c>
      <c r="AE714" s="136">
        <f>IF(E714=$AE$6,1,"")</f>
        <v/>
      </c>
      <c r="AF714" s="136">
        <f>IF(E714=$AF$6,1,"")</f>
        <v/>
      </c>
      <c r="AG714" s="136">
        <f>IF(E714=$AG$6,1,"")</f>
        <v/>
      </c>
      <c r="AH714" s="136">
        <f>IF(E714=$AH$6,1,"")</f>
        <v/>
      </c>
      <c r="AI714" s="136">
        <f>IF(E714=$AI$6,1,"")</f>
        <v/>
      </c>
      <c r="AJ714" s="136">
        <f>IF(E714=$AJ$6,1,"")</f>
        <v/>
      </c>
      <c r="AK714" s="81">
        <f>IF(E714=$AK$6,1,"")</f>
        <v/>
      </c>
      <c r="AL714" s="81">
        <f>IF(E714=$AL$6,1,"")</f>
        <v/>
      </c>
      <c r="AM714" s="81">
        <f>IF(E714=$AM$6,1,"")</f>
        <v/>
      </c>
      <c r="AN714" s="81">
        <f>IF(E714=$AN$6,1,"")</f>
        <v/>
      </c>
      <c r="AO714" s="81">
        <f>IF(E714=$AO$6,1,"")</f>
        <v/>
      </c>
      <c r="AP714" s="81">
        <f>IF(E714=$AP$6,1,"")</f>
        <v/>
      </c>
      <c r="AQ714" s="81">
        <f>IF(E714=$AQ$6,1,"")</f>
        <v/>
      </c>
      <c r="AR714" s="81">
        <f>IF(E714=$AR$6,1,"")</f>
        <v/>
      </c>
      <c r="AS714" s="81" t="n"/>
    </row>
    <row r="715" ht="15.75" customHeight="1" s="80">
      <c r="A715" s="157" t="n"/>
      <c r="B715" s="124" t="n"/>
      <c r="C715" s="125" t="n"/>
      <c r="D715" s="126" t="n"/>
      <c r="E715" s="127" t="n"/>
      <c r="F715" s="128" t="n"/>
      <c r="G715" s="129">
        <f>IF(F715="","",ROUND(F715/60,2))</f>
        <v/>
      </c>
      <c r="H715" s="130" t="n"/>
      <c r="I715" s="131" t="n"/>
      <c r="J715" s="131">
        <f>IF(COUNTIF(B715:E715,"*")=0,"",IF(T715=1,"Invalid Service",IF(AND(V715=1,F715=""),"Add Session Mins",IF(AND(E715&gt;0,H715="",T715=""),"Enter Contract Rate",IF(AND(E715="IEP mtg, prep, rept",F715&gt;0),(G715*H715),IF(AND(E715&gt;0,F715&gt;0,H715&gt;0,I715=""),"Enter Travel",IF(AND(F715&gt;0,I715="Y"),(G715*H715)+$M$10,IF(AND(F715&gt;0,I715="N"),(G715*H715),H715))))))))</f>
        <v/>
      </c>
      <c r="K715" s="132">
        <f>J715</f>
        <v/>
      </c>
      <c r="L715" s="148" t="n"/>
      <c r="M715" s="148" t="n"/>
      <c r="N715" s="148" t="n"/>
      <c r="O715" s="87" t="n"/>
      <c r="P715" s="81" t="n"/>
      <c r="Q715" s="81" t="n"/>
      <c r="R715" s="81" t="n"/>
      <c r="S715" s="81" t="n"/>
      <c r="T715" s="136">
        <f>IF(AND(E715&gt;0,U715=0),1,"")</f>
        <v/>
      </c>
      <c r="U715" s="136">
        <f>SUM(X715:AR715)</f>
        <v/>
      </c>
      <c r="V715" s="136">
        <f>IF(E715=$Q$16,0,SUM(X715:AI715))</f>
        <v/>
      </c>
      <c r="W715" s="136">
        <f>SUM(AK715:AR715)</f>
        <v/>
      </c>
      <c r="X715" s="136">
        <f>IF(E715=$X$6,1,"")</f>
        <v/>
      </c>
      <c r="Y715" s="136">
        <f>IF(E715=$Y$6,1,"")</f>
        <v/>
      </c>
      <c r="Z715" s="136">
        <f>IF(E715=$Z$6,1,"")</f>
        <v/>
      </c>
      <c r="AA715" s="136">
        <f>IF(E715=$AA$6,1,"")</f>
        <v/>
      </c>
      <c r="AB715" s="136">
        <f>IF(E715=$AB$6,1,"")</f>
        <v/>
      </c>
      <c r="AC715" s="136">
        <f>IF(E715=$AC$6,1,"")</f>
        <v/>
      </c>
      <c r="AD715" s="136">
        <f>IF(E715=$AD$6,1,"")</f>
        <v/>
      </c>
      <c r="AE715" s="136">
        <f>IF(E715=$AE$6,1,"")</f>
        <v/>
      </c>
      <c r="AF715" s="136">
        <f>IF(E715=$AF$6,1,"")</f>
        <v/>
      </c>
      <c r="AG715" s="136">
        <f>IF(E715=$AG$6,1,"")</f>
        <v/>
      </c>
      <c r="AH715" s="136">
        <f>IF(E715=$AH$6,1,"")</f>
        <v/>
      </c>
      <c r="AI715" s="136">
        <f>IF(E715=$AI$6,1,"")</f>
        <v/>
      </c>
      <c r="AJ715" s="136">
        <f>IF(E715=$AJ$6,1,"")</f>
        <v/>
      </c>
      <c r="AK715" s="81">
        <f>IF(E715=$AK$6,1,"")</f>
        <v/>
      </c>
      <c r="AL715" s="81">
        <f>IF(E715=$AL$6,1,"")</f>
        <v/>
      </c>
      <c r="AM715" s="81">
        <f>IF(E715=$AM$6,1,"")</f>
        <v/>
      </c>
      <c r="AN715" s="81">
        <f>IF(E715=$AN$6,1,"")</f>
        <v/>
      </c>
      <c r="AO715" s="81">
        <f>IF(E715=$AO$6,1,"")</f>
        <v/>
      </c>
      <c r="AP715" s="81">
        <f>IF(E715=$AP$6,1,"")</f>
        <v/>
      </c>
      <c r="AQ715" s="81">
        <f>IF(E715=$AQ$6,1,"")</f>
        <v/>
      </c>
      <c r="AR715" s="81">
        <f>IF(E715=$AR$6,1,"")</f>
        <v/>
      </c>
      <c r="AS715" s="81" t="n"/>
    </row>
    <row r="716" ht="15.75" customHeight="1" s="80">
      <c r="A716" s="157" t="n"/>
      <c r="B716" s="124" t="n"/>
      <c r="C716" s="125" t="n"/>
      <c r="D716" s="126" t="n"/>
      <c r="E716" s="127" t="n"/>
      <c r="F716" s="128" t="n"/>
      <c r="G716" s="129">
        <f>IF(F716="","",ROUND(F716/60,2))</f>
        <v/>
      </c>
      <c r="H716" s="130" t="n"/>
      <c r="I716" s="131" t="n"/>
      <c r="J716" s="131">
        <f>IF(COUNTIF(B716:E716,"*")=0,"",IF(T716=1,"Invalid Service",IF(AND(V716=1,F716=""),"Add Session Mins",IF(AND(E716&gt;0,H716="",T716=""),"Enter Contract Rate",IF(AND(E716="IEP mtg, prep, rept",F716&gt;0),(G716*H716),IF(AND(E716&gt;0,F716&gt;0,H716&gt;0,I716=""),"Enter Travel",IF(AND(F716&gt;0,I716="Y"),(G716*H716)+$M$10,IF(AND(F716&gt;0,I716="N"),(G716*H716),H716))))))))</f>
        <v/>
      </c>
      <c r="K716" s="132">
        <f>J716</f>
        <v/>
      </c>
      <c r="L716" s="148" t="n"/>
      <c r="M716" s="148" t="n"/>
      <c r="N716" s="148" t="n"/>
      <c r="O716" s="87" t="n"/>
      <c r="P716" s="81" t="n"/>
      <c r="Q716" s="81" t="n"/>
      <c r="R716" s="81" t="n"/>
      <c r="S716" s="81" t="n"/>
      <c r="T716" s="136">
        <f>IF(AND(E716&gt;0,U716=0),1,"")</f>
        <v/>
      </c>
      <c r="U716" s="136">
        <f>SUM(X716:AR716)</f>
        <v/>
      </c>
      <c r="V716" s="136">
        <f>IF(E716=$Q$16,0,SUM(X716:AI716))</f>
        <v/>
      </c>
      <c r="W716" s="136">
        <f>SUM(AK716:AR716)</f>
        <v/>
      </c>
      <c r="X716" s="136">
        <f>IF(E716=$X$6,1,"")</f>
        <v/>
      </c>
      <c r="Y716" s="136">
        <f>IF(E716=$Y$6,1,"")</f>
        <v/>
      </c>
      <c r="Z716" s="136">
        <f>IF(E716=$Z$6,1,"")</f>
        <v/>
      </c>
      <c r="AA716" s="136">
        <f>IF(E716=$AA$6,1,"")</f>
        <v/>
      </c>
      <c r="AB716" s="136">
        <f>IF(E716=$AB$6,1,"")</f>
        <v/>
      </c>
      <c r="AC716" s="136">
        <f>IF(E716=$AC$6,1,"")</f>
        <v/>
      </c>
      <c r="AD716" s="136">
        <f>IF(E716=$AD$6,1,"")</f>
        <v/>
      </c>
      <c r="AE716" s="136">
        <f>IF(E716=$AE$6,1,"")</f>
        <v/>
      </c>
      <c r="AF716" s="136">
        <f>IF(E716=$AF$6,1,"")</f>
        <v/>
      </c>
      <c r="AG716" s="136">
        <f>IF(E716=$AG$6,1,"")</f>
        <v/>
      </c>
      <c r="AH716" s="136">
        <f>IF(E716=$AH$6,1,"")</f>
        <v/>
      </c>
      <c r="AI716" s="136">
        <f>IF(E716=$AI$6,1,"")</f>
        <v/>
      </c>
      <c r="AJ716" s="136">
        <f>IF(E716=$AJ$6,1,"")</f>
        <v/>
      </c>
      <c r="AK716" s="81">
        <f>IF(E716=$AK$6,1,"")</f>
        <v/>
      </c>
      <c r="AL716" s="81">
        <f>IF(E716=$AL$6,1,"")</f>
        <v/>
      </c>
      <c r="AM716" s="81">
        <f>IF(E716=$AM$6,1,"")</f>
        <v/>
      </c>
      <c r="AN716" s="81">
        <f>IF(E716=$AN$6,1,"")</f>
        <v/>
      </c>
      <c r="AO716" s="81">
        <f>IF(E716=$AO$6,1,"")</f>
        <v/>
      </c>
      <c r="AP716" s="81">
        <f>IF(E716=$AP$6,1,"")</f>
        <v/>
      </c>
      <c r="AQ716" s="81">
        <f>IF(E716=$AQ$6,1,"")</f>
        <v/>
      </c>
      <c r="AR716" s="81">
        <f>IF(E716=$AR$6,1,"")</f>
        <v/>
      </c>
      <c r="AS716" s="81" t="n"/>
    </row>
    <row r="717" ht="15.75" customHeight="1" s="80">
      <c r="A717" s="157" t="n"/>
      <c r="B717" s="124" t="n"/>
      <c r="C717" s="125" t="n"/>
      <c r="D717" s="126" t="n"/>
      <c r="E717" s="127" t="n"/>
      <c r="F717" s="128" t="n"/>
      <c r="G717" s="129">
        <f>IF(F717="","",ROUND(F717/60,2))</f>
        <v/>
      </c>
      <c r="H717" s="130" t="n"/>
      <c r="I717" s="131" t="n"/>
      <c r="J717" s="131">
        <f>IF(COUNTIF(B717:E717,"*")=0,"",IF(T717=1,"Invalid Service",IF(AND(V717=1,F717=""),"Add Session Mins",IF(AND(E717&gt;0,H717="",T717=""),"Enter Contract Rate",IF(AND(E717="IEP mtg, prep, rept",F717&gt;0),(G717*H717),IF(AND(E717&gt;0,F717&gt;0,H717&gt;0,I717=""),"Enter Travel",IF(AND(F717&gt;0,I717="Y"),(G717*H717)+$M$10,IF(AND(F717&gt;0,I717="N"),(G717*H717),H717))))))))</f>
        <v/>
      </c>
      <c r="K717" s="132">
        <f>J717</f>
        <v/>
      </c>
      <c r="L717" s="148" t="n"/>
      <c r="M717" s="148" t="n"/>
      <c r="N717" s="148" t="n"/>
      <c r="O717" s="87" t="n"/>
      <c r="P717" s="81" t="n"/>
      <c r="Q717" s="81" t="n"/>
      <c r="R717" s="81" t="n"/>
      <c r="S717" s="81" t="n"/>
      <c r="T717" s="136">
        <f>IF(AND(E717&gt;0,U717=0),1,"")</f>
        <v/>
      </c>
      <c r="U717" s="136">
        <f>SUM(X717:AR717)</f>
        <v/>
      </c>
      <c r="V717" s="136">
        <f>IF(E717=$Q$16,0,SUM(X717:AI717))</f>
        <v/>
      </c>
      <c r="W717" s="136">
        <f>SUM(AK717:AR717)</f>
        <v/>
      </c>
      <c r="X717" s="136">
        <f>IF(E717=$X$6,1,"")</f>
        <v/>
      </c>
      <c r="Y717" s="136">
        <f>IF(E717=$Y$6,1,"")</f>
        <v/>
      </c>
      <c r="Z717" s="136">
        <f>IF(E717=$Z$6,1,"")</f>
        <v/>
      </c>
      <c r="AA717" s="136">
        <f>IF(E717=$AA$6,1,"")</f>
        <v/>
      </c>
      <c r="AB717" s="136">
        <f>IF(E717=$AB$6,1,"")</f>
        <v/>
      </c>
      <c r="AC717" s="136">
        <f>IF(E717=$AC$6,1,"")</f>
        <v/>
      </c>
      <c r="AD717" s="136">
        <f>IF(E717=$AD$6,1,"")</f>
        <v/>
      </c>
      <c r="AE717" s="136">
        <f>IF(E717=$AE$6,1,"")</f>
        <v/>
      </c>
      <c r="AF717" s="136">
        <f>IF(E717=$AF$6,1,"")</f>
        <v/>
      </c>
      <c r="AG717" s="136">
        <f>IF(E717=$AG$6,1,"")</f>
        <v/>
      </c>
      <c r="AH717" s="136">
        <f>IF(E717=$AH$6,1,"")</f>
        <v/>
      </c>
      <c r="AI717" s="136">
        <f>IF(E717=$AI$6,1,"")</f>
        <v/>
      </c>
      <c r="AJ717" s="136">
        <f>IF(E717=$AJ$6,1,"")</f>
        <v/>
      </c>
      <c r="AK717" s="81">
        <f>IF(E717=$AK$6,1,"")</f>
        <v/>
      </c>
      <c r="AL717" s="81">
        <f>IF(E717=$AL$6,1,"")</f>
        <v/>
      </c>
      <c r="AM717" s="81">
        <f>IF(E717=$AM$6,1,"")</f>
        <v/>
      </c>
      <c r="AN717" s="81">
        <f>IF(E717=$AN$6,1,"")</f>
        <v/>
      </c>
      <c r="AO717" s="81">
        <f>IF(E717=$AO$6,1,"")</f>
        <v/>
      </c>
      <c r="AP717" s="81">
        <f>IF(E717=$AP$6,1,"")</f>
        <v/>
      </c>
      <c r="AQ717" s="81">
        <f>IF(E717=$AQ$6,1,"")</f>
        <v/>
      </c>
      <c r="AR717" s="81">
        <f>IF(E717=$AR$6,1,"")</f>
        <v/>
      </c>
      <c r="AS717" s="81" t="n"/>
    </row>
    <row r="718" ht="15.75" customHeight="1" s="80">
      <c r="A718" s="157" t="n"/>
      <c r="B718" s="124" t="n"/>
      <c r="C718" s="125" t="n"/>
      <c r="D718" s="126" t="n"/>
      <c r="E718" s="127" t="n"/>
      <c r="F718" s="128" t="n"/>
      <c r="G718" s="129">
        <f>IF(F718="","",ROUND(F718/60,2))</f>
        <v/>
      </c>
      <c r="H718" s="130" t="n"/>
      <c r="I718" s="131" t="n"/>
      <c r="J718" s="131">
        <f>IF(COUNTIF(B718:E718,"*")=0,"",IF(T718=1,"Invalid Service",IF(AND(V718=1,F718=""),"Add Session Mins",IF(AND(E718&gt;0,H718="",T718=""),"Enter Contract Rate",IF(AND(E718="IEP mtg, prep, rept",F718&gt;0),(G718*H718),IF(AND(E718&gt;0,F718&gt;0,H718&gt;0,I718=""),"Enter Travel",IF(AND(F718&gt;0,I718="Y"),(G718*H718)+$M$10,IF(AND(F718&gt;0,I718="N"),(G718*H718),H718))))))))</f>
        <v/>
      </c>
      <c r="K718" s="132">
        <f>J718</f>
        <v/>
      </c>
      <c r="L718" s="148" t="n"/>
      <c r="M718" s="148" t="n"/>
      <c r="N718" s="148" t="n"/>
      <c r="O718" s="87" t="n"/>
      <c r="P718" s="81" t="n"/>
      <c r="Q718" s="81" t="n"/>
      <c r="R718" s="81" t="n"/>
      <c r="S718" s="81" t="n"/>
      <c r="T718" s="136">
        <f>IF(AND(E718&gt;0,U718=0),1,"")</f>
        <v/>
      </c>
      <c r="U718" s="136">
        <f>SUM(X718:AR718)</f>
        <v/>
      </c>
      <c r="V718" s="136">
        <f>IF(E718=$Q$16,0,SUM(X718:AI718))</f>
        <v/>
      </c>
      <c r="W718" s="136">
        <f>SUM(AK718:AR718)</f>
        <v/>
      </c>
      <c r="X718" s="136">
        <f>IF(E718=$X$6,1,"")</f>
        <v/>
      </c>
      <c r="Y718" s="136">
        <f>IF(E718=$Y$6,1,"")</f>
        <v/>
      </c>
      <c r="Z718" s="136">
        <f>IF(E718=$Z$6,1,"")</f>
        <v/>
      </c>
      <c r="AA718" s="136">
        <f>IF(E718=$AA$6,1,"")</f>
        <v/>
      </c>
      <c r="AB718" s="136">
        <f>IF(E718=$AB$6,1,"")</f>
        <v/>
      </c>
      <c r="AC718" s="136">
        <f>IF(E718=$AC$6,1,"")</f>
        <v/>
      </c>
      <c r="AD718" s="136">
        <f>IF(E718=$AD$6,1,"")</f>
        <v/>
      </c>
      <c r="AE718" s="136">
        <f>IF(E718=$AE$6,1,"")</f>
        <v/>
      </c>
      <c r="AF718" s="136">
        <f>IF(E718=$AF$6,1,"")</f>
        <v/>
      </c>
      <c r="AG718" s="136">
        <f>IF(E718=$AG$6,1,"")</f>
        <v/>
      </c>
      <c r="AH718" s="136">
        <f>IF(E718=$AH$6,1,"")</f>
        <v/>
      </c>
      <c r="AI718" s="136">
        <f>IF(E718=$AI$6,1,"")</f>
        <v/>
      </c>
      <c r="AJ718" s="136">
        <f>IF(E718=$AJ$6,1,"")</f>
        <v/>
      </c>
      <c r="AK718" s="81">
        <f>IF(E718=$AK$6,1,"")</f>
        <v/>
      </c>
      <c r="AL718" s="81">
        <f>IF(E718=$AL$6,1,"")</f>
        <v/>
      </c>
      <c r="AM718" s="81">
        <f>IF(E718=$AM$6,1,"")</f>
        <v/>
      </c>
      <c r="AN718" s="81">
        <f>IF(E718=$AN$6,1,"")</f>
        <v/>
      </c>
      <c r="AO718" s="81">
        <f>IF(E718=$AO$6,1,"")</f>
        <v/>
      </c>
      <c r="AP718" s="81">
        <f>IF(E718=$AP$6,1,"")</f>
        <v/>
      </c>
      <c r="AQ718" s="81">
        <f>IF(E718=$AQ$6,1,"")</f>
        <v/>
      </c>
      <c r="AR718" s="81">
        <f>IF(E718=$AR$6,1,"")</f>
        <v/>
      </c>
      <c r="AS718" s="81" t="n"/>
    </row>
    <row r="719" ht="15.75" customHeight="1" s="80">
      <c r="A719" s="157" t="n"/>
      <c r="B719" s="124" t="n"/>
      <c r="C719" s="125" t="n"/>
      <c r="D719" s="126" t="n"/>
      <c r="E719" s="127" t="n"/>
      <c r="F719" s="128" t="n"/>
      <c r="G719" s="129">
        <f>IF(F719="","",ROUND(F719/60,2))</f>
        <v/>
      </c>
      <c r="H719" s="130" t="n"/>
      <c r="I719" s="131" t="n"/>
      <c r="J719" s="131">
        <f>IF(COUNTIF(B719:E719,"*")=0,"",IF(T719=1,"Invalid Service",IF(AND(V719=1,F719=""),"Add Session Mins",IF(AND(E719&gt;0,H719="",T719=""),"Enter Contract Rate",IF(AND(E719="IEP mtg, prep, rept",F719&gt;0),(G719*H719),IF(AND(E719&gt;0,F719&gt;0,H719&gt;0,I719=""),"Enter Travel",IF(AND(F719&gt;0,I719="Y"),(G719*H719)+$M$10,IF(AND(F719&gt;0,I719="N"),(G719*H719),H719))))))))</f>
        <v/>
      </c>
      <c r="K719" s="132">
        <f>J719</f>
        <v/>
      </c>
      <c r="L719" s="148" t="n"/>
      <c r="M719" s="148" t="n"/>
      <c r="N719" s="148" t="n"/>
      <c r="O719" s="87" t="n"/>
      <c r="P719" s="81" t="n"/>
      <c r="Q719" s="81" t="n"/>
      <c r="R719" s="81" t="n"/>
      <c r="S719" s="81" t="n"/>
      <c r="T719" s="136">
        <f>IF(AND(E719&gt;0,U719=0),1,"")</f>
        <v/>
      </c>
      <c r="U719" s="136">
        <f>SUM(X719:AR719)</f>
        <v/>
      </c>
      <c r="V719" s="136">
        <f>IF(E719=$Q$16,0,SUM(X719:AI719))</f>
        <v/>
      </c>
      <c r="W719" s="136">
        <f>SUM(AK719:AR719)</f>
        <v/>
      </c>
      <c r="X719" s="136">
        <f>IF(E719=$X$6,1,"")</f>
        <v/>
      </c>
      <c r="Y719" s="136">
        <f>IF(E719=$Y$6,1,"")</f>
        <v/>
      </c>
      <c r="Z719" s="136">
        <f>IF(E719=$Z$6,1,"")</f>
        <v/>
      </c>
      <c r="AA719" s="136">
        <f>IF(E719=$AA$6,1,"")</f>
        <v/>
      </c>
      <c r="AB719" s="136">
        <f>IF(E719=$AB$6,1,"")</f>
        <v/>
      </c>
      <c r="AC719" s="136">
        <f>IF(E719=$AC$6,1,"")</f>
        <v/>
      </c>
      <c r="AD719" s="136">
        <f>IF(E719=$AD$6,1,"")</f>
        <v/>
      </c>
      <c r="AE719" s="136">
        <f>IF(E719=$AE$6,1,"")</f>
        <v/>
      </c>
      <c r="AF719" s="136">
        <f>IF(E719=$AF$6,1,"")</f>
        <v/>
      </c>
      <c r="AG719" s="136">
        <f>IF(E719=$AG$6,1,"")</f>
        <v/>
      </c>
      <c r="AH719" s="136">
        <f>IF(E719=$AH$6,1,"")</f>
        <v/>
      </c>
      <c r="AI719" s="136">
        <f>IF(E719=$AI$6,1,"")</f>
        <v/>
      </c>
      <c r="AJ719" s="136">
        <f>IF(E719=$AJ$6,1,"")</f>
        <v/>
      </c>
      <c r="AK719" s="81">
        <f>IF(E719=$AK$6,1,"")</f>
        <v/>
      </c>
      <c r="AL719" s="81">
        <f>IF(E719=$AL$6,1,"")</f>
        <v/>
      </c>
      <c r="AM719" s="81">
        <f>IF(E719=$AM$6,1,"")</f>
        <v/>
      </c>
      <c r="AN719" s="81">
        <f>IF(E719=$AN$6,1,"")</f>
        <v/>
      </c>
      <c r="AO719" s="81">
        <f>IF(E719=$AO$6,1,"")</f>
        <v/>
      </c>
      <c r="AP719" s="81">
        <f>IF(E719=$AP$6,1,"")</f>
        <v/>
      </c>
      <c r="AQ719" s="81">
        <f>IF(E719=$AQ$6,1,"")</f>
        <v/>
      </c>
      <c r="AR719" s="81">
        <f>IF(E719=$AR$6,1,"")</f>
        <v/>
      </c>
      <c r="AS719" s="81" t="n"/>
    </row>
    <row r="720" ht="15.75" customHeight="1" s="80">
      <c r="A720" s="157" t="n"/>
      <c r="B720" s="124" t="n"/>
      <c r="C720" s="125" t="n"/>
      <c r="D720" s="126" t="n"/>
      <c r="E720" s="127" t="n"/>
      <c r="F720" s="128" t="n"/>
      <c r="G720" s="129">
        <f>IF(F720="","",ROUND(F720/60,2))</f>
        <v/>
      </c>
      <c r="H720" s="130" t="n"/>
      <c r="I720" s="131" t="n"/>
      <c r="J720" s="131">
        <f>IF(COUNTIF(B720:E720,"*")=0,"",IF(T720=1,"Invalid Service",IF(AND(V720=1,F720=""),"Add Session Mins",IF(AND(E720&gt;0,H720="",T720=""),"Enter Contract Rate",IF(AND(E720="IEP mtg, prep, rept",F720&gt;0),(G720*H720),IF(AND(E720&gt;0,F720&gt;0,H720&gt;0,I720=""),"Enter Travel",IF(AND(F720&gt;0,I720="Y"),(G720*H720)+$M$10,IF(AND(F720&gt;0,I720="N"),(G720*H720),H720))))))))</f>
        <v/>
      </c>
      <c r="K720" s="132">
        <f>J720</f>
        <v/>
      </c>
      <c r="L720" s="148" t="n"/>
      <c r="M720" s="148" t="n"/>
      <c r="N720" s="148" t="n"/>
      <c r="O720" s="87" t="n"/>
      <c r="P720" s="81" t="n"/>
      <c r="Q720" s="81" t="n"/>
      <c r="R720" s="81" t="n"/>
      <c r="S720" s="81" t="n"/>
      <c r="T720" s="136">
        <f>IF(AND(E720&gt;0,U720=0),1,"")</f>
        <v/>
      </c>
      <c r="U720" s="136">
        <f>SUM(X720:AR720)</f>
        <v/>
      </c>
      <c r="V720" s="136">
        <f>IF(E720=$Q$16,0,SUM(X720:AI720))</f>
        <v/>
      </c>
      <c r="W720" s="136">
        <f>SUM(AK720:AR720)</f>
        <v/>
      </c>
      <c r="X720" s="136">
        <f>IF(E720=$X$6,1,"")</f>
        <v/>
      </c>
      <c r="Y720" s="136">
        <f>IF(E720=$Y$6,1,"")</f>
        <v/>
      </c>
      <c r="Z720" s="136">
        <f>IF(E720=$Z$6,1,"")</f>
        <v/>
      </c>
      <c r="AA720" s="136">
        <f>IF(E720=$AA$6,1,"")</f>
        <v/>
      </c>
      <c r="AB720" s="136">
        <f>IF(E720=$AB$6,1,"")</f>
        <v/>
      </c>
      <c r="AC720" s="136">
        <f>IF(E720=$AC$6,1,"")</f>
        <v/>
      </c>
      <c r="AD720" s="136">
        <f>IF(E720=$AD$6,1,"")</f>
        <v/>
      </c>
      <c r="AE720" s="136">
        <f>IF(E720=$AE$6,1,"")</f>
        <v/>
      </c>
      <c r="AF720" s="136">
        <f>IF(E720=$AF$6,1,"")</f>
        <v/>
      </c>
      <c r="AG720" s="136">
        <f>IF(E720=$AG$6,1,"")</f>
        <v/>
      </c>
      <c r="AH720" s="136">
        <f>IF(E720=$AH$6,1,"")</f>
        <v/>
      </c>
      <c r="AI720" s="136">
        <f>IF(E720=$AI$6,1,"")</f>
        <v/>
      </c>
      <c r="AJ720" s="136">
        <f>IF(E720=$AJ$6,1,"")</f>
        <v/>
      </c>
      <c r="AK720" s="81">
        <f>IF(E720=$AK$6,1,"")</f>
        <v/>
      </c>
      <c r="AL720" s="81">
        <f>IF(E720=$AL$6,1,"")</f>
        <v/>
      </c>
      <c r="AM720" s="81">
        <f>IF(E720=$AM$6,1,"")</f>
        <v/>
      </c>
      <c r="AN720" s="81">
        <f>IF(E720=$AN$6,1,"")</f>
        <v/>
      </c>
      <c r="AO720" s="81">
        <f>IF(E720=$AO$6,1,"")</f>
        <v/>
      </c>
      <c r="AP720" s="81">
        <f>IF(E720=$AP$6,1,"")</f>
        <v/>
      </c>
      <c r="AQ720" s="81">
        <f>IF(E720=$AQ$6,1,"")</f>
        <v/>
      </c>
      <c r="AR720" s="81">
        <f>IF(E720=$AR$6,1,"")</f>
        <v/>
      </c>
      <c r="AS720" s="81" t="n"/>
    </row>
    <row r="721" ht="15.75" customHeight="1" s="80">
      <c r="A721" s="157" t="n"/>
      <c r="B721" s="124" t="n"/>
      <c r="C721" s="125" t="n"/>
      <c r="D721" s="126" t="n"/>
      <c r="E721" s="127" t="n"/>
      <c r="F721" s="128" t="n"/>
      <c r="G721" s="129">
        <f>IF(F721="","",ROUND(F721/60,2))</f>
        <v/>
      </c>
      <c r="H721" s="130" t="n"/>
      <c r="I721" s="131" t="n"/>
      <c r="J721" s="131">
        <f>IF(COUNTIF(B721:E721,"*")=0,"",IF(T721=1,"Invalid Service",IF(AND(V721=1,F721=""),"Add Session Mins",IF(AND(E721&gt;0,H721="",T721=""),"Enter Contract Rate",IF(AND(E721="IEP mtg, prep, rept",F721&gt;0),(G721*H721),IF(AND(E721&gt;0,F721&gt;0,H721&gt;0,I721=""),"Enter Travel",IF(AND(F721&gt;0,I721="Y"),(G721*H721)+$M$10,IF(AND(F721&gt;0,I721="N"),(G721*H721),H721))))))))</f>
        <v/>
      </c>
      <c r="K721" s="132">
        <f>J721</f>
        <v/>
      </c>
      <c r="L721" s="148" t="n"/>
      <c r="M721" s="148" t="n"/>
      <c r="N721" s="148" t="n"/>
      <c r="O721" s="87" t="n"/>
      <c r="P721" s="81" t="n"/>
      <c r="Q721" s="81" t="n"/>
      <c r="R721" s="81" t="n"/>
      <c r="S721" s="81" t="n"/>
      <c r="T721" s="136">
        <f>IF(AND(E721&gt;0,U721=0),1,"")</f>
        <v/>
      </c>
      <c r="U721" s="136">
        <f>SUM(X721:AR721)</f>
        <v/>
      </c>
      <c r="V721" s="136">
        <f>IF(E721=$Q$16,0,SUM(X721:AI721))</f>
        <v/>
      </c>
      <c r="W721" s="136">
        <f>SUM(AK721:AR721)</f>
        <v/>
      </c>
      <c r="X721" s="136">
        <f>IF(E721=$X$6,1,"")</f>
        <v/>
      </c>
      <c r="Y721" s="136">
        <f>IF(E721=$Y$6,1,"")</f>
        <v/>
      </c>
      <c r="Z721" s="136">
        <f>IF(E721=$Z$6,1,"")</f>
        <v/>
      </c>
      <c r="AA721" s="136">
        <f>IF(E721=$AA$6,1,"")</f>
        <v/>
      </c>
      <c r="AB721" s="136">
        <f>IF(E721=$AB$6,1,"")</f>
        <v/>
      </c>
      <c r="AC721" s="136">
        <f>IF(E721=$AC$6,1,"")</f>
        <v/>
      </c>
      <c r="AD721" s="136">
        <f>IF(E721=$AD$6,1,"")</f>
        <v/>
      </c>
      <c r="AE721" s="136">
        <f>IF(E721=$AE$6,1,"")</f>
        <v/>
      </c>
      <c r="AF721" s="136">
        <f>IF(E721=$AF$6,1,"")</f>
        <v/>
      </c>
      <c r="AG721" s="136">
        <f>IF(E721=$AG$6,1,"")</f>
        <v/>
      </c>
      <c r="AH721" s="136">
        <f>IF(E721=$AH$6,1,"")</f>
        <v/>
      </c>
      <c r="AI721" s="136">
        <f>IF(E721=$AI$6,1,"")</f>
        <v/>
      </c>
      <c r="AJ721" s="136">
        <f>IF(E721=$AJ$6,1,"")</f>
        <v/>
      </c>
      <c r="AK721" s="81">
        <f>IF(E721=$AK$6,1,"")</f>
        <v/>
      </c>
      <c r="AL721" s="81">
        <f>IF(E721=$AL$6,1,"")</f>
        <v/>
      </c>
      <c r="AM721" s="81">
        <f>IF(E721=$AM$6,1,"")</f>
        <v/>
      </c>
      <c r="AN721" s="81">
        <f>IF(E721=$AN$6,1,"")</f>
        <v/>
      </c>
      <c r="AO721" s="81">
        <f>IF(E721=$AO$6,1,"")</f>
        <v/>
      </c>
      <c r="AP721" s="81">
        <f>IF(E721=$AP$6,1,"")</f>
        <v/>
      </c>
      <c r="AQ721" s="81">
        <f>IF(E721=$AQ$6,1,"")</f>
        <v/>
      </c>
      <c r="AR721" s="81">
        <f>IF(E721=$AR$6,1,"")</f>
        <v/>
      </c>
      <c r="AS721" s="81" t="n"/>
    </row>
    <row r="722" ht="15.75" customHeight="1" s="80">
      <c r="A722" s="157" t="n"/>
      <c r="B722" s="124" t="n"/>
      <c r="C722" s="125" t="n"/>
      <c r="D722" s="126" t="n"/>
      <c r="E722" s="127" t="n"/>
      <c r="F722" s="128" t="n"/>
      <c r="G722" s="129">
        <f>IF(F722="","",ROUND(F722/60,2))</f>
        <v/>
      </c>
      <c r="H722" s="130" t="n"/>
      <c r="I722" s="131" t="n"/>
      <c r="J722" s="131">
        <f>IF(COUNTIF(B722:E722,"*")=0,"",IF(T722=1,"Invalid Service",IF(AND(V722=1,F722=""),"Add Session Mins",IF(AND(E722&gt;0,H722="",T722=""),"Enter Contract Rate",IF(AND(E722="IEP mtg, prep, rept",F722&gt;0),(G722*H722),IF(AND(E722&gt;0,F722&gt;0,H722&gt;0,I722=""),"Enter Travel",IF(AND(F722&gt;0,I722="Y"),(G722*H722)+$M$10,IF(AND(F722&gt;0,I722="N"),(G722*H722),H722))))))))</f>
        <v/>
      </c>
      <c r="K722" s="132">
        <f>J722</f>
        <v/>
      </c>
      <c r="L722" s="148" t="n"/>
      <c r="M722" s="148" t="n"/>
      <c r="N722" s="148" t="n"/>
      <c r="O722" s="87" t="n"/>
      <c r="P722" s="81" t="n"/>
      <c r="Q722" s="81" t="n"/>
      <c r="R722" s="81" t="n"/>
      <c r="S722" s="81" t="n"/>
      <c r="T722" s="136">
        <f>IF(AND(E722&gt;0,U722=0),1,"")</f>
        <v/>
      </c>
      <c r="U722" s="136">
        <f>SUM(X722:AR722)</f>
        <v/>
      </c>
      <c r="V722" s="136">
        <f>IF(E722=$Q$16,0,SUM(X722:AI722))</f>
        <v/>
      </c>
      <c r="W722" s="136">
        <f>SUM(AK722:AR722)</f>
        <v/>
      </c>
      <c r="X722" s="136">
        <f>IF(E722=$X$6,1,"")</f>
        <v/>
      </c>
      <c r="Y722" s="136">
        <f>IF(E722=$Y$6,1,"")</f>
        <v/>
      </c>
      <c r="Z722" s="136">
        <f>IF(E722=$Z$6,1,"")</f>
        <v/>
      </c>
      <c r="AA722" s="136">
        <f>IF(E722=$AA$6,1,"")</f>
        <v/>
      </c>
      <c r="AB722" s="136">
        <f>IF(E722=$AB$6,1,"")</f>
        <v/>
      </c>
      <c r="AC722" s="136">
        <f>IF(E722=$AC$6,1,"")</f>
        <v/>
      </c>
      <c r="AD722" s="136">
        <f>IF(E722=$AD$6,1,"")</f>
        <v/>
      </c>
      <c r="AE722" s="136">
        <f>IF(E722=$AE$6,1,"")</f>
        <v/>
      </c>
      <c r="AF722" s="136">
        <f>IF(E722=$AF$6,1,"")</f>
        <v/>
      </c>
      <c r="AG722" s="136">
        <f>IF(E722=$AG$6,1,"")</f>
        <v/>
      </c>
      <c r="AH722" s="136">
        <f>IF(E722=$AH$6,1,"")</f>
        <v/>
      </c>
      <c r="AI722" s="136">
        <f>IF(E722=$AI$6,1,"")</f>
        <v/>
      </c>
      <c r="AJ722" s="136">
        <f>IF(E722=$AJ$6,1,"")</f>
        <v/>
      </c>
      <c r="AK722" s="81">
        <f>IF(E722=$AK$6,1,"")</f>
        <v/>
      </c>
      <c r="AL722" s="81">
        <f>IF(E722=$AL$6,1,"")</f>
        <v/>
      </c>
      <c r="AM722" s="81">
        <f>IF(E722=$AM$6,1,"")</f>
        <v/>
      </c>
      <c r="AN722" s="81">
        <f>IF(E722=$AN$6,1,"")</f>
        <v/>
      </c>
      <c r="AO722" s="81">
        <f>IF(E722=$AO$6,1,"")</f>
        <v/>
      </c>
      <c r="AP722" s="81">
        <f>IF(E722=$AP$6,1,"")</f>
        <v/>
      </c>
      <c r="AQ722" s="81">
        <f>IF(E722=$AQ$6,1,"")</f>
        <v/>
      </c>
      <c r="AR722" s="81">
        <f>IF(E722=$AR$6,1,"")</f>
        <v/>
      </c>
      <c r="AS722" s="81" t="n"/>
    </row>
    <row r="723" ht="15.75" customHeight="1" s="80">
      <c r="A723" s="157" t="n"/>
      <c r="B723" s="124" t="n"/>
      <c r="C723" s="125" t="n"/>
      <c r="D723" s="126" t="n"/>
      <c r="E723" s="127" t="n"/>
      <c r="F723" s="128" t="n"/>
      <c r="G723" s="129">
        <f>IF(F723="","",ROUND(F723/60,2))</f>
        <v/>
      </c>
      <c r="H723" s="130" t="n"/>
      <c r="I723" s="131" t="n"/>
      <c r="J723" s="131">
        <f>IF(COUNTIF(B723:E723,"*")=0,"",IF(T723=1,"Invalid Service",IF(AND(V723=1,F723=""),"Add Session Mins",IF(AND(E723&gt;0,H723="",T723=""),"Enter Contract Rate",IF(AND(E723="IEP mtg, prep, rept",F723&gt;0),(G723*H723),IF(AND(E723&gt;0,F723&gt;0,H723&gt;0,I723=""),"Enter Travel",IF(AND(F723&gt;0,I723="Y"),(G723*H723)+$M$10,IF(AND(F723&gt;0,I723="N"),(G723*H723),H723))))))))</f>
        <v/>
      </c>
      <c r="K723" s="132">
        <f>J723</f>
        <v/>
      </c>
      <c r="L723" s="148" t="n"/>
      <c r="M723" s="148" t="n"/>
      <c r="N723" s="148" t="n"/>
      <c r="O723" s="87" t="n"/>
      <c r="P723" s="81" t="n"/>
      <c r="Q723" s="81" t="n"/>
      <c r="R723" s="81" t="n"/>
      <c r="S723" s="81" t="n"/>
      <c r="T723" s="136">
        <f>IF(AND(E723&gt;0,U723=0),1,"")</f>
        <v/>
      </c>
      <c r="U723" s="136">
        <f>SUM(X723:AR723)</f>
        <v/>
      </c>
      <c r="V723" s="136">
        <f>IF(E723=$Q$16,0,SUM(X723:AI723))</f>
        <v/>
      </c>
      <c r="W723" s="136">
        <f>SUM(AK723:AR723)</f>
        <v/>
      </c>
      <c r="X723" s="136">
        <f>IF(E723=$X$6,1,"")</f>
        <v/>
      </c>
      <c r="Y723" s="136">
        <f>IF(E723=$Y$6,1,"")</f>
        <v/>
      </c>
      <c r="Z723" s="136">
        <f>IF(E723=$Z$6,1,"")</f>
        <v/>
      </c>
      <c r="AA723" s="136">
        <f>IF(E723=$AA$6,1,"")</f>
        <v/>
      </c>
      <c r="AB723" s="136">
        <f>IF(E723=$AB$6,1,"")</f>
        <v/>
      </c>
      <c r="AC723" s="136">
        <f>IF(E723=$AC$6,1,"")</f>
        <v/>
      </c>
      <c r="AD723" s="136">
        <f>IF(E723=$AD$6,1,"")</f>
        <v/>
      </c>
      <c r="AE723" s="136">
        <f>IF(E723=$AE$6,1,"")</f>
        <v/>
      </c>
      <c r="AF723" s="136">
        <f>IF(E723=$AF$6,1,"")</f>
        <v/>
      </c>
      <c r="AG723" s="136">
        <f>IF(E723=$AG$6,1,"")</f>
        <v/>
      </c>
      <c r="AH723" s="136">
        <f>IF(E723=$AH$6,1,"")</f>
        <v/>
      </c>
      <c r="AI723" s="136">
        <f>IF(E723=$AI$6,1,"")</f>
        <v/>
      </c>
      <c r="AJ723" s="136">
        <f>IF(E723=$AJ$6,1,"")</f>
        <v/>
      </c>
      <c r="AK723" s="81">
        <f>IF(E723=$AK$6,1,"")</f>
        <v/>
      </c>
      <c r="AL723" s="81">
        <f>IF(E723=$AL$6,1,"")</f>
        <v/>
      </c>
      <c r="AM723" s="81">
        <f>IF(E723=$AM$6,1,"")</f>
        <v/>
      </c>
      <c r="AN723" s="81">
        <f>IF(E723=$AN$6,1,"")</f>
        <v/>
      </c>
      <c r="AO723" s="81">
        <f>IF(E723=$AO$6,1,"")</f>
        <v/>
      </c>
      <c r="AP723" s="81">
        <f>IF(E723=$AP$6,1,"")</f>
        <v/>
      </c>
      <c r="AQ723" s="81">
        <f>IF(E723=$AQ$6,1,"")</f>
        <v/>
      </c>
      <c r="AR723" s="81">
        <f>IF(E723=$AR$6,1,"")</f>
        <v/>
      </c>
      <c r="AS723" s="81" t="n"/>
    </row>
    <row r="724" ht="15.75" customHeight="1" s="80">
      <c r="A724" s="157" t="n"/>
      <c r="B724" s="124" t="n"/>
      <c r="C724" s="125" t="n"/>
      <c r="D724" s="126" t="n"/>
      <c r="E724" s="127" t="n"/>
      <c r="F724" s="128" t="n"/>
      <c r="G724" s="129">
        <f>IF(F724="","",ROUND(F724/60,2))</f>
        <v/>
      </c>
      <c r="H724" s="130" t="n"/>
      <c r="I724" s="131" t="n"/>
      <c r="J724" s="131">
        <f>IF(COUNTIF(B724:E724,"*")=0,"",IF(T724=1,"Invalid Service",IF(AND(V724=1,F724=""),"Add Session Mins",IF(AND(E724&gt;0,H724="",T724=""),"Enter Contract Rate",IF(AND(E724="IEP mtg, prep, rept",F724&gt;0),(G724*H724),IF(AND(E724&gt;0,F724&gt;0,H724&gt;0,I724=""),"Enter Travel",IF(AND(F724&gt;0,I724="Y"),(G724*H724)+$M$10,IF(AND(F724&gt;0,I724="N"),(G724*H724),H724))))))))</f>
        <v/>
      </c>
      <c r="K724" s="132">
        <f>J724</f>
        <v/>
      </c>
      <c r="L724" s="148" t="n"/>
      <c r="M724" s="148" t="n"/>
      <c r="N724" s="148" t="n"/>
      <c r="O724" s="87" t="n"/>
      <c r="P724" s="81" t="n"/>
      <c r="Q724" s="81" t="n"/>
      <c r="R724" s="81" t="n"/>
      <c r="S724" s="81" t="n"/>
      <c r="T724" s="136">
        <f>IF(AND(E724&gt;0,U724=0),1,"")</f>
        <v/>
      </c>
      <c r="U724" s="136">
        <f>SUM(X724:AR724)</f>
        <v/>
      </c>
      <c r="V724" s="136">
        <f>IF(E724=$Q$16,0,SUM(X724:AI724))</f>
        <v/>
      </c>
      <c r="W724" s="136">
        <f>SUM(AK724:AR724)</f>
        <v/>
      </c>
      <c r="X724" s="136">
        <f>IF(E724=$X$6,1,"")</f>
        <v/>
      </c>
      <c r="Y724" s="136">
        <f>IF(E724=$Y$6,1,"")</f>
        <v/>
      </c>
      <c r="Z724" s="136">
        <f>IF(E724=$Z$6,1,"")</f>
        <v/>
      </c>
      <c r="AA724" s="136">
        <f>IF(E724=$AA$6,1,"")</f>
        <v/>
      </c>
      <c r="AB724" s="136">
        <f>IF(E724=$AB$6,1,"")</f>
        <v/>
      </c>
      <c r="AC724" s="136">
        <f>IF(E724=$AC$6,1,"")</f>
        <v/>
      </c>
      <c r="AD724" s="136">
        <f>IF(E724=$AD$6,1,"")</f>
        <v/>
      </c>
      <c r="AE724" s="136">
        <f>IF(E724=$AE$6,1,"")</f>
        <v/>
      </c>
      <c r="AF724" s="136">
        <f>IF(E724=$AF$6,1,"")</f>
        <v/>
      </c>
      <c r="AG724" s="136">
        <f>IF(E724=$AG$6,1,"")</f>
        <v/>
      </c>
      <c r="AH724" s="136">
        <f>IF(E724=$AH$6,1,"")</f>
        <v/>
      </c>
      <c r="AI724" s="136">
        <f>IF(E724=$AI$6,1,"")</f>
        <v/>
      </c>
      <c r="AJ724" s="136">
        <f>IF(E724=$AJ$6,1,"")</f>
        <v/>
      </c>
      <c r="AK724" s="81">
        <f>IF(E724=$AK$6,1,"")</f>
        <v/>
      </c>
      <c r="AL724" s="81">
        <f>IF(E724=$AL$6,1,"")</f>
        <v/>
      </c>
      <c r="AM724" s="81">
        <f>IF(E724=$AM$6,1,"")</f>
        <v/>
      </c>
      <c r="AN724" s="81">
        <f>IF(E724=$AN$6,1,"")</f>
        <v/>
      </c>
      <c r="AO724" s="81">
        <f>IF(E724=$AO$6,1,"")</f>
        <v/>
      </c>
      <c r="AP724" s="81">
        <f>IF(E724=$AP$6,1,"")</f>
        <v/>
      </c>
      <c r="AQ724" s="81">
        <f>IF(E724=$AQ$6,1,"")</f>
        <v/>
      </c>
      <c r="AR724" s="81">
        <f>IF(E724=$AR$6,1,"")</f>
        <v/>
      </c>
      <c r="AS724" s="81" t="n"/>
    </row>
    <row r="725" ht="15.75" customHeight="1" s="80">
      <c r="A725" s="157" t="n"/>
      <c r="B725" s="124" t="n"/>
      <c r="C725" s="125" t="n"/>
      <c r="D725" s="126" t="n"/>
      <c r="E725" s="127" t="n"/>
      <c r="F725" s="128" t="n"/>
      <c r="G725" s="129">
        <f>IF(F725="","",ROUND(F725/60,2))</f>
        <v/>
      </c>
      <c r="H725" s="130" t="n"/>
      <c r="I725" s="131" t="n"/>
      <c r="J725" s="131">
        <f>IF(COUNTIF(B725:E725,"*")=0,"",IF(T725=1,"Invalid Service",IF(AND(V725=1,F725=""),"Add Session Mins",IF(AND(E725&gt;0,H725="",T725=""),"Enter Contract Rate",IF(AND(E725="IEP mtg, prep, rept",F725&gt;0),(G725*H725),IF(AND(E725&gt;0,F725&gt;0,H725&gt;0,I725=""),"Enter Travel",IF(AND(F725&gt;0,I725="Y"),(G725*H725)+$M$10,IF(AND(F725&gt;0,I725="N"),(G725*H725),H725))))))))</f>
        <v/>
      </c>
      <c r="K725" s="132">
        <f>J725</f>
        <v/>
      </c>
      <c r="L725" s="148" t="n"/>
      <c r="M725" s="148" t="n"/>
      <c r="N725" s="148" t="n"/>
      <c r="O725" s="87" t="n"/>
      <c r="P725" s="81" t="n"/>
      <c r="Q725" s="81" t="n"/>
      <c r="R725" s="81" t="n"/>
      <c r="S725" s="81" t="n"/>
      <c r="T725" s="136">
        <f>IF(AND(E725&gt;0,U725=0),1,"")</f>
        <v/>
      </c>
      <c r="U725" s="136">
        <f>SUM(X725:AR725)</f>
        <v/>
      </c>
      <c r="V725" s="136">
        <f>IF(E725=$Q$16,0,SUM(X725:AI725))</f>
        <v/>
      </c>
      <c r="W725" s="136">
        <f>SUM(AK725:AR725)</f>
        <v/>
      </c>
      <c r="X725" s="136">
        <f>IF(E725=$X$6,1,"")</f>
        <v/>
      </c>
      <c r="Y725" s="136">
        <f>IF(E725=$Y$6,1,"")</f>
        <v/>
      </c>
      <c r="Z725" s="136">
        <f>IF(E725=$Z$6,1,"")</f>
        <v/>
      </c>
      <c r="AA725" s="136">
        <f>IF(E725=$AA$6,1,"")</f>
        <v/>
      </c>
      <c r="AB725" s="136">
        <f>IF(E725=$AB$6,1,"")</f>
        <v/>
      </c>
      <c r="AC725" s="136">
        <f>IF(E725=$AC$6,1,"")</f>
        <v/>
      </c>
      <c r="AD725" s="136">
        <f>IF(E725=$AD$6,1,"")</f>
        <v/>
      </c>
      <c r="AE725" s="136">
        <f>IF(E725=$AE$6,1,"")</f>
        <v/>
      </c>
      <c r="AF725" s="136">
        <f>IF(E725=$AF$6,1,"")</f>
        <v/>
      </c>
      <c r="AG725" s="136">
        <f>IF(E725=$AG$6,1,"")</f>
        <v/>
      </c>
      <c r="AH725" s="136">
        <f>IF(E725=$AH$6,1,"")</f>
        <v/>
      </c>
      <c r="AI725" s="136">
        <f>IF(E725=$AI$6,1,"")</f>
        <v/>
      </c>
      <c r="AJ725" s="136">
        <f>IF(E725=$AJ$6,1,"")</f>
        <v/>
      </c>
      <c r="AK725" s="81">
        <f>IF(E725=$AK$6,1,"")</f>
        <v/>
      </c>
      <c r="AL725" s="81">
        <f>IF(E725=$AL$6,1,"")</f>
        <v/>
      </c>
      <c r="AM725" s="81">
        <f>IF(E725=$AM$6,1,"")</f>
        <v/>
      </c>
      <c r="AN725" s="81">
        <f>IF(E725=$AN$6,1,"")</f>
        <v/>
      </c>
      <c r="AO725" s="81">
        <f>IF(E725=$AO$6,1,"")</f>
        <v/>
      </c>
      <c r="AP725" s="81">
        <f>IF(E725=$AP$6,1,"")</f>
        <v/>
      </c>
      <c r="AQ725" s="81">
        <f>IF(E725=$AQ$6,1,"")</f>
        <v/>
      </c>
      <c r="AR725" s="81">
        <f>IF(E725=$AR$6,1,"")</f>
        <v/>
      </c>
      <c r="AS725" s="81" t="n"/>
    </row>
    <row r="726" ht="15.75" customHeight="1" s="80">
      <c r="A726" s="157" t="n"/>
      <c r="B726" s="124" t="n"/>
      <c r="C726" s="125" t="n"/>
      <c r="D726" s="126" t="n"/>
      <c r="E726" s="127" t="n"/>
      <c r="F726" s="128" t="n"/>
      <c r="G726" s="129">
        <f>IF(F726="","",ROUND(F726/60,2))</f>
        <v/>
      </c>
      <c r="H726" s="130" t="n"/>
      <c r="I726" s="131" t="n"/>
      <c r="J726" s="131">
        <f>IF(COUNTIF(B726:E726,"*")=0,"",IF(T726=1,"Invalid Service",IF(AND(V726=1,F726=""),"Add Session Mins",IF(AND(E726&gt;0,H726="",T726=""),"Enter Contract Rate",IF(AND(E726="IEP mtg, prep, rept",F726&gt;0),(G726*H726),IF(AND(E726&gt;0,F726&gt;0,H726&gt;0,I726=""),"Enter Travel",IF(AND(F726&gt;0,I726="Y"),(G726*H726)+$M$10,IF(AND(F726&gt;0,I726="N"),(G726*H726),H726))))))))</f>
        <v/>
      </c>
      <c r="K726" s="132">
        <f>J726</f>
        <v/>
      </c>
      <c r="L726" s="148" t="n"/>
      <c r="M726" s="148" t="n"/>
      <c r="N726" s="148" t="n"/>
      <c r="O726" s="87" t="n"/>
      <c r="P726" s="81" t="n"/>
      <c r="Q726" s="81" t="n"/>
      <c r="R726" s="81" t="n"/>
      <c r="S726" s="81" t="n"/>
      <c r="T726" s="136">
        <f>IF(AND(E726&gt;0,U726=0),1,"")</f>
        <v/>
      </c>
      <c r="U726" s="136">
        <f>SUM(X726:AR726)</f>
        <v/>
      </c>
      <c r="V726" s="136">
        <f>IF(E726=$Q$16,0,SUM(X726:AI726))</f>
        <v/>
      </c>
      <c r="W726" s="136">
        <f>SUM(AK726:AR726)</f>
        <v/>
      </c>
      <c r="X726" s="136">
        <f>IF(E726=$X$6,1,"")</f>
        <v/>
      </c>
      <c r="Y726" s="136">
        <f>IF(E726=$Y$6,1,"")</f>
        <v/>
      </c>
      <c r="Z726" s="136">
        <f>IF(E726=$Z$6,1,"")</f>
        <v/>
      </c>
      <c r="AA726" s="136">
        <f>IF(E726=$AA$6,1,"")</f>
        <v/>
      </c>
      <c r="AB726" s="136">
        <f>IF(E726=$AB$6,1,"")</f>
        <v/>
      </c>
      <c r="AC726" s="136">
        <f>IF(E726=$AC$6,1,"")</f>
        <v/>
      </c>
      <c r="AD726" s="136">
        <f>IF(E726=$AD$6,1,"")</f>
        <v/>
      </c>
      <c r="AE726" s="136">
        <f>IF(E726=$AE$6,1,"")</f>
        <v/>
      </c>
      <c r="AF726" s="136">
        <f>IF(E726=$AF$6,1,"")</f>
        <v/>
      </c>
      <c r="AG726" s="136">
        <f>IF(E726=$AG$6,1,"")</f>
        <v/>
      </c>
      <c r="AH726" s="136">
        <f>IF(E726=$AH$6,1,"")</f>
        <v/>
      </c>
      <c r="AI726" s="136">
        <f>IF(E726=$AI$6,1,"")</f>
        <v/>
      </c>
      <c r="AJ726" s="136">
        <f>IF(E726=$AJ$6,1,"")</f>
        <v/>
      </c>
      <c r="AK726" s="81">
        <f>IF(E726=$AK$6,1,"")</f>
        <v/>
      </c>
      <c r="AL726" s="81">
        <f>IF(E726=$AL$6,1,"")</f>
        <v/>
      </c>
      <c r="AM726" s="81">
        <f>IF(E726=$AM$6,1,"")</f>
        <v/>
      </c>
      <c r="AN726" s="81">
        <f>IF(E726=$AN$6,1,"")</f>
        <v/>
      </c>
      <c r="AO726" s="81">
        <f>IF(E726=$AO$6,1,"")</f>
        <v/>
      </c>
      <c r="AP726" s="81">
        <f>IF(E726=$AP$6,1,"")</f>
        <v/>
      </c>
      <c r="AQ726" s="81">
        <f>IF(E726=$AQ$6,1,"")</f>
        <v/>
      </c>
      <c r="AR726" s="81">
        <f>IF(E726=$AR$6,1,"")</f>
        <v/>
      </c>
      <c r="AS726" s="81" t="n"/>
    </row>
    <row r="727" ht="15.75" customHeight="1" s="80">
      <c r="A727" s="157" t="n"/>
      <c r="B727" s="124" t="n"/>
      <c r="C727" s="125" t="n"/>
      <c r="D727" s="126" t="n"/>
      <c r="E727" s="127" t="n"/>
      <c r="F727" s="128" t="n"/>
      <c r="G727" s="129">
        <f>IF(F727="","",ROUND(F727/60,2))</f>
        <v/>
      </c>
      <c r="H727" s="130" t="n"/>
      <c r="I727" s="131" t="n"/>
      <c r="J727" s="131">
        <f>IF(COUNTIF(B727:E727,"*")=0,"",IF(T727=1,"Invalid Service",IF(AND(V727=1,F727=""),"Add Session Mins",IF(AND(E727&gt;0,H727="",T727=""),"Enter Contract Rate",IF(AND(E727="IEP mtg, prep, rept",F727&gt;0),(G727*H727),IF(AND(E727&gt;0,F727&gt;0,H727&gt;0,I727=""),"Enter Travel",IF(AND(F727&gt;0,I727="Y"),(G727*H727)+$M$10,IF(AND(F727&gt;0,I727="N"),(G727*H727),H727))))))))</f>
        <v/>
      </c>
      <c r="K727" s="132">
        <f>J727</f>
        <v/>
      </c>
      <c r="L727" s="148" t="n"/>
      <c r="M727" s="148" t="n"/>
      <c r="N727" s="148" t="n"/>
      <c r="O727" s="87" t="n"/>
      <c r="P727" s="81" t="n"/>
      <c r="Q727" s="81" t="n"/>
      <c r="R727" s="81" t="n"/>
      <c r="S727" s="81" t="n"/>
      <c r="T727" s="136">
        <f>IF(AND(E727&gt;0,U727=0),1,"")</f>
        <v/>
      </c>
      <c r="U727" s="136">
        <f>SUM(X727:AR727)</f>
        <v/>
      </c>
      <c r="V727" s="136">
        <f>IF(E727=$Q$16,0,SUM(X727:AI727))</f>
        <v/>
      </c>
      <c r="W727" s="136">
        <f>SUM(AK727:AR727)</f>
        <v/>
      </c>
      <c r="X727" s="136">
        <f>IF(E727=$X$6,1,"")</f>
        <v/>
      </c>
      <c r="Y727" s="136">
        <f>IF(E727=$Y$6,1,"")</f>
        <v/>
      </c>
      <c r="Z727" s="136">
        <f>IF(E727=$Z$6,1,"")</f>
        <v/>
      </c>
      <c r="AA727" s="136">
        <f>IF(E727=$AA$6,1,"")</f>
        <v/>
      </c>
      <c r="AB727" s="136">
        <f>IF(E727=$AB$6,1,"")</f>
        <v/>
      </c>
      <c r="AC727" s="136">
        <f>IF(E727=$AC$6,1,"")</f>
        <v/>
      </c>
      <c r="AD727" s="136">
        <f>IF(E727=$AD$6,1,"")</f>
        <v/>
      </c>
      <c r="AE727" s="136">
        <f>IF(E727=$AE$6,1,"")</f>
        <v/>
      </c>
      <c r="AF727" s="136">
        <f>IF(E727=$AF$6,1,"")</f>
        <v/>
      </c>
      <c r="AG727" s="136">
        <f>IF(E727=$AG$6,1,"")</f>
        <v/>
      </c>
      <c r="AH727" s="136">
        <f>IF(E727=$AH$6,1,"")</f>
        <v/>
      </c>
      <c r="AI727" s="136">
        <f>IF(E727=$AI$6,1,"")</f>
        <v/>
      </c>
      <c r="AJ727" s="136">
        <f>IF(E727=$AJ$6,1,"")</f>
        <v/>
      </c>
      <c r="AK727" s="81">
        <f>IF(E727=$AK$6,1,"")</f>
        <v/>
      </c>
      <c r="AL727" s="81">
        <f>IF(E727=$AL$6,1,"")</f>
        <v/>
      </c>
      <c r="AM727" s="81">
        <f>IF(E727=$AM$6,1,"")</f>
        <v/>
      </c>
      <c r="AN727" s="81">
        <f>IF(E727=$AN$6,1,"")</f>
        <v/>
      </c>
      <c r="AO727" s="81">
        <f>IF(E727=$AO$6,1,"")</f>
        <v/>
      </c>
      <c r="AP727" s="81">
        <f>IF(E727=$AP$6,1,"")</f>
        <v/>
      </c>
      <c r="AQ727" s="81">
        <f>IF(E727=$AQ$6,1,"")</f>
        <v/>
      </c>
      <c r="AR727" s="81">
        <f>IF(E727=$AR$6,1,"")</f>
        <v/>
      </c>
      <c r="AS727" s="81" t="n"/>
    </row>
    <row r="728" ht="15.75" customHeight="1" s="80">
      <c r="A728" s="157" t="n"/>
      <c r="B728" s="124" t="n"/>
      <c r="C728" s="125" t="n"/>
      <c r="D728" s="126" t="n"/>
      <c r="E728" s="127" t="n"/>
      <c r="F728" s="128" t="n"/>
      <c r="G728" s="129">
        <f>IF(F728="","",ROUND(F728/60,2))</f>
        <v/>
      </c>
      <c r="H728" s="130" t="n"/>
      <c r="I728" s="131" t="n"/>
      <c r="J728" s="131">
        <f>IF(COUNTIF(B728:E728,"*")=0,"",IF(T728=1,"Invalid Service",IF(AND(V728=1,F728=""),"Add Session Mins",IF(AND(E728&gt;0,H728="",T728=""),"Enter Contract Rate",IF(AND(E728="IEP mtg, prep, rept",F728&gt;0),(G728*H728),IF(AND(E728&gt;0,F728&gt;0,H728&gt;0,I728=""),"Enter Travel",IF(AND(F728&gt;0,I728="Y"),(G728*H728)+$M$10,IF(AND(F728&gt;0,I728="N"),(G728*H728),H728))))))))</f>
        <v/>
      </c>
      <c r="K728" s="132">
        <f>J728</f>
        <v/>
      </c>
      <c r="L728" s="148" t="n"/>
      <c r="M728" s="148" t="n"/>
      <c r="N728" s="148" t="n"/>
      <c r="O728" s="87" t="n"/>
      <c r="P728" s="81" t="n"/>
      <c r="Q728" s="81" t="n"/>
      <c r="R728" s="81" t="n"/>
      <c r="S728" s="81" t="n"/>
      <c r="T728" s="136">
        <f>IF(AND(E728&gt;0,U728=0),1,"")</f>
        <v/>
      </c>
      <c r="U728" s="136">
        <f>SUM(X728:AR728)</f>
        <v/>
      </c>
      <c r="V728" s="136">
        <f>IF(E728=$Q$16,0,SUM(X728:AI728))</f>
        <v/>
      </c>
      <c r="W728" s="136">
        <f>SUM(AK728:AR728)</f>
        <v/>
      </c>
      <c r="X728" s="136">
        <f>IF(E728=$X$6,1,"")</f>
        <v/>
      </c>
      <c r="Y728" s="136">
        <f>IF(E728=$Y$6,1,"")</f>
        <v/>
      </c>
      <c r="Z728" s="136">
        <f>IF(E728=$Z$6,1,"")</f>
        <v/>
      </c>
      <c r="AA728" s="136">
        <f>IF(E728=$AA$6,1,"")</f>
        <v/>
      </c>
      <c r="AB728" s="136">
        <f>IF(E728=$AB$6,1,"")</f>
        <v/>
      </c>
      <c r="AC728" s="136">
        <f>IF(E728=$AC$6,1,"")</f>
        <v/>
      </c>
      <c r="AD728" s="136">
        <f>IF(E728=$AD$6,1,"")</f>
        <v/>
      </c>
      <c r="AE728" s="136">
        <f>IF(E728=$AE$6,1,"")</f>
        <v/>
      </c>
      <c r="AF728" s="136">
        <f>IF(E728=$AF$6,1,"")</f>
        <v/>
      </c>
      <c r="AG728" s="136">
        <f>IF(E728=$AG$6,1,"")</f>
        <v/>
      </c>
      <c r="AH728" s="136">
        <f>IF(E728=$AH$6,1,"")</f>
        <v/>
      </c>
      <c r="AI728" s="136">
        <f>IF(E728=$AI$6,1,"")</f>
        <v/>
      </c>
      <c r="AJ728" s="136">
        <f>IF(E728=$AJ$6,1,"")</f>
        <v/>
      </c>
      <c r="AK728" s="81">
        <f>IF(E728=$AK$6,1,"")</f>
        <v/>
      </c>
      <c r="AL728" s="81">
        <f>IF(E728=$AL$6,1,"")</f>
        <v/>
      </c>
      <c r="AM728" s="81">
        <f>IF(E728=$AM$6,1,"")</f>
        <v/>
      </c>
      <c r="AN728" s="81">
        <f>IF(E728=$AN$6,1,"")</f>
        <v/>
      </c>
      <c r="AO728" s="81">
        <f>IF(E728=$AO$6,1,"")</f>
        <v/>
      </c>
      <c r="AP728" s="81">
        <f>IF(E728=$AP$6,1,"")</f>
        <v/>
      </c>
      <c r="AQ728" s="81">
        <f>IF(E728=$AQ$6,1,"")</f>
        <v/>
      </c>
      <c r="AR728" s="81">
        <f>IF(E728=$AR$6,1,"")</f>
        <v/>
      </c>
      <c r="AS728" s="81" t="n"/>
    </row>
    <row r="729" ht="15.75" customHeight="1" s="80">
      <c r="A729" s="157" t="n"/>
      <c r="B729" s="124" t="n"/>
      <c r="C729" s="125" t="n"/>
      <c r="D729" s="126" t="n"/>
      <c r="E729" s="127" t="n"/>
      <c r="F729" s="128" t="n"/>
      <c r="G729" s="129">
        <f>IF(F729="","",ROUND(F729/60,2))</f>
        <v/>
      </c>
      <c r="H729" s="130" t="n"/>
      <c r="I729" s="131" t="n"/>
      <c r="J729" s="131">
        <f>IF(COUNTIF(B729:E729,"*")=0,"",IF(T729=1,"Invalid Service",IF(AND(V729=1,F729=""),"Add Session Mins",IF(AND(E729&gt;0,H729="",T729=""),"Enter Contract Rate",IF(AND(E729="IEP mtg, prep, rept",F729&gt;0),(G729*H729),IF(AND(E729&gt;0,F729&gt;0,H729&gt;0,I729=""),"Enter Travel",IF(AND(F729&gt;0,I729="Y"),(G729*H729)+$M$10,IF(AND(F729&gt;0,I729="N"),(G729*H729),H729))))))))</f>
        <v/>
      </c>
      <c r="K729" s="132">
        <f>J729</f>
        <v/>
      </c>
      <c r="L729" s="148" t="n"/>
      <c r="M729" s="148" t="n"/>
      <c r="N729" s="148" t="n"/>
      <c r="O729" s="87" t="n"/>
      <c r="P729" s="81" t="n"/>
      <c r="Q729" s="81" t="n"/>
      <c r="R729" s="81" t="n"/>
      <c r="S729" s="81" t="n"/>
      <c r="T729" s="136">
        <f>IF(AND(E729&gt;0,U729=0),1,"")</f>
        <v/>
      </c>
      <c r="U729" s="136">
        <f>SUM(X729:AR729)</f>
        <v/>
      </c>
      <c r="V729" s="136">
        <f>IF(E729=$Q$16,0,SUM(X729:AI729))</f>
        <v/>
      </c>
      <c r="W729" s="136">
        <f>SUM(AK729:AR729)</f>
        <v/>
      </c>
      <c r="X729" s="136">
        <f>IF(E729=$X$6,1,"")</f>
        <v/>
      </c>
      <c r="Y729" s="136">
        <f>IF(E729=$Y$6,1,"")</f>
        <v/>
      </c>
      <c r="Z729" s="136">
        <f>IF(E729=$Z$6,1,"")</f>
        <v/>
      </c>
      <c r="AA729" s="136">
        <f>IF(E729=$AA$6,1,"")</f>
        <v/>
      </c>
      <c r="AB729" s="136">
        <f>IF(E729=$AB$6,1,"")</f>
        <v/>
      </c>
      <c r="AC729" s="136">
        <f>IF(E729=$AC$6,1,"")</f>
        <v/>
      </c>
      <c r="AD729" s="136">
        <f>IF(E729=$AD$6,1,"")</f>
        <v/>
      </c>
      <c r="AE729" s="136">
        <f>IF(E729=$AE$6,1,"")</f>
        <v/>
      </c>
      <c r="AF729" s="136">
        <f>IF(E729=$AF$6,1,"")</f>
        <v/>
      </c>
      <c r="AG729" s="136">
        <f>IF(E729=$AG$6,1,"")</f>
        <v/>
      </c>
      <c r="AH729" s="136">
        <f>IF(E729=$AH$6,1,"")</f>
        <v/>
      </c>
      <c r="AI729" s="136">
        <f>IF(E729=$AI$6,1,"")</f>
        <v/>
      </c>
      <c r="AJ729" s="136">
        <f>IF(E729=$AJ$6,1,"")</f>
        <v/>
      </c>
      <c r="AK729" s="81">
        <f>IF(E729=$AK$6,1,"")</f>
        <v/>
      </c>
      <c r="AL729" s="81">
        <f>IF(E729=$AL$6,1,"")</f>
        <v/>
      </c>
      <c r="AM729" s="81">
        <f>IF(E729=$AM$6,1,"")</f>
        <v/>
      </c>
      <c r="AN729" s="81">
        <f>IF(E729=$AN$6,1,"")</f>
        <v/>
      </c>
      <c r="AO729" s="81">
        <f>IF(E729=$AO$6,1,"")</f>
        <v/>
      </c>
      <c r="AP729" s="81">
        <f>IF(E729=$AP$6,1,"")</f>
        <v/>
      </c>
      <c r="AQ729" s="81">
        <f>IF(E729=$AQ$6,1,"")</f>
        <v/>
      </c>
      <c r="AR729" s="81">
        <f>IF(E729=$AR$6,1,"")</f>
        <v/>
      </c>
      <c r="AS729" s="81" t="n"/>
    </row>
    <row r="730" ht="15.75" customHeight="1" s="80">
      <c r="A730" s="157" t="n"/>
      <c r="B730" s="124" t="n"/>
      <c r="C730" s="125" t="n"/>
      <c r="D730" s="126" t="n"/>
      <c r="E730" s="127" t="n"/>
      <c r="F730" s="128" t="n"/>
      <c r="G730" s="129">
        <f>IF(F730="","",ROUND(F730/60,2))</f>
        <v/>
      </c>
      <c r="H730" s="130" t="n"/>
      <c r="I730" s="131" t="n"/>
      <c r="J730" s="131">
        <f>IF(COUNTIF(B730:E730,"*")=0,"",IF(T730=1,"Invalid Service",IF(AND(V730=1,F730=""),"Add Session Mins",IF(AND(E730&gt;0,H730="",T730=""),"Enter Contract Rate",IF(AND(E730="IEP mtg, prep, rept",F730&gt;0),(G730*H730),IF(AND(E730&gt;0,F730&gt;0,H730&gt;0,I730=""),"Enter Travel",IF(AND(F730&gt;0,I730="Y"),(G730*H730)+$M$10,IF(AND(F730&gt;0,I730="N"),(G730*H730),H730))))))))</f>
        <v/>
      </c>
      <c r="K730" s="132">
        <f>J730</f>
        <v/>
      </c>
      <c r="L730" s="148" t="n"/>
      <c r="M730" s="148" t="n"/>
      <c r="N730" s="148" t="n"/>
      <c r="O730" s="87" t="n"/>
      <c r="P730" s="81" t="n"/>
      <c r="Q730" s="81" t="n"/>
      <c r="R730" s="81" t="n"/>
      <c r="S730" s="81" t="n"/>
      <c r="T730" s="136">
        <f>IF(AND(E730&gt;0,U730=0),1,"")</f>
        <v/>
      </c>
      <c r="U730" s="136">
        <f>SUM(X730:AR730)</f>
        <v/>
      </c>
      <c r="V730" s="136">
        <f>IF(E730=$Q$16,0,SUM(X730:AI730))</f>
        <v/>
      </c>
      <c r="W730" s="136">
        <f>SUM(AK730:AR730)</f>
        <v/>
      </c>
      <c r="X730" s="136">
        <f>IF(E730=$X$6,1,"")</f>
        <v/>
      </c>
      <c r="Y730" s="136">
        <f>IF(E730=$Y$6,1,"")</f>
        <v/>
      </c>
      <c r="Z730" s="136">
        <f>IF(E730=$Z$6,1,"")</f>
        <v/>
      </c>
      <c r="AA730" s="136">
        <f>IF(E730=$AA$6,1,"")</f>
        <v/>
      </c>
      <c r="AB730" s="136">
        <f>IF(E730=$AB$6,1,"")</f>
        <v/>
      </c>
      <c r="AC730" s="136">
        <f>IF(E730=$AC$6,1,"")</f>
        <v/>
      </c>
      <c r="AD730" s="136">
        <f>IF(E730=$AD$6,1,"")</f>
        <v/>
      </c>
      <c r="AE730" s="136">
        <f>IF(E730=$AE$6,1,"")</f>
        <v/>
      </c>
      <c r="AF730" s="136">
        <f>IF(E730=$AF$6,1,"")</f>
        <v/>
      </c>
      <c r="AG730" s="136">
        <f>IF(E730=$AG$6,1,"")</f>
        <v/>
      </c>
      <c r="AH730" s="136">
        <f>IF(E730=$AH$6,1,"")</f>
        <v/>
      </c>
      <c r="AI730" s="136">
        <f>IF(E730=$AI$6,1,"")</f>
        <v/>
      </c>
      <c r="AJ730" s="136">
        <f>IF(E730=$AJ$6,1,"")</f>
        <v/>
      </c>
      <c r="AK730" s="81">
        <f>IF(E730=$AK$6,1,"")</f>
        <v/>
      </c>
      <c r="AL730" s="81">
        <f>IF(E730=$AL$6,1,"")</f>
        <v/>
      </c>
      <c r="AM730" s="81">
        <f>IF(E730=$AM$6,1,"")</f>
        <v/>
      </c>
      <c r="AN730" s="81">
        <f>IF(E730=$AN$6,1,"")</f>
        <v/>
      </c>
      <c r="AO730" s="81">
        <f>IF(E730=$AO$6,1,"")</f>
        <v/>
      </c>
      <c r="AP730" s="81">
        <f>IF(E730=$AP$6,1,"")</f>
        <v/>
      </c>
      <c r="AQ730" s="81">
        <f>IF(E730=$AQ$6,1,"")</f>
        <v/>
      </c>
      <c r="AR730" s="81">
        <f>IF(E730=$AR$6,1,"")</f>
        <v/>
      </c>
      <c r="AS730" s="81" t="n"/>
    </row>
    <row r="731" ht="15.75" customHeight="1" s="80">
      <c r="A731" s="157" t="n"/>
      <c r="B731" s="124" t="n"/>
      <c r="C731" s="125" t="n"/>
      <c r="D731" s="126" t="n"/>
      <c r="E731" s="127" t="n"/>
      <c r="F731" s="128" t="n"/>
      <c r="G731" s="129">
        <f>IF(F731="","",ROUND(F731/60,2))</f>
        <v/>
      </c>
      <c r="H731" s="130" t="n"/>
      <c r="I731" s="131" t="n"/>
      <c r="J731" s="131">
        <f>IF(COUNTIF(B731:E731,"*")=0,"",IF(T731=1,"Invalid Service",IF(AND(V731=1,F731=""),"Add Session Mins",IF(AND(E731&gt;0,H731="",T731=""),"Enter Contract Rate",IF(AND(E731="IEP mtg, prep, rept",F731&gt;0),(G731*H731),IF(AND(E731&gt;0,F731&gt;0,H731&gt;0,I731=""),"Enter Travel",IF(AND(F731&gt;0,I731="Y"),(G731*H731)+$M$10,IF(AND(F731&gt;0,I731="N"),(G731*H731),H731))))))))</f>
        <v/>
      </c>
      <c r="K731" s="132">
        <f>J731</f>
        <v/>
      </c>
      <c r="L731" s="148" t="n"/>
      <c r="M731" s="148" t="n"/>
      <c r="N731" s="148" t="n"/>
      <c r="O731" s="87" t="n"/>
      <c r="P731" s="81" t="n"/>
      <c r="Q731" s="81" t="n"/>
      <c r="R731" s="81" t="n"/>
      <c r="S731" s="81" t="n"/>
      <c r="T731" s="136">
        <f>IF(AND(E731&gt;0,U731=0),1,"")</f>
        <v/>
      </c>
      <c r="U731" s="136">
        <f>SUM(X731:AR731)</f>
        <v/>
      </c>
      <c r="V731" s="136">
        <f>IF(E731=$Q$16,0,SUM(X731:AI731))</f>
        <v/>
      </c>
      <c r="W731" s="136">
        <f>SUM(AK731:AR731)</f>
        <v/>
      </c>
      <c r="X731" s="136">
        <f>IF(E731=$X$6,1,"")</f>
        <v/>
      </c>
      <c r="Y731" s="136">
        <f>IF(E731=$Y$6,1,"")</f>
        <v/>
      </c>
      <c r="Z731" s="136">
        <f>IF(E731=$Z$6,1,"")</f>
        <v/>
      </c>
      <c r="AA731" s="136">
        <f>IF(E731=$AA$6,1,"")</f>
        <v/>
      </c>
      <c r="AB731" s="136">
        <f>IF(E731=$AB$6,1,"")</f>
        <v/>
      </c>
      <c r="AC731" s="136">
        <f>IF(E731=$AC$6,1,"")</f>
        <v/>
      </c>
      <c r="AD731" s="136">
        <f>IF(E731=$AD$6,1,"")</f>
        <v/>
      </c>
      <c r="AE731" s="136">
        <f>IF(E731=$AE$6,1,"")</f>
        <v/>
      </c>
      <c r="AF731" s="136">
        <f>IF(E731=$AF$6,1,"")</f>
        <v/>
      </c>
      <c r="AG731" s="136">
        <f>IF(E731=$AG$6,1,"")</f>
        <v/>
      </c>
      <c r="AH731" s="136">
        <f>IF(E731=$AH$6,1,"")</f>
        <v/>
      </c>
      <c r="AI731" s="136">
        <f>IF(E731=$AI$6,1,"")</f>
        <v/>
      </c>
      <c r="AJ731" s="136">
        <f>IF(E731=$AJ$6,1,"")</f>
        <v/>
      </c>
      <c r="AK731" s="81">
        <f>IF(E731=$AK$6,1,"")</f>
        <v/>
      </c>
      <c r="AL731" s="81">
        <f>IF(E731=$AL$6,1,"")</f>
        <v/>
      </c>
      <c r="AM731" s="81">
        <f>IF(E731=$AM$6,1,"")</f>
        <v/>
      </c>
      <c r="AN731" s="81">
        <f>IF(E731=$AN$6,1,"")</f>
        <v/>
      </c>
      <c r="AO731" s="81">
        <f>IF(E731=$AO$6,1,"")</f>
        <v/>
      </c>
      <c r="AP731" s="81">
        <f>IF(E731=$AP$6,1,"")</f>
        <v/>
      </c>
      <c r="AQ731" s="81">
        <f>IF(E731=$AQ$6,1,"")</f>
        <v/>
      </c>
      <c r="AR731" s="81">
        <f>IF(E731=$AR$6,1,"")</f>
        <v/>
      </c>
      <c r="AS731" s="81" t="n"/>
    </row>
    <row r="732" ht="15.75" customHeight="1" s="80">
      <c r="A732" s="157" t="n"/>
      <c r="B732" s="124" t="n"/>
      <c r="C732" s="125" t="n"/>
      <c r="D732" s="126" t="n"/>
      <c r="E732" s="127" t="n"/>
      <c r="F732" s="128" t="n"/>
      <c r="G732" s="129">
        <f>IF(F732="","",ROUND(F732/60,2))</f>
        <v/>
      </c>
      <c r="H732" s="130" t="n"/>
      <c r="I732" s="131" t="n"/>
      <c r="J732" s="131">
        <f>IF(COUNTIF(B732:E732,"*")=0,"",IF(T732=1,"Invalid Service",IF(AND(V732=1,F732=""),"Add Session Mins",IF(AND(E732&gt;0,H732="",T732=""),"Enter Contract Rate",IF(AND(E732="IEP mtg, prep, rept",F732&gt;0),(G732*H732),IF(AND(E732&gt;0,F732&gt;0,H732&gt;0,I732=""),"Enter Travel",IF(AND(F732&gt;0,I732="Y"),(G732*H732)+$M$10,IF(AND(F732&gt;0,I732="N"),(G732*H732),H732))))))))</f>
        <v/>
      </c>
      <c r="K732" s="132">
        <f>J732</f>
        <v/>
      </c>
      <c r="L732" s="148" t="n"/>
      <c r="M732" s="148" t="n"/>
      <c r="N732" s="148" t="n"/>
      <c r="O732" s="87" t="n"/>
      <c r="P732" s="81" t="n"/>
      <c r="Q732" s="81" t="n"/>
      <c r="R732" s="81" t="n"/>
      <c r="S732" s="81" t="n"/>
      <c r="T732" s="136">
        <f>IF(AND(E732&gt;0,U732=0),1,"")</f>
        <v/>
      </c>
      <c r="U732" s="136">
        <f>SUM(X732:AR732)</f>
        <v/>
      </c>
      <c r="V732" s="136">
        <f>IF(E732=$Q$16,0,SUM(X732:AI732))</f>
        <v/>
      </c>
      <c r="W732" s="136">
        <f>SUM(AK732:AR732)</f>
        <v/>
      </c>
      <c r="X732" s="136">
        <f>IF(E732=$X$6,1,"")</f>
        <v/>
      </c>
      <c r="Y732" s="136">
        <f>IF(E732=$Y$6,1,"")</f>
        <v/>
      </c>
      <c r="Z732" s="136">
        <f>IF(E732=$Z$6,1,"")</f>
        <v/>
      </c>
      <c r="AA732" s="136">
        <f>IF(E732=$AA$6,1,"")</f>
        <v/>
      </c>
      <c r="AB732" s="136">
        <f>IF(E732=$AB$6,1,"")</f>
        <v/>
      </c>
      <c r="AC732" s="136">
        <f>IF(E732=$AC$6,1,"")</f>
        <v/>
      </c>
      <c r="AD732" s="136">
        <f>IF(E732=$AD$6,1,"")</f>
        <v/>
      </c>
      <c r="AE732" s="136">
        <f>IF(E732=$AE$6,1,"")</f>
        <v/>
      </c>
      <c r="AF732" s="136">
        <f>IF(E732=$AF$6,1,"")</f>
        <v/>
      </c>
      <c r="AG732" s="136">
        <f>IF(E732=$AG$6,1,"")</f>
        <v/>
      </c>
      <c r="AH732" s="136">
        <f>IF(E732=$AH$6,1,"")</f>
        <v/>
      </c>
      <c r="AI732" s="136">
        <f>IF(E732=$AI$6,1,"")</f>
        <v/>
      </c>
      <c r="AJ732" s="136">
        <f>IF(E732=$AJ$6,1,"")</f>
        <v/>
      </c>
      <c r="AK732" s="81">
        <f>IF(E732=$AK$6,1,"")</f>
        <v/>
      </c>
      <c r="AL732" s="81">
        <f>IF(E732=$AL$6,1,"")</f>
        <v/>
      </c>
      <c r="AM732" s="81">
        <f>IF(E732=$AM$6,1,"")</f>
        <v/>
      </c>
      <c r="AN732" s="81">
        <f>IF(E732=$AN$6,1,"")</f>
        <v/>
      </c>
      <c r="AO732" s="81">
        <f>IF(E732=$AO$6,1,"")</f>
        <v/>
      </c>
      <c r="AP732" s="81">
        <f>IF(E732=$AP$6,1,"")</f>
        <v/>
      </c>
      <c r="AQ732" s="81">
        <f>IF(E732=$AQ$6,1,"")</f>
        <v/>
      </c>
      <c r="AR732" s="81">
        <f>IF(E732=$AR$6,1,"")</f>
        <v/>
      </c>
      <c r="AS732" s="81" t="n"/>
    </row>
    <row r="733" ht="15.75" customHeight="1" s="80">
      <c r="A733" s="157" t="n"/>
      <c r="B733" s="124" t="n"/>
      <c r="C733" s="125" t="n"/>
      <c r="D733" s="126" t="n"/>
      <c r="E733" s="127" t="n"/>
      <c r="F733" s="128" t="n"/>
      <c r="G733" s="129">
        <f>IF(F733="","",ROUND(F733/60,2))</f>
        <v/>
      </c>
      <c r="H733" s="130" t="n"/>
      <c r="I733" s="131" t="n"/>
      <c r="J733" s="131">
        <f>IF(COUNTIF(B733:E733,"*")=0,"",IF(T733=1,"Invalid Service",IF(AND(V733=1,F733=""),"Add Session Mins",IF(AND(E733&gt;0,H733="",T733=""),"Enter Contract Rate",IF(AND(E733="IEP mtg, prep, rept",F733&gt;0),(G733*H733),IF(AND(E733&gt;0,F733&gt;0,H733&gt;0,I733=""),"Enter Travel",IF(AND(F733&gt;0,I733="Y"),(G733*H733)+$M$10,IF(AND(F733&gt;0,I733="N"),(G733*H733),H733))))))))</f>
        <v/>
      </c>
      <c r="K733" s="132">
        <f>J733</f>
        <v/>
      </c>
      <c r="L733" s="148" t="n"/>
      <c r="M733" s="148" t="n"/>
      <c r="N733" s="148" t="n"/>
      <c r="O733" s="87" t="n"/>
      <c r="P733" s="81" t="n"/>
      <c r="Q733" s="81" t="n"/>
      <c r="R733" s="81" t="n"/>
      <c r="S733" s="81" t="n"/>
      <c r="T733" s="136">
        <f>IF(AND(E733&gt;0,U733=0),1,"")</f>
        <v/>
      </c>
      <c r="U733" s="136">
        <f>SUM(X733:AR733)</f>
        <v/>
      </c>
      <c r="V733" s="136">
        <f>IF(E733=$Q$16,0,SUM(X733:AI733))</f>
        <v/>
      </c>
      <c r="W733" s="136">
        <f>SUM(AK733:AR733)</f>
        <v/>
      </c>
      <c r="X733" s="136">
        <f>IF(E733=$X$6,1,"")</f>
        <v/>
      </c>
      <c r="Y733" s="136">
        <f>IF(E733=$Y$6,1,"")</f>
        <v/>
      </c>
      <c r="Z733" s="136">
        <f>IF(E733=$Z$6,1,"")</f>
        <v/>
      </c>
      <c r="AA733" s="136">
        <f>IF(E733=$AA$6,1,"")</f>
        <v/>
      </c>
      <c r="AB733" s="136">
        <f>IF(E733=$AB$6,1,"")</f>
        <v/>
      </c>
      <c r="AC733" s="136">
        <f>IF(E733=$AC$6,1,"")</f>
        <v/>
      </c>
      <c r="AD733" s="136">
        <f>IF(E733=$AD$6,1,"")</f>
        <v/>
      </c>
      <c r="AE733" s="136">
        <f>IF(E733=$AE$6,1,"")</f>
        <v/>
      </c>
      <c r="AF733" s="136">
        <f>IF(E733=$AF$6,1,"")</f>
        <v/>
      </c>
      <c r="AG733" s="136">
        <f>IF(E733=$AG$6,1,"")</f>
        <v/>
      </c>
      <c r="AH733" s="136">
        <f>IF(E733=$AH$6,1,"")</f>
        <v/>
      </c>
      <c r="AI733" s="136">
        <f>IF(E733=$AI$6,1,"")</f>
        <v/>
      </c>
      <c r="AJ733" s="136">
        <f>IF(E733=$AJ$6,1,"")</f>
        <v/>
      </c>
      <c r="AK733" s="81">
        <f>IF(E733=$AK$6,1,"")</f>
        <v/>
      </c>
      <c r="AL733" s="81">
        <f>IF(E733=$AL$6,1,"")</f>
        <v/>
      </c>
      <c r="AM733" s="81">
        <f>IF(E733=$AM$6,1,"")</f>
        <v/>
      </c>
      <c r="AN733" s="81">
        <f>IF(E733=$AN$6,1,"")</f>
        <v/>
      </c>
      <c r="AO733" s="81">
        <f>IF(E733=$AO$6,1,"")</f>
        <v/>
      </c>
      <c r="AP733" s="81">
        <f>IF(E733=$AP$6,1,"")</f>
        <v/>
      </c>
      <c r="AQ733" s="81">
        <f>IF(E733=$AQ$6,1,"")</f>
        <v/>
      </c>
      <c r="AR733" s="81">
        <f>IF(E733=$AR$6,1,"")</f>
        <v/>
      </c>
      <c r="AS733" s="81" t="n"/>
    </row>
    <row r="734" ht="15.75" customHeight="1" s="80">
      <c r="A734" s="157" t="n"/>
      <c r="B734" s="124" t="n"/>
      <c r="C734" s="125" t="n"/>
      <c r="D734" s="126" t="n"/>
      <c r="E734" s="127" t="n"/>
      <c r="F734" s="128" t="n"/>
      <c r="G734" s="129">
        <f>IF(F734="","",ROUND(F734/60,2))</f>
        <v/>
      </c>
      <c r="H734" s="130" t="n"/>
      <c r="I734" s="131" t="n"/>
      <c r="J734" s="131">
        <f>IF(COUNTIF(B734:E734,"*")=0,"",IF(T734=1,"Invalid Service",IF(AND(V734=1,F734=""),"Add Session Mins",IF(AND(E734&gt;0,H734="",T734=""),"Enter Contract Rate",IF(AND(E734="IEP mtg, prep, rept",F734&gt;0),(G734*H734),IF(AND(E734&gt;0,F734&gt;0,H734&gt;0,I734=""),"Enter Travel",IF(AND(F734&gt;0,I734="Y"),(G734*H734)+$M$10,IF(AND(F734&gt;0,I734="N"),(G734*H734),H734))))))))</f>
        <v/>
      </c>
      <c r="K734" s="132">
        <f>J734</f>
        <v/>
      </c>
      <c r="L734" s="148" t="n"/>
      <c r="M734" s="148" t="n"/>
      <c r="N734" s="148" t="n"/>
      <c r="O734" s="87" t="n"/>
      <c r="P734" s="81" t="n"/>
      <c r="Q734" s="81" t="n"/>
      <c r="R734" s="81" t="n"/>
      <c r="S734" s="81" t="n"/>
      <c r="T734" s="136">
        <f>IF(AND(E734&gt;0,U734=0),1,"")</f>
        <v/>
      </c>
      <c r="U734" s="136">
        <f>SUM(X734:AR734)</f>
        <v/>
      </c>
      <c r="V734" s="136">
        <f>IF(E734=$Q$16,0,SUM(X734:AI734))</f>
        <v/>
      </c>
      <c r="W734" s="136">
        <f>SUM(AK734:AR734)</f>
        <v/>
      </c>
      <c r="X734" s="136">
        <f>IF(E734=$X$6,1,"")</f>
        <v/>
      </c>
      <c r="Y734" s="136">
        <f>IF(E734=$Y$6,1,"")</f>
        <v/>
      </c>
      <c r="Z734" s="136">
        <f>IF(E734=$Z$6,1,"")</f>
        <v/>
      </c>
      <c r="AA734" s="136">
        <f>IF(E734=$AA$6,1,"")</f>
        <v/>
      </c>
      <c r="AB734" s="136">
        <f>IF(E734=$AB$6,1,"")</f>
        <v/>
      </c>
      <c r="AC734" s="136">
        <f>IF(E734=$AC$6,1,"")</f>
        <v/>
      </c>
      <c r="AD734" s="136">
        <f>IF(E734=$AD$6,1,"")</f>
        <v/>
      </c>
      <c r="AE734" s="136">
        <f>IF(E734=$AE$6,1,"")</f>
        <v/>
      </c>
      <c r="AF734" s="136">
        <f>IF(E734=$AF$6,1,"")</f>
        <v/>
      </c>
      <c r="AG734" s="136">
        <f>IF(E734=$AG$6,1,"")</f>
        <v/>
      </c>
      <c r="AH734" s="136">
        <f>IF(E734=$AH$6,1,"")</f>
        <v/>
      </c>
      <c r="AI734" s="136">
        <f>IF(E734=$AI$6,1,"")</f>
        <v/>
      </c>
      <c r="AJ734" s="136">
        <f>IF(E734=$AJ$6,1,"")</f>
        <v/>
      </c>
      <c r="AK734" s="81">
        <f>IF(E734=$AK$6,1,"")</f>
        <v/>
      </c>
      <c r="AL734" s="81">
        <f>IF(E734=$AL$6,1,"")</f>
        <v/>
      </c>
      <c r="AM734" s="81">
        <f>IF(E734=$AM$6,1,"")</f>
        <v/>
      </c>
      <c r="AN734" s="81">
        <f>IF(E734=$AN$6,1,"")</f>
        <v/>
      </c>
      <c r="AO734" s="81">
        <f>IF(E734=$AO$6,1,"")</f>
        <v/>
      </c>
      <c r="AP734" s="81">
        <f>IF(E734=$AP$6,1,"")</f>
        <v/>
      </c>
      <c r="AQ734" s="81">
        <f>IF(E734=$AQ$6,1,"")</f>
        <v/>
      </c>
      <c r="AR734" s="81">
        <f>IF(E734=$AR$6,1,"")</f>
        <v/>
      </c>
      <c r="AS734" s="81" t="n"/>
    </row>
    <row r="735" ht="15.75" customHeight="1" s="80">
      <c r="A735" s="157" t="n"/>
      <c r="B735" s="124" t="n"/>
      <c r="C735" s="125" t="n"/>
      <c r="D735" s="126" t="n"/>
      <c r="E735" s="127" t="n"/>
      <c r="F735" s="128" t="n"/>
      <c r="G735" s="129">
        <f>IF(F735="","",ROUND(F735/60,2))</f>
        <v/>
      </c>
      <c r="H735" s="130" t="n"/>
      <c r="I735" s="131" t="n"/>
      <c r="J735" s="131">
        <f>IF(COUNTIF(B735:E735,"*")=0,"",IF(T735=1,"Invalid Service",IF(AND(V735=1,F735=""),"Add Session Mins",IF(AND(E735&gt;0,H735="",T735=""),"Enter Contract Rate",IF(AND(E735="IEP mtg, prep, rept",F735&gt;0),(G735*H735),IF(AND(E735&gt;0,F735&gt;0,H735&gt;0,I735=""),"Enter Travel",IF(AND(F735&gt;0,I735="Y"),(G735*H735)+$M$10,IF(AND(F735&gt;0,I735="N"),(G735*H735),H735))))))))</f>
        <v/>
      </c>
      <c r="K735" s="132">
        <f>J735</f>
        <v/>
      </c>
      <c r="L735" s="148" t="n"/>
      <c r="M735" s="148" t="n"/>
      <c r="N735" s="148" t="n"/>
      <c r="O735" s="87" t="n"/>
      <c r="P735" s="81" t="n"/>
      <c r="Q735" s="81" t="n"/>
      <c r="R735" s="81" t="n"/>
      <c r="S735" s="81" t="n"/>
      <c r="T735" s="136">
        <f>IF(AND(E735&gt;0,U735=0),1,"")</f>
        <v/>
      </c>
      <c r="U735" s="136">
        <f>SUM(X735:AR735)</f>
        <v/>
      </c>
      <c r="V735" s="136">
        <f>IF(E735=$Q$16,0,SUM(X735:AI735))</f>
        <v/>
      </c>
      <c r="W735" s="136">
        <f>SUM(AK735:AR735)</f>
        <v/>
      </c>
      <c r="X735" s="136">
        <f>IF(E735=$X$6,1,"")</f>
        <v/>
      </c>
      <c r="Y735" s="136">
        <f>IF(E735=$Y$6,1,"")</f>
        <v/>
      </c>
      <c r="Z735" s="136">
        <f>IF(E735=$Z$6,1,"")</f>
        <v/>
      </c>
      <c r="AA735" s="136">
        <f>IF(E735=$AA$6,1,"")</f>
        <v/>
      </c>
      <c r="AB735" s="136">
        <f>IF(E735=$AB$6,1,"")</f>
        <v/>
      </c>
      <c r="AC735" s="136">
        <f>IF(E735=$AC$6,1,"")</f>
        <v/>
      </c>
      <c r="AD735" s="136">
        <f>IF(E735=$AD$6,1,"")</f>
        <v/>
      </c>
      <c r="AE735" s="136">
        <f>IF(E735=$AE$6,1,"")</f>
        <v/>
      </c>
      <c r="AF735" s="136">
        <f>IF(E735=$AF$6,1,"")</f>
        <v/>
      </c>
      <c r="AG735" s="136">
        <f>IF(E735=$AG$6,1,"")</f>
        <v/>
      </c>
      <c r="AH735" s="136">
        <f>IF(E735=$AH$6,1,"")</f>
        <v/>
      </c>
      <c r="AI735" s="136">
        <f>IF(E735=$AI$6,1,"")</f>
        <v/>
      </c>
      <c r="AJ735" s="136">
        <f>IF(E735=$AJ$6,1,"")</f>
        <v/>
      </c>
      <c r="AK735" s="81">
        <f>IF(E735=$AK$6,1,"")</f>
        <v/>
      </c>
      <c r="AL735" s="81">
        <f>IF(E735=$AL$6,1,"")</f>
        <v/>
      </c>
      <c r="AM735" s="81">
        <f>IF(E735=$AM$6,1,"")</f>
        <v/>
      </c>
      <c r="AN735" s="81">
        <f>IF(E735=$AN$6,1,"")</f>
        <v/>
      </c>
      <c r="AO735" s="81">
        <f>IF(E735=$AO$6,1,"")</f>
        <v/>
      </c>
      <c r="AP735" s="81">
        <f>IF(E735=$AP$6,1,"")</f>
        <v/>
      </c>
      <c r="AQ735" s="81">
        <f>IF(E735=$AQ$6,1,"")</f>
        <v/>
      </c>
      <c r="AR735" s="81">
        <f>IF(E735=$AR$6,1,"")</f>
        <v/>
      </c>
      <c r="AS735" s="81" t="n"/>
    </row>
    <row r="736" ht="15.75" customHeight="1" s="80">
      <c r="A736" s="157" t="n"/>
      <c r="B736" s="124" t="n"/>
      <c r="C736" s="125" t="n"/>
      <c r="D736" s="126" t="n"/>
      <c r="E736" s="127" t="n"/>
      <c r="F736" s="128" t="n"/>
      <c r="G736" s="129">
        <f>IF(F736="","",ROUND(F736/60,2))</f>
        <v/>
      </c>
      <c r="H736" s="130" t="n"/>
      <c r="I736" s="131" t="n"/>
      <c r="J736" s="131">
        <f>IF(COUNTIF(B736:E736,"*")=0,"",IF(T736=1,"Invalid Service",IF(AND(V736=1,F736=""),"Add Session Mins",IF(AND(E736&gt;0,H736="",T736=""),"Enter Contract Rate",IF(AND(E736="IEP mtg, prep, rept",F736&gt;0),(G736*H736),IF(AND(E736&gt;0,F736&gt;0,H736&gt;0,I736=""),"Enter Travel",IF(AND(F736&gt;0,I736="Y"),(G736*H736)+$M$10,IF(AND(F736&gt;0,I736="N"),(G736*H736),H736))))))))</f>
        <v/>
      </c>
      <c r="K736" s="132">
        <f>J736</f>
        <v/>
      </c>
      <c r="L736" s="148" t="n"/>
      <c r="M736" s="148" t="n"/>
      <c r="N736" s="148" t="n"/>
      <c r="O736" s="87" t="n"/>
      <c r="P736" s="81" t="n"/>
      <c r="Q736" s="81" t="n"/>
      <c r="R736" s="81" t="n"/>
      <c r="S736" s="81" t="n"/>
      <c r="T736" s="136">
        <f>IF(AND(E736&gt;0,U736=0),1,"")</f>
        <v/>
      </c>
      <c r="U736" s="136">
        <f>SUM(X736:AR736)</f>
        <v/>
      </c>
      <c r="V736" s="136">
        <f>IF(E736=$Q$16,0,SUM(X736:AI736))</f>
        <v/>
      </c>
      <c r="W736" s="136">
        <f>SUM(AK736:AR736)</f>
        <v/>
      </c>
      <c r="X736" s="136">
        <f>IF(E736=$X$6,1,"")</f>
        <v/>
      </c>
      <c r="Y736" s="136">
        <f>IF(E736=$Y$6,1,"")</f>
        <v/>
      </c>
      <c r="Z736" s="136">
        <f>IF(E736=$Z$6,1,"")</f>
        <v/>
      </c>
      <c r="AA736" s="136">
        <f>IF(E736=$AA$6,1,"")</f>
        <v/>
      </c>
      <c r="AB736" s="136">
        <f>IF(E736=$AB$6,1,"")</f>
        <v/>
      </c>
      <c r="AC736" s="136">
        <f>IF(E736=$AC$6,1,"")</f>
        <v/>
      </c>
      <c r="AD736" s="136">
        <f>IF(E736=$AD$6,1,"")</f>
        <v/>
      </c>
      <c r="AE736" s="136">
        <f>IF(E736=$AE$6,1,"")</f>
        <v/>
      </c>
      <c r="AF736" s="136">
        <f>IF(E736=$AF$6,1,"")</f>
        <v/>
      </c>
      <c r="AG736" s="136">
        <f>IF(E736=$AG$6,1,"")</f>
        <v/>
      </c>
      <c r="AH736" s="136">
        <f>IF(E736=$AH$6,1,"")</f>
        <v/>
      </c>
      <c r="AI736" s="136">
        <f>IF(E736=$AI$6,1,"")</f>
        <v/>
      </c>
      <c r="AJ736" s="136">
        <f>IF(E736=$AJ$6,1,"")</f>
        <v/>
      </c>
      <c r="AK736" s="81">
        <f>IF(E736=$AK$6,1,"")</f>
        <v/>
      </c>
      <c r="AL736" s="81">
        <f>IF(E736=$AL$6,1,"")</f>
        <v/>
      </c>
      <c r="AM736" s="81">
        <f>IF(E736=$AM$6,1,"")</f>
        <v/>
      </c>
      <c r="AN736" s="81">
        <f>IF(E736=$AN$6,1,"")</f>
        <v/>
      </c>
      <c r="AO736" s="81">
        <f>IF(E736=$AO$6,1,"")</f>
        <v/>
      </c>
      <c r="AP736" s="81">
        <f>IF(E736=$AP$6,1,"")</f>
        <v/>
      </c>
      <c r="AQ736" s="81">
        <f>IF(E736=$AQ$6,1,"")</f>
        <v/>
      </c>
      <c r="AR736" s="81">
        <f>IF(E736=$AR$6,1,"")</f>
        <v/>
      </c>
      <c r="AS736" s="81" t="n"/>
    </row>
    <row r="737" ht="15.75" customHeight="1" s="80">
      <c r="A737" s="157" t="n"/>
      <c r="B737" s="124" t="n"/>
      <c r="C737" s="125" t="n"/>
      <c r="D737" s="126" t="n"/>
      <c r="E737" s="127" t="n"/>
      <c r="F737" s="128" t="n"/>
      <c r="G737" s="129">
        <f>IF(F737="","",ROUND(F737/60,2))</f>
        <v/>
      </c>
      <c r="H737" s="130" t="n"/>
      <c r="I737" s="131" t="n"/>
      <c r="J737" s="131">
        <f>IF(COUNTIF(B737:E737,"*")=0,"",IF(T737=1,"Invalid Service",IF(AND(V737=1,F737=""),"Add Session Mins",IF(AND(E737&gt;0,H737="",T737=""),"Enter Contract Rate",IF(AND(E737="IEP mtg, prep, rept",F737&gt;0),(G737*H737),IF(AND(E737&gt;0,F737&gt;0,H737&gt;0,I737=""),"Enter Travel",IF(AND(F737&gt;0,I737="Y"),(G737*H737)+$M$10,IF(AND(F737&gt;0,I737="N"),(G737*H737),H737))))))))</f>
        <v/>
      </c>
      <c r="K737" s="132">
        <f>J737</f>
        <v/>
      </c>
      <c r="L737" s="148" t="n"/>
      <c r="M737" s="148" t="n"/>
      <c r="N737" s="148" t="n"/>
      <c r="O737" s="87" t="n"/>
      <c r="P737" s="81" t="n"/>
      <c r="Q737" s="81" t="n"/>
      <c r="R737" s="81" t="n"/>
      <c r="S737" s="81" t="n"/>
      <c r="T737" s="136">
        <f>IF(AND(E737&gt;0,U737=0),1,"")</f>
        <v/>
      </c>
      <c r="U737" s="136">
        <f>SUM(X737:AR737)</f>
        <v/>
      </c>
      <c r="V737" s="136">
        <f>IF(E737=$Q$16,0,SUM(X737:AI737))</f>
        <v/>
      </c>
      <c r="W737" s="136">
        <f>SUM(AK737:AR737)</f>
        <v/>
      </c>
      <c r="X737" s="136">
        <f>IF(E737=$X$6,1,"")</f>
        <v/>
      </c>
      <c r="Y737" s="136">
        <f>IF(E737=$Y$6,1,"")</f>
        <v/>
      </c>
      <c r="Z737" s="136">
        <f>IF(E737=$Z$6,1,"")</f>
        <v/>
      </c>
      <c r="AA737" s="136">
        <f>IF(E737=$AA$6,1,"")</f>
        <v/>
      </c>
      <c r="AB737" s="136">
        <f>IF(E737=$AB$6,1,"")</f>
        <v/>
      </c>
      <c r="AC737" s="136">
        <f>IF(E737=$AC$6,1,"")</f>
        <v/>
      </c>
      <c r="AD737" s="136">
        <f>IF(E737=$AD$6,1,"")</f>
        <v/>
      </c>
      <c r="AE737" s="136">
        <f>IF(E737=$AE$6,1,"")</f>
        <v/>
      </c>
      <c r="AF737" s="136">
        <f>IF(E737=$AF$6,1,"")</f>
        <v/>
      </c>
      <c r="AG737" s="136">
        <f>IF(E737=$AG$6,1,"")</f>
        <v/>
      </c>
      <c r="AH737" s="136">
        <f>IF(E737=$AH$6,1,"")</f>
        <v/>
      </c>
      <c r="AI737" s="136">
        <f>IF(E737=$AI$6,1,"")</f>
        <v/>
      </c>
      <c r="AJ737" s="136">
        <f>IF(E737=$AJ$6,1,"")</f>
        <v/>
      </c>
      <c r="AK737" s="81">
        <f>IF(E737=$AK$6,1,"")</f>
        <v/>
      </c>
      <c r="AL737" s="81">
        <f>IF(E737=$AL$6,1,"")</f>
        <v/>
      </c>
      <c r="AM737" s="81">
        <f>IF(E737=$AM$6,1,"")</f>
        <v/>
      </c>
      <c r="AN737" s="81">
        <f>IF(E737=$AN$6,1,"")</f>
        <v/>
      </c>
      <c r="AO737" s="81">
        <f>IF(E737=$AO$6,1,"")</f>
        <v/>
      </c>
      <c r="AP737" s="81">
        <f>IF(E737=$AP$6,1,"")</f>
        <v/>
      </c>
      <c r="AQ737" s="81">
        <f>IF(E737=$AQ$6,1,"")</f>
        <v/>
      </c>
      <c r="AR737" s="81">
        <f>IF(E737=$AR$6,1,"")</f>
        <v/>
      </c>
      <c r="AS737" s="81" t="n"/>
    </row>
    <row r="738" ht="15.75" customHeight="1" s="80">
      <c r="A738" s="157" t="n"/>
      <c r="B738" s="124" t="n"/>
      <c r="C738" s="125" t="n"/>
      <c r="D738" s="126" t="n"/>
      <c r="E738" s="127" t="n"/>
      <c r="F738" s="128" t="n"/>
      <c r="G738" s="129">
        <f>IF(F738="","",ROUND(F738/60,2))</f>
        <v/>
      </c>
      <c r="H738" s="130" t="n"/>
      <c r="I738" s="131" t="n"/>
      <c r="J738" s="131">
        <f>IF(COUNTIF(B738:E738,"*")=0,"",IF(T738=1,"Invalid Service",IF(AND(V738=1,F738=""),"Add Session Mins",IF(AND(E738&gt;0,H738="",T738=""),"Enter Contract Rate",IF(AND(E738="IEP mtg, prep, rept",F738&gt;0),(G738*H738),IF(AND(E738&gt;0,F738&gt;0,H738&gt;0,I738=""),"Enter Travel",IF(AND(F738&gt;0,I738="Y"),(G738*H738)+$M$10,IF(AND(F738&gt;0,I738="N"),(G738*H738),H738))))))))</f>
        <v/>
      </c>
      <c r="K738" s="132">
        <f>J738</f>
        <v/>
      </c>
      <c r="L738" s="148" t="n"/>
      <c r="M738" s="148" t="n"/>
      <c r="N738" s="148" t="n"/>
      <c r="O738" s="87" t="n"/>
      <c r="P738" s="81" t="n"/>
      <c r="Q738" s="81" t="n"/>
      <c r="R738" s="81" t="n"/>
      <c r="S738" s="81" t="n"/>
      <c r="T738" s="136">
        <f>IF(AND(E738&gt;0,U738=0),1,"")</f>
        <v/>
      </c>
      <c r="U738" s="136">
        <f>SUM(X738:AR738)</f>
        <v/>
      </c>
      <c r="V738" s="136">
        <f>IF(E738=$Q$16,0,SUM(X738:AI738))</f>
        <v/>
      </c>
      <c r="W738" s="136">
        <f>SUM(AK738:AR738)</f>
        <v/>
      </c>
      <c r="X738" s="136">
        <f>IF(E738=$X$6,1,"")</f>
        <v/>
      </c>
      <c r="Y738" s="136">
        <f>IF(E738=$Y$6,1,"")</f>
        <v/>
      </c>
      <c r="Z738" s="136">
        <f>IF(E738=$Z$6,1,"")</f>
        <v/>
      </c>
      <c r="AA738" s="136">
        <f>IF(E738=$AA$6,1,"")</f>
        <v/>
      </c>
      <c r="AB738" s="136">
        <f>IF(E738=$AB$6,1,"")</f>
        <v/>
      </c>
      <c r="AC738" s="136">
        <f>IF(E738=$AC$6,1,"")</f>
        <v/>
      </c>
      <c r="AD738" s="136">
        <f>IF(E738=$AD$6,1,"")</f>
        <v/>
      </c>
      <c r="AE738" s="136">
        <f>IF(E738=$AE$6,1,"")</f>
        <v/>
      </c>
      <c r="AF738" s="136">
        <f>IF(E738=$AF$6,1,"")</f>
        <v/>
      </c>
      <c r="AG738" s="136">
        <f>IF(E738=$AG$6,1,"")</f>
        <v/>
      </c>
      <c r="AH738" s="136">
        <f>IF(E738=$AH$6,1,"")</f>
        <v/>
      </c>
      <c r="AI738" s="136">
        <f>IF(E738=$AI$6,1,"")</f>
        <v/>
      </c>
      <c r="AJ738" s="136">
        <f>IF(E738=$AJ$6,1,"")</f>
        <v/>
      </c>
      <c r="AK738" s="81">
        <f>IF(E738=$AK$6,1,"")</f>
        <v/>
      </c>
      <c r="AL738" s="81">
        <f>IF(E738=$AL$6,1,"")</f>
        <v/>
      </c>
      <c r="AM738" s="81">
        <f>IF(E738=$AM$6,1,"")</f>
        <v/>
      </c>
      <c r="AN738" s="81">
        <f>IF(E738=$AN$6,1,"")</f>
        <v/>
      </c>
      <c r="AO738" s="81">
        <f>IF(E738=$AO$6,1,"")</f>
        <v/>
      </c>
      <c r="AP738" s="81">
        <f>IF(E738=$AP$6,1,"")</f>
        <v/>
      </c>
      <c r="AQ738" s="81">
        <f>IF(E738=$AQ$6,1,"")</f>
        <v/>
      </c>
      <c r="AR738" s="81">
        <f>IF(E738=$AR$6,1,"")</f>
        <v/>
      </c>
      <c r="AS738" s="81" t="n"/>
    </row>
    <row r="739" ht="15.75" customHeight="1" s="80">
      <c r="A739" s="157" t="n"/>
      <c r="B739" s="124" t="n"/>
      <c r="C739" s="125" t="n"/>
      <c r="D739" s="126" t="n"/>
      <c r="E739" s="127" t="n"/>
      <c r="F739" s="128" t="n"/>
      <c r="G739" s="129">
        <f>IF(F739="","",ROUND(F739/60,2))</f>
        <v/>
      </c>
      <c r="H739" s="130" t="n"/>
      <c r="I739" s="131" t="n"/>
      <c r="J739" s="131">
        <f>IF(COUNTIF(B739:E739,"*")=0,"",IF(T739=1,"Invalid Service",IF(AND(V739=1,F739=""),"Add Session Mins",IF(AND(E739&gt;0,H739="",T739=""),"Enter Contract Rate",IF(AND(E739="IEP mtg, prep, rept",F739&gt;0),(G739*H739),IF(AND(E739&gt;0,F739&gt;0,H739&gt;0,I739=""),"Enter Travel",IF(AND(F739&gt;0,I739="Y"),(G739*H739)+$M$10,IF(AND(F739&gt;0,I739="N"),(G739*H739),H739))))))))</f>
        <v/>
      </c>
      <c r="K739" s="132">
        <f>J739</f>
        <v/>
      </c>
      <c r="L739" s="148" t="n"/>
      <c r="M739" s="148" t="n"/>
      <c r="N739" s="148" t="n"/>
      <c r="O739" s="87" t="n"/>
      <c r="P739" s="81" t="n"/>
      <c r="Q739" s="81" t="n"/>
      <c r="R739" s="81" t="n"/>
      <c r="S739" s="81" t="n"/>
      <c r="T739" s="136">
        <f>IF(AND(E739&gt;0,U739=0),1,"")</f>
        <v/>
      </c>
      <c r="U739" s="136">
        <f>SUM(X739:AR739)</f>
        <v/>
      </c>
      <c r="V739" s="136">
        <f>IF(E739=$Q$16,0,SUM(X739:AI739))</f>
        <v/>
      </c>
      <c r="W739" s="136">
        <f>SUM(AK739:AR739)</f>
        <v/>
      </c>
      <c r="X739" s="136">
        <f>IF(E739=$X$6,1,"")</f>
        <v/>
      </c>
      <c r="Y739" s="136">
        <f>IF(E739=$Y$6,1,"")</f>
        <v/>
      </c>
      <c r="Z739" s="136">
        <f>IF(E739=$Z$6,1,"")</f>
        <v/>
      </c>
      <c r="AA739" s="136">
        <f>IF(E739=$AA$6,1,"")</f>
        <v/>
      </c>
      <c r="AB739" s="136">
        <f>IF(E739=$AB$6,1,"")</f>
        <v/>
      </c>
      <c r="AC739" s="136">
        <f>IF(E739=$AC$6,1,"")</f>
        <v/>
      </c>
      <c r="AD739" s="136">
        <f>IF(E739=$AD$6,1,"")</f>
        <v/>
      </c>
      <c r="AE739" s="136">
        <f>IF(E739=$AE$6,1,"")</f>
        <v/>
      </c>
      <c r="AF739" s="136">
        <f>IF(E739=$AF$6,1,"")</f>
        <v/>
      </c>
      <c r="AG739" s="136">
        <f>IF(E739=$AG$6,1,"")</f>
        <v/>
      </c>
      <c r="AH739" s="136">
        <f>IF(E739=$AH$6,1,"")</f>
        <v/>
      </c>
      <c r="AI739" s="136">
        <f>IF(E739=$AI$6,1,"")</f>
        <v/>
      </c>
      <c r="AJ739" s="136">
        <f>IF(E739=$AJ$6,1,"")</f>
        <v/>
      </c>
      <c r="AK739" s="81">
        <f>IF(E739=$AK$6,1,"")</f>
        <v/>
      </c>
      <c r="AL739" s="81">
        <f>IF(E739=$AL$6,1,"")</f>
        <v/>
      </c>
      <c r="AM739" s="81">
        <f>IF(E739=$AM$6,1,"")</f>
        <v/>
      </c>
      <c r="AN739" s="81">
        <f>IF(E739=$AN$6,1,"")</f>
        <v/>
      </c>
      <c r="AO739" s="81">
        <f>IF(E739=$AO$6,1,"")</f>
        <v/>
      </c>
      <c r="AP739" s="81">
        <f>IF(E739=$AP$6,1,"")</f>
        <v/>
      </c>
      <c r="AQ739" s="81">
        <f>IF(E739=$AQ$6,1,"")</f>
        <v/>
      </c>
      <c r="AR739" s="81">
        <f>IF(E739=$AR$6,1,"")</f>
        <v/>
      </c>
      <c r="AS739" s="81" t="n"/>
    </row>
    <row r="740" ht="15.75" customHeight="1" s="80">
      <c r="A740" s="157" t="n"/>
      <c r="B740" s="124" t="n"/>
      <c r="C740" s="125" t="n"/>
      <c r="D740" s="126" t="n"/>
      <c r="E740" s="127" t="n"/>
      <c r="F740" s="128" t="n"/>
      <c r="G740" s="129">
        <f>IF(F740="","",ROUND(F740/60,2))</f>
        <v/>
      </c>
      <c r="H740" s="130" t="n"/>
      <c r="I740" s="131" t="n"/>
      <c r="J740" s="131">
        <f>IF(COUNTIF(B740:E740,"*")=0,"",IF(T740=1,"Invalid Service",IF(AND(V740=1,F740=""),"Add Session Mins",IF(AND(E740&gt;0,H740="",T740=""),"Enter Contract Rate",IF(AND(E740="IEP mtg, prep, rept",F740&gt;0),(G740*H740),IF(AND(E740&gt;0,F740&gt;0,H740&gt;0,I740=""),"Enter Travel",IF(AND(F740&gt;0,I740="Y"),(G740*H740)+$M$10,IF(AND(F740&gt;0,I740="N"),(G740*H740),H740))))))))</f>
        <v/>
      </c>
      <c r="K740" s="132">
        <f>J740</f>
        <v/>
      </c>
      <c r="L740" s="148" t="n"/>
      <c r="M740" s="148" t="n"/>
      <c r="N740" s="148" t="n"/>
      <c r="O740" s="87" t="n"/>
      <c r="P740" s="81" t="n"/>
      <c r="Q740" s="81" t="n"/>
      <c r="R740" s="81" t="n"/>
      <c r="S740" s="81" t="n"/>
      <c r="T740" s="136">
        <f>IF(AND(E740&gt;0,U740=0),1,"")</f>
        <v/>
      </c>
      <c r="U740" s="136">
        <f>SUM(X740:AR740)</f>
        <v/>
      </c>
      <c r="V740" s="136">
        <f>IF(E740=$Q$16,0,SUM(X740:AI740))</f>
        <v/>
      </c>
      <c r="W740" s="136">
        <f>SUM(AK740:AR740)</f>
        <v/>
      </c>
      <c r="X740" s="136">
        <f>IF(E740=$X$6,1,"")</f>
        <v/>
      </c>
      <c r="Y740" s="136">
        <f>IF(E740=$Y$6,1,"")</f>
        <v/>
      </c>
      <c r="Z740" s="136">
        <f>IF(E740=$Z$6,1,"")</f>
        <v/>
      </c>
      <c r="AA740" s="136">
        <f>IF(E740=$AA$6,1,"")</f>
        <v/>
      </c>
      <c r="AB740" s="136">
        <f>IF(E740=$AB$6,1,"")</f>
        <v/>
      </c>
      <c r="AC740" s="136">
        <f>IF(E740=$AC$6,1,"")</f>
        <v/>
      </c>
      <c r="AD740" s="136">
        <f>IF(E740=$AD$6,1,"")</f>
        <v/>
      </c>
      <c r="AE740" s="136">
        <f>IF(E740=$AE$6,1,"")</f>
        <v/>
      </c>
      <c r="AF740" s="136">
        <f>IF(E740=$AF$6,1,"")</f>
        <v/>
      </c>
      <c r="AG740" s="136">
        <f>IF(E740=$AG$6,1,"")</f>
        <v/>
      </c>
      <c r="AH740" s="136">
        <f>IF(E740=$AH$6,1,"")</f>
        <v/>
      </c>
      <c r="AI740" s="136">
        <f>IF(E740=$AI$6,1,"")</f>
        <v/>
      </c>
      <c r="AJ740" s="136">
        <f>IF(E740=$AJ$6,1,"")</f>
        <v/>
      </c>
      <c r="AK740" s="81">
        <f>IF(E740=$AK$6,1,"")</f>
        <v/>
      </c>
      <c r="AL740" s="81">
        <f>IF(E740=$AL$6,1,"")</f>
        <v/>
      </c>
      <c r="AM740" s="81">
        <f>IF(E740=$AM$6,1,"")</f>
        <v/>
      </c>
      <c r="AN740" s="81">
        <f>IF(E740=$AN$6,1,"")</f>
        <v/>
      </c>
      <c r="AO740" s="81">
        <f>IF(E740=$AO$6,1,"")</f>
        <v/>
      </c>
      <c r="AP740" s="81">
        <f>IF(E740=$AP$6,1,"")</f>
        <v/>
      </c>
      <c r="AQ740" s="81">
        <f>IF(E740=$AQ$6,1,"")</f>
        <v/>
      </c>
      <c r="AR740" s="81">
        <f>IF(E740=$AR$6,1,"")</f>
        <v/>
      </c>
      <c r="AS740" s="81" t="n"/>
    </row>
    <row r="741" ht="15.75" customHeight="1" s="80">
      <c r="A741" s="157" t="n"/>
      <c r="B741" s="124" t="n"/>
      <c r="C741" s="125" t="n"/>
      <c r="D741" s="126" t="n"/>
      <c r="E741" s="127" t="n"/>
      <c r="F741" s="128" t="n"/>
      <c r="G741" s="129">
        <f>IF(F741="","",ROUND(F741/60,2))</f>
        <v/>
      </c>
      <c r="H741" s="130" t="n"/>
      <c r="I741" s="131" t="n"/>
      <c r="J741" s="131">
        <f>IF(COUNTIF(B741:E741,"*")=0,"",IF(T741=1,"Invalid Service",IF(AND(V741=1,F741=""),"Add Session Mins",IF(AND(E741&gt;0,H741="",T741=""),"Enter Contract Rate",IF(AND(E741="IEP mtg, prep, rept",F741&gt;0),(G741*H741),IF(AND(E741&gt;0,F741&gt;0,H741&gt;0,I741=""),"Enter Travel",IF(AND(F741&gt;0,I741="Y"),(G741*H741)+$M$10,IF(AND(F741&gt;0,I741="N"),(G741*H741),H741))))))))</f>
        <v/>
      </c>
      <c r="K741" s="132">
        <f>J741</f>
        <v/>
      </c>
      <c r="L741" s="148" t="n"/>
      <c r="M741" s="148" t="n"/>
      <c r="N741" s="148" t="n"/>
      <c r="O741" s="87" t="n"/>
      <c r="P741" s="81" t="n"/>
      <c r="Q741" s="81" t="n"/>
      <c r="R741" s="81" t="n"/>
      <c r="S741" s="81" t="n"/>
      <c r="T741" s="136">
        <f>IF(AND(E741&gt;0,U741=0),1,"")</f>
        <v/>
      </c>
      <c r="U741" s="136">
        <f>SUM(X741:AR741)</f>
        <v/>
      </c>
      <c r="V741" s="136">
        <f>IF(E741=$Q$16,0,SUM(X741:AI741))</f>
        <v/>
      </c>
      <c r="W741" s="136">
        <f>SUM(AK741:AR741)</f>
        <v/>
      </c>
      <c r="X741" s="136">
        <f>IF(E741=$X$6,1,"")</f>
        <v/>
      </c>
      <c r="Y741" s="136">
        <f>IF(E741=$Y$6,1,"")</f>
        <v/>
      </c>
      <c r="Z741" s="136">
        <f>IF(E741=$Z$6,1,"")</f>
        <v/>
      </c>
      <c r="AA741" s="136">
        <f>IF(E741=$AA$6,1,"")</f>
        <v/>
      </c>
      <c r="AB741" s="136">
        <f>IF(E741=$AB$6,1,"")</f>
        <v/>
      </c>
      <c r="AC741" s="136">
        <f>IF(E741=$AC$6,1,"")</f>
        <v/>
      </c>
      <c r="AD741" s="136">
        <f>IF(E741=$AD$6,1,"")</f>
        <v/>
      </c>
      <c r="AE741" s="136">
        <f>IF(E741=$AE$6,1,"")</f>
        <v/>
      </c>
      <c r="AF741" s="136">
        <f>IF(E741=$AF$6,1,"")</f>
        <v/>
      </c>
      <c r="AG741" s="136">
        <f>IF(E741=$AG$6,1,"")</f>
        <v/>
      </c>
      <c r="AH741" s="136">
        <f>IF(E741=$AH$6,1,"")</f>
        <v/>
      </c>
      <c r="AI741" s="136">
        <f>IF(E741=$AI$6,1,"")</f>
        <v/>
      </c>
      <c r="AJ741" s="136">
        <f>IF(E741=$AJ$6,1,"")</f>
        <v/>
      </c>
      <c r="AK741" s="81">
        <f>IF(E741=$AK$6,1,"")</f>
        <v/>
      </c>
      <c r="AL741" s="81">
        <f>IF(E741=$AL$6,1,"")</f>
        <v/>
      </c>
      <c r="AM741" s="81">
        <f>IF(E741=$AM$6,1,"")</f>
        <v/>
      </c>
      <c r="AN741" s="81">
        <f>IF(E741=$AN$6,1,"")</f>
        <v/>
      </c>
      <c r="AO741" s="81">
        <f>IF(E741=$AO$6,1,"")</f>
        <v/>
      </c>
      <c r="AP741" s="81">
        <f>IF(E741=$AP$6,1,"")</f>
        <v/>
      </c>
      <c r="AQ741" s="81">
        <f>IF(E741=$AQ$6,1,"")</f>
        <v/>
      </c>
      <c r="AR741" s="81">
        <f>IF(E741=$AR$6,1,"")</f>
        <v/>
      </c>
      <c r="AS741" s="81" t="n"/>
    </row>
    <row r="742" ht="15.75" customHeight="1" s="80">
      <c r="A742" s="157" t="n"/>
      <c r="B742" s="124" t="n"/>
      <c r="C742" s="125" t="n"/>
      <c r="D742" s="126" t="n"/>
      <c r="E742" s="127" t="n"/>
      <c r="F742" s="128" t="n"/>
      <c r="G742" s="129">
        <f>IF(F742="","",ROUND(F742/60,2))</f>
        <v/>
      </c>
      <c r="H742" s="130" t="n"/>
      <c r="I742" s="131" t="n"/>
      <c r="J742" s="131">
        <f>IF(COUNTIF(B742:E742,"*")=0,"",IF(T742=1,"Invalid Service",IF(AND(V742=1,F742=""),"Add Session Mins",IF(AND(E742&gt;0,H742="",T742=""),"Enter Contract Rate",IF(AND(E742="IEP mtg, prep, rept",F742&gt;0),(G742*H742),IF(AND(E742&gt;0,F742&gt;0,H742&gt;0,I742=""),"Enter Travel",IF(AND(F742&gt;0,I742="Y"),(G742*H742)+$M$10,IF(AND(F742&gt;0,I742="N"),(G742*H742),H742))))))))</f>
        <v/>
      </c>
      <c r="K742" s="132">
        <f>J742</f>
        <v/>
      </c>
      <c r="L742" s="148" t="n"/>
      <c r="M742" s="148" t="n"/>
      <c r="N742" s="148" t="n"/>
      <c r="O742" s="87" t="n"/>
      <c r="P742" s="81" t="n"/>
      <c r="Q742" s="81" t="n"/>
      <c r="R742" s="81" t="n"/>
      <c r="S742" s="81" t="n"/>
      <c r="T742" s="136">
        <f>IF(AND(E742&gt;0,U742=0),1,"")</f>
        <v/>
      </c>
      <c r="U742" s="136">
        <f>SUM(X742:AR742)</f>
        <v/>
      </c>
      <c r="V742" s="136">
        <f>IF(E742=$Q$16,0,SUM(X742:AI742))</f>
        <v/>
      </c>
      <c r="W742" s="136">
        <f>SUM(AK742:AR742)</f>
        <v/>
      </c>
      <c r="X742" s="136">
        <f>IF(E742=$X$6,1,"")</f>
        <v/>
      </c>
      <c r="Y742" s="136">
        <f>IF(E742=$Y$6,1,"")</f>
        <v/>
      </c>
      <c r="Z742" s="136">
        <f>IF(E742=$Z$6,1,"")</f>
        <v/>
      </c>
      <c r="AA742" s="136">
        <f>IF(E742=$AA$6,1,"")</f>
        <v/>
      </c>
      <c r="AB742" s="136">
        <f>IF(E742=$AB$6,1,"")</f>
        <v/>
      </c>
      <c r="AC742" s="136">
        <f>IF(E742=$AC$6,1,"")</f>
        <v/>
      </c>
      <c r="AD742" s="136">
        <f>IF(E742=$AD$6,1,"")</f>
        <v/>
      </c>
      <c r="AE742" s="136">
        <f>IF(E742=$AE$6,1,"")</f>
        <v/>
      </c>
      <c r="AF742" s="136">
        <f>IF(E742=$AF$6,1,"")</f>
        <v/>
      </c>
      <c r="AG742" s="136">
        <f>IF(E742=$AG$6,1,"")</f>
        <v/>
      </c>
      <c r="AH742" s="136">
        <f>IF(E742=$AH$6,1,"")</f>
        <v/>
      </c>
      <c r="AI742" s="136">
        <f>IF(E742=$AI$6,1,"")</f>
        <v/>
      </c>
      <c r="AJ742" s="136">
        <f>IF(E742=$AJ$6,1,"")</f>
        <v/>
      </c>
      <c r="AK742" s="81">
        <f>IF(E742=$AK$6,1,"")</f>
        <v/>
      </c>
      <c r="AL742" s="81">
        <f>IF(E742=$AL$6,1,"")</f>
        <v/>
      </c>
      <c r="AM742" s="81">
        <f>IF(E742=$AM$6,1,"")</f>
        <v/>
      </c>
      <c r="AN742" s="81">
        <f>IF(E742=$AN$6,1,"")</f>
        <v/>
      </c>
      <c r="AO742" s="81">
        <f>IF(E742=$AO$6,1,"")</f>
        <v/>
      </c>
      <c r="AP742" s="81">
        <f>IF(E742=$AP$6,1,"")</f>
        <v/>
      </c>
      <c r="AQ742" s="81">
        <f>IF(E742=$AQ$6,1,"")</f>
        <v/>
      </c>
      <c r="AR742" s="81">
        <f>IF(E742=$AR$6,1,"")</f>
        <v/>
      </c>
      <c r="AS742" s="81" t="n"/>
    </row>
    <row r="743" ht="15.75" customHeight="1" s="80">
      <c r="A743" s="157" t="n"/>
      <c r="B743" s="124" t="n"/>
      <c r="C743" s="125" t="n"/>
      <c r="D743" s="126" t="n"/>
      <c r="E743" s="127" t="n"/>
      <c r="F743" s="128" t="n"/>
      <c r="G743" s="129">
        <f>IF(F743="","",ROUND(F743/60,2))</f>
        <v/>
      </c>
      <c r="H743" s="130" t="n"/>
      <c r="I743" s="131" t="n"/>
      <c r="J743" s="131">
        <f>IF(COUNTIF(B743:E743,"*")=0,"",IF(T743=1,"Invalid Service",IF(AND(V743=1,F743=""),"Add Session Mins",IF(AND(E743&gt;0,H743="",T743=""),"Enter Contract Rate",IF(AND(E743="IEP mtg, prep, rept",F743&gt;0),(G743*H743),IF(AND(E743&gt;0,F743&gt;0,H743&gt;0,I743=""),"Enter Travel",IF(AND(F743&gt;0,I743="Y"),(G743*H743)+$M$10,IF(AND(F743&gt;0,I743="N"),(G743*H743),H743))))))))</f>
        <v/>
      </c>
      <c r="K743" s="132">
        <f>J743</f>
        <v/>
      </c>
      <c r="L743" s="148" t="n"/>
      <c r="M743" s="148" t="n"/>
      <c r="N743" s="148" t="n"/>
      <c r="O743" s="87" t="n"/>
      <c r="P743" s="81" t="n"/>
      <c r="Q743" s="81" t="n"/>
      <c r="R743" s="81" t="n"/>
      <c r="S743" s="81" t="n"/>
      <c r="T743" s="136">
        <f>IF(AND(E743&gt;0,U743=0),1,"")</f>
        <v/>
      </c>
      <c r="U743" s="136">
        <f>SUM(X743:AR743)</f>
        <v/>
      </c>
      <c r="V743" s="136">
        <f>IF(E743=$Q$16,0,SUM(X743:AI743))</f>
        <v/>
      </c>
      <c r="W743" s="136">
        <f>SUM(AK743:AR743)</f>
        <v/>
      </c>
      <c r="X743" s="136">
        <f>IF(E743=$X$6,1,"")</f>
        <v/>
      </c>
      <c r="Y743" s="136">
        <f>IF(E743=$Y$6,1,"")</f>
        <v/>
      </c>
      <c r="Z743" s="136">
        <f>IF(E743=$Z$6,1,"")</f>
        <v/>
      </c>
      <c r="AA743" s="136">
        <f>IF(E743=$AA$6,1,"")</f>
        <v/>
      </c>
      <c r="AB743" s="136">
        <f>IF(E743=$AB$6,1,"")</f>
        <v/>
      </c>
      <c r="AC743" s="136">
        <f>IF(E743=$AC$6,1,"")</f>
        <v/>
      </c>
      <c r="AD743" s="136">
        <f>IF(E743=$AD$6,1,"")</f>
        <v/>
      </c>
      <c r="AE743" s="136">
        <f>IF(E743=$AE$6,1,"")</f>
        <v/>
      </c>
      <c r="AF743" s="136">
        <f>IF(E743=$AF$6,1,"")</f>
        <v/>
      </c>
      <c r="AG743" s="136">
        <f>IF(E743=$AG$6,1,"")</f>
        <v/>
      </c>
      <c r="AH743" s="136">
        <f>IF(E743=$AH$6,1,"")</f>
        <v/>
      </c>
      <c r="AI743" s="136">
        <f>IF(E743=$AI$6,1,"")</f>
        <v/>
      </c>
      <c r="AJ743" s="136">
        <f>IF(E743=$AJ$6,1,"")</f>
        <v/>
      </c>
      <c r="AK743" s="81">
        <f>IF(E743=$AK$6,1,"")</f>
        <v/>
      </c>
      <c r="AL743" s="81">
        <f>IF(E743=$AL$6,1,"")</f>
        <v/>
      </c>
      <c r="AM743" s="81">
        <f>IF(E743=$AM$6,1,"")</f>
        <v/>
      </c>
      <c r="AN743" s="81">
        <f>IF(E743=$AN$6,1,"")</f>
        <v/>
      </c>
      <c r="AO743" s="81">
        <f>IF(E743=$AO$6,1,"")</f>
        <v/>
      </c>
      <c r="AP743" s="81">
        <f>IF(E743=$AP$6,1,"")</f>
        <v/>
      </c>
      <c r="AQ743" s="81">
        <f>IF(E743=$AQ$6,1,"")</f>
        <v/>
      </c>
      <c r="AR743" s="81">
        <f>IF(E743=$AR$6,1,"")</f>
        <v/>
      </c>
      <c r="AS743" s="81" t="n"/>
    </row>
    <row r="744" ht="15.75" customHeight="1" s="80">
      <c r="A744" s="157" t="n"/>
      <c r="B744" s="124" t="n"/>
      <c r="C744" s="125" t="n"/>
      <c r="D744" s="126" t="n"/>
      <c r="E744" s="127" t="n"/>
      <c r="F744" s="128" t="n"/>
      <c r="G744" s="129">
        <f>IF(F744="","",ROUND(F744/60,2))</f>
        <v/>
      </c>
      <c r="H744" s="130" t="n"/>
      <c r="I744" s="131" t="n"/>
      <c r="J744" s="131">
        <f>IF(COUNTIF(B744:E744,"*")=0,"",IF(T744=1,"Invalid Service",IF(AND(V744=1,F744=""),"Add Session Mins",IF(AND(E744&gt;0,H744="",T744=""),"Enter Contract Rate",IF(AND(E744="IEP mtg, prep, rept",F744&gt;0),(G744*H744),IF(AND(E744&gt;0,F744&gt;0,H744&gt;0,I744=""),"Enter Travel",IF(AND(F744&gt;0,I744="Y"),(G744*H744)+$M$10,IF(AND(F744&gt;0,I744="N"),(G744*H744),H744))))))))</f>
        <v/>
      </c>
      <c r="K744" s="132">
        <f>J744</f>
        <v/>
      </c>
      <c r="L744" s="148" t="n"/>
      <c r="M744" s="148" t="n"/>
      <c r="N744" s="148" t="n"/>
      <c r="O744" s="87" t="n"/>
      <c r="P744" s="81" t="n"/>
      <c r="Q744" s="81" t="n"/>
      <c r="R744" s="81" t="n"/>
      <c r="S744" s="81" t="n"/>
      <c r="T744" s="136">
        <f>IF(AND(E744&gt;0,U744=0),1,"")</f>
        <v/>
      </c>
      <c r="U744" s="136">
        <f>SUM(X744:AR744)</f>
        <v/>
      </c>
      <c r="V744" s="136">
        <f>IF(E744=$Q$16,0,SUM(X744:AI744))</f>
        <v/>
      </c>
      <c r="W744" s="136">
        <f>SUM(AK744:AR744)</f>
        <v/>
      </c>
      <c r="X744" s="136">
        <f>IF(E744=$X$6,1,"")</f>
        <v/>
      </c>
      <c r="Y744" s="136">
        <f>IF(E744=$Y$6,1,"")</f>
        <v/>
      </c>
      <c r="Z744" s="136">
        <f>IF(E744=$Z$6,1,"")</f>
        <v/>
      </c>
      <c r="AA744" s="136">
        <f>IF(E744=$AA$6,1,"")</f>
        <v/>
      </c>
      <c r="AB744" s="136">
        <f>IF(E744=$AB$6,1,"")</f>
        <v/>
      </c>
      <c r="AC744" s="136">
        <f>IF(E744=$AC$6,1,"")</f>
        <v/>
      </c>
      <c r="AD744" s="136">
        <f>IF(E744=$AD$6,1,"")</f>
        <v/>
      </c>
      <c r="AE744" s="136">
        <f>IF(E744=$AE$6,1,"")</f>
        <v/>
      </c>
      <c r="AF744" s="136">
        <f>IF(E744=$AF$6,1,"")</f>
        <v/>
      </c>
      <c r="AG744" s="136">
        <f>IF(E744=$AG$6,1,"")</f>
        <v/>
      </c>
      <c r="AH744" s="136">
        <f>IF(E744=$AH$6,1,"")</f>
        <v/>
      </c>
      <c r="AI744" s="136">
        <f>IF(E744=$AI$6,1,"")</f>
        <v/>
      </c>
      <c r="AJ744" s="136">
        <f>IF(E744=$AJ$6,1,"")</f>
        <v/>
      </c>
      <c r="AK744" s="81">
        <f>IF(E744=$AK$6,1,"")</f>
        <v/>
      </c>
      <c r="AL744" s="81">
        <f>IF(E744=$AL$6,1,"")</f>
        <v/>
      </c>
      <c r="AM744" s="81">
        <f>IF(E744=$AM$6,1,"")</f>
        <v/>
      </c>
      <c r="AN744" s="81">
        <f>IF(E744=$AN$6,1,"")</f>
        <v/>
      </c>
      <c r="AO744" s="81">
        <f>IF(E744=$AO$6,1,"")</f>
        <v/>
      </c>
      <c r="AP744" s="81">
        <f>IF(E744=$AP$6,1,"")</f>
        <v/>
      </c>
      <c r="AQ744" s="81">
        <f>IF(E744=$AQ$6,1,"")</f>
        <v/>
      </c>
      <c r="AR744" s="81">
        <f>IF(E744=$AR$6,1,"")</f>
        <v/>
      </c>
      <c r="AS744" s="81" t="n"/>
    </row>
    <row r="745" ht="15.75" customHeight="1" s="80">
      <c r="A745" s="157" t="n"/>
      <c r="B745" s="124" t="n"/>
      <c r="C745" s="125" t="n"/>
      <c r="D745" s="126" t="n"/>
      <c r="E745" s="127" t="n"/>
      <c r="F745" s="128" t="n"/>
      <c r="G745" s="129">
        <f>IF(F745="","",ROUND(F745/60,2))</f>
        <v/>
      </c>
      <c r="H745" s="130" t="n"/>
      <c r="I745" s="131" t="n"/>
      <c r="J745" s="131">
        <f>IF(COUNTIF(B745:E745,"*")=0,"",IF(T745=1,"Invalid Service",IF(AND(V745=1,F745=""),"Add Session Mins",IF(AND(E745&gt;0,H745="",T745=""),"Enter Contract Rate",IF(AND(E745="IEP mtg, prep, rept",F745&gt;0),(G745*H745),IF(AND(E745&gt;0,F745&gt;0,H745&gt;0,I745=""),"Enter Travel",IF(AND(F745&gt;0,I745="Y"),(G745*H745)+$M$10,IF(AND(F745&gt;0,I745="N"),(G745*H745),H745))))))))</f>
        <v/>
      </c>
      <c r="K745" s="132">
        <f>J745</f>
        <v/>
      </c>
      <c r="L745" s="148" t="n"/>
      <c r="M745" s="148" t="n"/>
      <c r="N745" s="148" t="n"/>
      <c r="O745" s="87" t="n"/>
      <c r="P745" s="81" t="n"/>
      <c r="Q745" s="81" t="n"/>
      <c r="R745" s="81" t="n"/>
      <c r="S745" s="81" t="n"/>
      <c r="T745" s="136">
        <f>IF(AND(E745&gt;0,U745=0),1,"")</f>
        <v/>
      </c>
      <c r="U745" s="136">
        <f>SUM(X745:AR745)</f>
        <v/>
      </c>
      <c r="V745" s="136">
        <f>IF(E745=$Q$16,0,SUM(X745:AI745))</f>
        <v/>
      </c>
      <c r="W745" s="136">
        <f>SUM(AK745:AR745)</f>
        <v/>
      </c>
      <c r="X745" s="136">
        <f>IF(E745=$X$6,1,"")</f>
        <v/>
      </c>
      <c r="Y745" s="136">
        <f>IF(E745=$Y$6,1,"")</f>
        <v/>
      </c>
      <c r="Z745" s="136">
        <f>IF(E745=$Z$6,1,"")</f>
        <v/>
      </c>
      <c r="AA745" s="136">
        <f>IF(E745=$AA$6,1,"")</f>
        <v/>
      </c>
      <c r="AB745" s="136">
        <f>IF(E745=$AB$6,1,"")</f>
        <v/>
      </c>
      <c r="AC745" s="136">
        <f>IF(E745=$AC$6,1,"")</f>
        <v/>
      </c>
      <c r="AD745" s="136">
        <f>IF(E745=$AD$6,1,"")</f>
        <v/>
      </c>
      <c r="AE745" s="136">
        <f>IF(E745=$AE$6,1,"")</f>
        <v/>
      </c>
      <c r="AF745" s="136">
        <f>IF(E745=$AF$6,1,"")</f>
        <v/>
      </c>
      <c r="AG745" s="136">
        <f>IF(E745=$AG$6,1,"")</f>
        <v/>
      </c>
      <c r="AH745" s="136">
        <f>IF(E745=$AH$6,1,"")</f>
        <v/>
      </c>
      <c r="AI745" s="136">
        <f>IF(E745=$AI$6,1,"")</f>
        <v/>
      </c>
      <c r="AJ745" s="136">
        <f>IF(E745=$AJ$6,1,"")</f>
        <v/>
      </c>
      <c r="AK745" s="81">
        <f>IF(E745=$AK$6,1,"")</f>
        <v/>
      </c>
      <c r="AL745" s="81">
        <f>IF(E745=$AL$6,1,"")</f>
        <v/>
      </c>
      <c r="AM745" s="81">
        <f>IF(E745=$AM$6,1,"")</f>
        <v/>
      </c>
      <c r="AN745" s="81">
        <f>IF(E745=$AN$6,1,"")</f>
        <v/>
      </c>
      <c r="AO745" s="81">
        <f>IF(E745=$AO$6,1,"")</f>
        <v/>
      </c>
      <c r="AP745" s="81">
        <f>IF(E745=$AP$6,1,"")</f>
        <v/>
      </c>
      <c r="AQ745" s="81">
        <f>IF(E745=$AQ$6,1,"")</f>
        <v/>
      </c>
      <c r="AR745" s="81">
        <f>IF(E745=$AR$6,1,"")</f>
        <v/>
      </c>
      <c r="AS745" s="81" t="n"/>
    </row>
    <row r="746" ht="15.75" customHeight="1" s="80">
      <c r="A746" s="157" t="n"/>
      <c r="B746" s="124" t="n"/>
      <c r="C746" s="125" t="n"/>
      <c r="D746" s="126" t="n"/>
      <c r="E746" s="127" t="n"/>
      <c r="F746" s="128" t="n"/>
      <c r="G746" s="129">
        <f>IF(F746="","",ROUND(F746/60,2))</f>
        <v/>
      </c>
      <c r="H746" s="130" t="n"/>
      <c r="I746" s="131" t="n"/>
      <c r="J746" s="131">
        <f>IF(COUNTIF(B746:E746,"*")=0,"",IF(T746=1,"Invalid Service",IF(AND(V746=1,F746=""),"Add Session Mins",IF(AND(E746&gt;0,H746="",T746=""),"Enter Contract Rate",IF(AND(E746="IEP mtg, prep, rept",F746&gt;0),(G746*H746),IF(AND(E746&gt;0,F746&gt;0,H746&gt;0,I746=""),"Enter Travel",IF(AND(F746&gt;0,I746="Y"),(G746*H746)+$M$10,IF(AND(F746&gt;0,I746="N"),(G746*H746),H746))))))))</f>
        <v/>
      </c>
      <c r="K746" s="132">
        <f>J746</f>
        <v/>
      </c>
      <c r="L746" s="148" t="n"/>
      <c r="M746" s="148" t="n"/>
      <c r="N746" s="148" t="n"/>
      <c r="O746" s="87" t="n"/>
      <c r="P746" s="81" t="n"/>
      <c r="Q746" s="81" t="n"/>
      <c r="R746" s="81" t="n"/>
      <c r="S746" s="81" t="n"/>
      <c r="T746" s="136">
        <f>IF(AND(E746&gt;0,U746=0),1,"")</f>
        <v/>
      </c>
      <c r="U746" s="136">
        <f>SUM(X746:AR746)</f>
        <v/>
      </c>
      <c r="V746" s="136">
        <f>IF(E746=$Q$16,0,SUM(X746:AI746))</f>
        <v/>
      </c>
      <c r="W746" s="136">
        <f>SUM(AK746:AR746)</f>
        <v/>
      </c>
      <c r="X746" s="136">
        <f>IF(E746=$X$6,1,"")</f>
        <v/>
      </c>
      <c r="Y746" s="136">
        <f>IF(E746=$Y$6,1,"")</f>
        <v/>
      </c>
      <c r="Z746" s="136">
        <f>IF(E746=$Z$6,1,"")</f>
        <v/>
      </c>
      <c r="AA746" s="136">
        <f>IF(E746=$AA$6,1,"")</f>
        <v/>
      </c>
      <c r="AB746" s="136">
        <f>IF(E746=$AB$6,1,"")</f>
        <v/>
      </c>
      <c r="AC746" s="136">
        <f>IF(E746=$AC$6,1,"")</f>
        <v/>
      </c>
      <c r="AD746" s="136">
        <f>IF(E746=$AD$6,1,"")</f>
        <v/>
      </c>
      <c r="AE746" s="136">
        <f>IF(E746=$AE$6,1,"")</f>
        <v/>
      </c>
      <c r="AF746" s="136">
        <f>IF(E746=$AF$6,1,"")</f>
        <v/>
      </c>
      <c r="AG746" s="136">
        <f>IF(E746=$AG$6,1,"")</f>
        <v/>
      </c>
      <c r="AH746" s="136">
        <f>IF(E746=$AH$6,1,"")</f>
        <v/>
      </c>
      <c r="AI746" s="136">
        <f>IF(E746=$AI$6,1,"")</f>
        <v/>
      </c>
      <c r="AJ746" s="136">
        <f>IF(E746=$AJ$6,1,"")</f>
        <v/>
      </c>
      <c r="AK746" s="81">
        <f>IF(E746=$AK$6,1,"")</f>
        <v/>
      </c>
      <c r="AL746" s="81">
        <f>IF(E746=$AL$6,1,"")</f>
        <v/>
      </c>
      <c r="AM746" s="81">
        <f>IF(E746=$AM$6,1,"")</f>
        <v/>
      </c>
      <c r="AN746" s="81">
        <f>IF(E746=$AN$6,1,"")</f>
        <v/>
      </c>
      <c r="AO746" s="81">
        <f>IF(E746=$AO$6,1,"")</f>
        <v/>
      </c>
      <c r="AP746" s="81">
        <f>IF(E746=$AP$6,1,"")</f>
        <v/>
      </c>
      <c r="AQ746" s="81">
        <f>IF(E746=$AQ$6,1,"")</f>
        <v/>
      </c>
      <c r="AR746" s="81">
        <f>IF(E746=$AR$6,1,"")</f>
        <v/>
      </c>
      <c r="AS746" s="81" t="n"/>
    </row>
    <row r="747" ht="15.75" customHeight="1" s="80">
      <c r="A747" s="157" t="n"/>
      <c r="B747" s="124" t="n"/>
      <c r="C747" s="125" t="n"/>
      <c r="D747" s="126" t="n"/>
      <c r="E747" s="127" t="n"/>
      <c r="F747" s="128" t="n"/>
      <c r="G747" s="129">
        <f>IF(F747="","",ROUND(F747/60,2))</f>
        <v/>
      </c>
      <c r="H747" s="130" t="n"/>
      <c r="I747" s="131" t="n"/>
      <c r="J747" s="131">
        <f>IF(COUNTIF(B747:E747,"*")=0,"",IF(T747=1,"Invalid Service",IF(AND(V747=1,F747=""),"Add Session Mins",IF(AND(E747&gt;0,H747="",T747=""),"Enter Contract Rate",IF(AND(E747="IEP mtg, prep, rept",F747&gt;0),(G747*H747),IF(AND(E747&gt;0,F747&gt;0,H747&gt;0,I747=""),"Enter Travel",IF(AND(F747&gt;0,I747="Y"),(G747*H747)+$M$10,IF(AND(F747&gt;0,I747="N"),(G747*H747),H747))))))))</f>
        <v/>
      </c>
      <c r="K747" s="132">
        <f>J747</f>
        <v/>
      </c>
      <c r="L747" s="148" t="n"/>
      <c r="M747" s="148" t="n"/>
      <c r="N747" s="148" t="n"/>
      <c r="O747" s="87" t="n"/>
      <c r="P747" s="81" t="n"/>
      <c r="Q747" s="81" t="n"/>
      <c r="R747" s="81" t="n"/>
      <c r="S747" s="81" t="n"/>
      <c r="T747" s="136">
        <f>IF(AND(E747&gt;0,U747=0),1,"")</f>
        <v/>
      </c>
      <c r="U747" s="136">
        <f>SUM(X747:AR747)</f>
        <v/>
      </c>
      <c r="V747" s="136">
        <f>IF(E747=$Q$16,0,SUM(X747:AI747))</f>
        <v/>
      </c>
      <c r="W747" s="136">
        <f>SUM(AK747:AR747)</f>
        <v/>
      </c>
      <c r="X747" s="136">
        <f>IF(E747=$X$6,1,"")</f>
        <v/>
      </c>
      <c r="Y747" s="136">
        <f>IF(E747=$Y$6,1,"")</f>
        <v/>
      </c>
      <c r="Z747" s="136">
        <f>IF(E747=$Z$6,1,"")</f>
        <v/>
      </c>
      <c r="AA747" s="136">
        <f>IF(E747=$AA$6,1,"")</f>
        <v/>
      </c>
      <c r="AB747" s="136">
        <f>IF(E747=$AB$6,1,"")</f>
        <v/>
      </c>
      <c r="AC747" s="136">
        <f>IF(E747=$AC$6,1,"")</f>
        <v/>
      </c>
      <c r="AD747" s="136">
        <f>IF(E747=$AD$6,1,"")</f>
        <v/>
      </c>
      <c r="AE747" s="136">
        <f>IF(E747=$AE$6,1,"")</f>
        <v/>
      </c>
      <c r="AF747" s="136">
        <f>IF(E747=$AF$6,1,"")</f>
        <v/>
      </c>
      <c r="AG747" s="136">
        <f>IF(E747=$AG$6,1,"")</f>
        <v/>
      </c>
      <c r="AH747" s="136">
        <f>IF(E747=$AH$6,1,"")</f>
        <v/>
      </c>
      <c r="AI747" s="136">
        <f>IF(E747=$AI$6,1,"")</f>
        <v/>
      </c>
      <c r="AJ747" s="136">
        <f>IF(E747=$AJ$6,1,"")</f>
        <v/>
      </c>
      <c r="AK747" s="81">
        <f>IF(E747=$AK$6,1,"")</f>
        <v/>
      </c>
      <c r="AL747" s="81">
        <f>IF(E747=$AL$6,1,"")</f>
        <v/>
      </c>
      <c r="AM747" s="81">
        <f>IF(E747=$AM$6,1,"")</f>
        <v/>
      </c>
      <c r="AN747" s="81">
        <f>IF(E747=$AN$6,1,"")</f>
        <v/>
      </c>
      <c r="AO747" s="81">
        <f>IF(E747=$AO$6,1,"")</f>
        <v/>
      </c>
      <c r="AP747" s="81">
        <f>IF(E747=$AP$6,1,"")</f>
        <v/>
      </c>
      <c r="AQ747" s="81">
        <f>IF(E747=$AQ$6,1,"")</f>
        <v/>
      </c>
      <c r="AR747" s="81">
        <f>IF(E747=$AR$6,1,"")</f>
        <v/>
      </c>
      <c r="AS747" s="81" t="n"/>
    </row>
    <row r="748" ht="15.75" customHeight="1" s="80">
      <c r="A748" s="157" t="n"/>
      <c r="B748" s="124" t="n"/>
      <c r="C748" s="125" t="n"/>
      <c r="D748" s="126" t="n"/>
      <c r="E748" s="127" t="n"/>
      <c r="F748" s="128" t="n"/>
      <c r="G748" s="129">
        <f>IF(F748="","",ROUND(F748/60,2))</f>
        <v/>
      </c>
      <c r="H748" s="130" t="n"/>
      <c r="I748" s="131" t="n"/>
      <c r="J748" s="131">
        <f>IF(COUNTIF(B748:E748,"*")=0,"",IF(T748=1,"Invalid Service",IF(AND(V748=1,F748=""),"Add Session Mins",IF(AND(E748&gt;0,H748="",T748=""),"Enter Contract Rate",IF(AND(E748="IEP mtg, prep, rept",F748&gt;0),(G748*H748),IF(AND(E748&gt;0,F748&gt;0,H748&gt;0,I748=""),"Enter Travel",IF(AND(F748&gt;0,I748="Y"),(G748*H748)+$M$10,IF(AND(F748&gt;0,I748="N"),(G748*H748),H748))))))))</f>
        <v/>
      </c>
      <c r="K748" s="132">
        <f>J748</f>
        <v/>
      </c>
      <c r="L748" s="148" t="n"/>
      <c r="M748" s="148" t="n"/>
      <c r="N748" s="148" t="n"/>
      <c r="O748" s="87" t="n"/>
      <c r="P748" s="81" t="n"/>
      <c r="Q748" s="81" t="n"/>
      <c r="R748" s="81" t="n"/>
      <c r="S748" s="81" t="n"/>
      <c r="T748" s="136">
        <f>IF(AND(E748&gt;0,U748=0),1,"")</f>
        <v/>
      </c>
      <c r="U748" s="136">
        <f>SUM(X748:AR748)</f>
        <v/>
      </c>
      <c r="V748" s="136">
        <f>IF(E748=$Q$16,0,SUM(X748:AI748))</f>
        <v/>
      </c>
      <c r="W748" s="136">
        <f>SUM(AK748:AR748)</f>
        <v/>
      </c>
      <c r="X748" s="136">
        <f>IF(E748=$X$6,1,"")</f>
        <v/>
      </c>
      <c r="Y748" s="136">
        <f>IF(E748=$Y$6,1,"")</f>
        <v/>
      </c>
      <c r="Z748" s="136">
        <f>IF(E748=$Z$6,1,"")</f>
        <v/>
      </c>
      <c r="AA748" s="136">
        <f>IF(E748=$AA$6,1,"")</f>
        <v/>
      </c>
      <c r="AB748" s="136">
        <f>IF(E748=$AB$6,1,"")</f>
        <v/>
      </c>
      <c r="AC748" s="136">
        <f>IF(E748=$AC$6,1,"")</f>
        <v/>
      </c>
      <c r="AD748" s="136">
        <f>IF(E748=$AD$6,1,"")</f>
        <v/>
      </c>
      <c r="AE748" s="136">
        <f>IF(E748=$AE$6,1,"")</f>
        <v/>
      </c>
      <c r="AF748" s="136">
        <f>IF(E748=$AF$6,1,"")</f>
        <v/>
      </c>
      <c r="AG748" s="136">
        <f>IF(E748=$AG$6,1,"")</f>
        <v/>
      </c>
      <c r="AH748" s="136">
        <f>IF(E748=$AH$6,1,"")</f>
        <v/>
      </c>
      <c r="AI748" s="136">
        <f>IF(E748=$AI$6,1,"")</f>
        <v/>
      </c>
      <c r="AJ748" s="136">
        <f>IF(E748=$AJ$6,1,"")</f>
        <v/>
      </c>
      <c r="AK748" s="81">
        <f>IF(E748=$AK$6,1,"")</f>
        <v/>
      </c>
      <c r="AL748" s="81">
        <f>IF(E748=$AL$6,1,"")</f>
        <v/>
      </c>
      <c r="AM748" s="81">
        <f>IF(E748=$AM$6,1,"")</f>
        <v/>
      </c>
      <c r="AN748" s="81">
        <f>IF(E748=$AN$6,1,"")</f>
        <v/>
      </c>
      <c r="AO748" s="81">
        <f>IF(E748=$AO$6,1,"")</f>
        <v/>
      </c>
      <c r="AP748" s="81">
        <f>IF(E748=$AP$6,1,"")</f>
        <v/>
      </c>
      <c r="AQ748" s="81">
        <f>IF(E748=$AQ$6,1,"")</f>
        <v/>
      </c>
      <c r="AR748" s="81">
        <f>IF(E748=$AR$6,1,"")</f>
        <v/>
      </c>
      <c r="AS748" s="81" t="n"/>
    </row>
    <row r="749" ht="15.75" customHeight="1" s="80">
      <c r="A749" s="157" t="n"/>
      <c r="B749" s="124" t="n"/>
      <c r="C749" s="125" t="n"/>
      <c r="D749" s="126" t="n"/>
      <c r="E749" s="127" t="n"/>
      <c r="F749" s="128" t="n"/>
      <c r="G749" s="129">
        <f>IF(F749="","",ROUND(F749/60,2))</f>
        <v/>
      </c>
      <c r="H749" s="130" t="n"/>
      <c r="I749" s="131" t="n"/>
      <c r="J749" s="131">
        <f>IF(COUNTIF(B749:E749,"*")=0,"",IF(T749=1,"Invalid Service",IF(AND(V749=1,F749=""),"Add Session Mins",IF(AND(E749&gt;0,H749="",T749=""),"Enter Contract Rate",IF(AND(E749="IEP mtg, prep, rept",F749&gt;0),(G749*H749),IF(AND(E749&gt;0,F749&gt;0,H749&gt;0,I749=""),"Enter Travel",IF(AND(F749&gt;0,I749="Y"),(G749*H749)+$M$10,IF(AND(F749&gt;0,I749="N"),(G749*H749),H749))))))))</f>
        <v/>
      </c>
      <c r="K749" s="132">
        <f>J749</f>
        <v/>
      </c>
      <c r="L749" s="148" t="n"/>
      <c r="M749" s="148" t="n"/>
      <c r="N749" s="148" t="n"/>
      <c r="O749" s="87" t="n"/>
      <c r="P749" s="81" t="n"/>
      <c r="Q749" s="81" t="n"/>
      <c r="R749" s="81" t="n"/>
      <c r="S749" s="81" t="n"/>
      <c r="T749" s="136">
        <f>IF(AND(E749&gt;0,U749=0),1,"")</f>
        <v/>
      </c>
      <c r="U749" s="136">
        <f>SUM(X749:AR749)</f>
        <v/>
      </c>
      <c r="V749" s="136">
        <f>IF(E749=$Q$16,0,SUM(X749:AI749))</f>
        <v/>
      </c>
      <c r="W749" s="136">
        <f>SUM(AK749:AR749)</f>
        <v/>
      </c>
      <c r="X749" s="136">
        <f>IF(E749=$X$6,1,"")</f>
        <v/>
      </c>
      <c r="Y749" s="136">
        <f>IF(E749=$Y$6,1,"")</f>
        <v/>
      </c>
      <c r="Z749" s="136">
        <f>IF(E749=$Z$6,1,"")</f>
        <v/>
      </c>
      <c r="AA749" s="136">
        <f>IF(E749=$AA$6,1,"")</f>
        <v/>
      </c>
      <c r="AB749" s="136">
        <f>IF(E749=$AB$6,1,"")</f>
        <v/>
      </c>
      <c r="AC749" s="136">
        <f>IF(E749=$AC$6,1,"")</f>
        <v/>
      </c>
      <c r="AD749" s="136">
        <f>IF(E749=$AD$6,1,"")</f>
        <v/>
      </c>
      <c r="AE749" s="136">
        <f>IF(E749=$AE$6,1,"")</f>
        <v/>
      </c>
      <c r="AF749" s="136">
        <f>IF(E749=$AF$6,1,"")</f>
        <v/>
      </c>
      <c r="AG749" s="136">
        <f>IF(E749=$AG$6,1,"")</f>
        <v/>
      </c>
      <c r="AH749" s="136">
        <f>IF(E749=$AH$6,1,"")</f>
        <v/>
      </c>
      <c r="AI749" s="136">
        <f>IF(E749=$AI$6,1,"")</f>
        <v/>
      </c>
      <c r="AJ749" s="136">
        <f>IF(E749=$AJ$6,1,"")</f>
        <v/>
      </c>
      <c r="AK749" s="81">
        <f>IF(E749=$AK$6,1,"")</f>
        <v/>
      </c>
      <c r="AL749" s="81">
        <f>IF(E749=$AL$6,1,"")</f>
        <v/>
      </c>
      <c r="AM749" s="81">
        <f>IF(E749=$AM$6,1,"")</f>
        <v/>
      </c>
      <c r="AN749" s="81">
        <f>IF(E749=$AN$6,1,"")</f>
        <v/>
      </c>
      <c r="AO749" s="81">
        <f>IF(E749=$AO$6,1,"")</f>
        <v/>
      </c>
      <c r="AP749" s="81">
        <f>IF(E749=$AP$6,1,"")</f>
        <v/>
      </c>
      <c r="AQ749" s="81">
        <f>IF(E749=$AQ$6,1,"")</f>
        <v/>
      </c>
      <c r="AR749" s="81">
        <f>IF(E749=$AR$6,1,"")</f>
        <v/>
      </c>
      <c r="AS749" s="81" t="n"/>
    </row>
    <row r="750" ht="15.75" customHeight="1" s="80">
      <c r="A750" s="157" t="n"/>
      <c r="B750" s="124" t="n"/>
      <c r="C750" s="125" t="n"/>
      <c r="D750" s="126" t="n"/>
      <c r="E750" s="127" t="n"/>
      <c r="F750" s="128" t="n"/>
      <c r="G750" s="129">
        <f>IF(F750="","",ROUND(F750/60,2))</f>
        <v/>
      </c>
      <c r="H750" s="130" t="n"/>
      <c r="I750" s="131" t="n"/>
      <c r="J750" s="131">
        <f>IF(COUNTIF(B750:E750,"*")=0,"",IF(T750=1,"Invalid Service",IF(AND(V750=1,F750=""),"Add Session Mins",IF(AND(E750&gt;0,H750="",T750=""),"Enter Contract Rate",IF(AND(E750="IEP mtg, prep, rept",F750&gt;0),(G750*H750),IF(AND(E750&gt;0,F750&gt;0,H750&gt;0,I750=""),"Enter Travel",IF(AND(F750&gt;0,I750="Y"),(G750*H750)+$M$10,IF(AND(F750&gt;0,I750="N"),(G750*H750),H750))))))))</f>
        <v/>
      </c>
      <c r="K750" s="132">
        <f>J750</f>
        <v/>
      </c>
      <c r="L750" s="148" t="n"/>
      <c r="M750" s="148" t="n"/>
      <c r="N750" s="148" t="n"/>
      <c r="O750" s="87" t="n"/>
      <c r="P750" s="81" t="n"/>
      <c r="Q750" s="81" t="n"/>
      <c r="R750" s="81" t="n"/>
      <c r="S750" s="81" t="n"/>
      <c r="T750" s="136">
        <f>IF(AND(E750&gt;0,U750=0),1,"")</f>
        <v/>
      </c>
      <c r="U750" s="136">
        <f>SUM(X750:AR750)</f>
        <v/>
      </c>
      <c r="V750" s="136">
        <f>IF(E750=$Q$16,0,SUM(X750:AI750))</f>
        <v/>
      </c>
      <c r="W750" s="136">
        <f>SUM(AK750:AR750)</f>
        <v/>
      </c>
      <c r="X750" s="136">
        <f>IF(E750=$X$6,1,"")</f>
        <v/>
      </c>
      <c r="Y750" s="136">
        <f>IF(E750=$Y$6,1,"")</f>
        <v/>
      </c>
      <c r="Z750" s="136">
        <f>IF(E750=$Z$6,1,"")</f>
        <v/>
      </c>
      <c r="AA750" s="136">
        <f>IF(E750=$AA$6,1,"")</f>
        <v/>
      </c>
      <c r="AB750" s="136">
        <f>IF(E750=$AB$6,1,"")</f>
        <v/>
      </c>
      <c r="AC750" s="136">
        <f>IF(E750=$AC$6,1,"")</f>
        <v/>
      </c>
      <c r="AD750" s="136">
        <f>IF(E750=$AD$6,1,"")</f>
        <v/>
      </c>
      <c r="AE750" s="136">
        <f>IF(E750=$AE$6,1,"")</f>
        <v/>
      </c>
      <c r="AF750" s="136">
        <f>IF(E750=$AF$6,1,"")</f>
        <v/>
      </c>
      <c r="AG750" s="136">
        <f>IF(E750=$AG$6,1,"")</f>
        <v/>
      </c>
      <c r="AH750" s="136">
        <f>IF(E750=$AH$6,1,"")</f>
        <v/>
      </c>
      <c r="AI750" s="136">
        <f>IF(E750=$AI$6,1,"")</f>
        <v/>
      </c>
      <c r="AJ750" s="136">
        <f>IF(E750=$AJ$6,1,"")</f>
        <v/>
      </c>
      <c r="AK750" s="81">
        <f>IF(E750=$AK$6,1,"")</f>
        <v/>
      </c>
      <c r="AL750" s="81">
        <f>IF(E750=$AL$6,1,"")</f>
        <v/>
      </c>
      <c r="AM750" s="81">
        <f>IF(E750=$AM$6,1,"")</f>
        <v/>
      </c>
      <c r="AN750" s="81">
        <f>IF(E750=$AN$6,1,"")</f>
        <v/>
      </c>
      <c r="AO750" s="81">
        <f>IF(E750=$AO$6,1,"")</f>
        <v/>
      </c>
      <c r="AP750" s="81">
        <f>IF(E750=$AP$6,1,"")</f>
        <v/>
      </c>
      <c r="AQ750" s="81">
        <f>IF(E750=$AQ$6,1,"")</f>
        <v/>
      </c>
      <c r="AR750" s="81">
        <f>IF(E750=$AR$6,1,"")</f>
        <v/>
      </c>
      <c r="AS750" s="81" t="n"/>
    </row>
    <row r="751" ht="15.75" customHeight="1" s="80">
      <c r="A751" s="157" t="n"/>
      <c r="B751" s="124" t="n"/>
      <c r="C751" s="125" t="n"/>
      <c r="D751" s="126" t="n"/>
      <c r="E751" s="127" t="n"/>
      <c r="F751" s="128" t="n"/>
      <c r="G751" s="129">
        <f>IF(F751="","",ROUND(F751/60,2))</f>
        <v/>
      </c>
      <c r="H751" s="130" t="n"/>
      <c r="I751" s="131" t="n"/>
      <c r="J751" s="131">
        <f>IF(COUNTIF(B751:E751,"*")=0,"",IF(T751=1,"Invalid Service",IF(AND(V751=1,F751=""),"Add Session Mins",IF(AND(E751&gt;0,H751="",T751=""),"Enter Contract Rate",IF(AND(E751="IEP mtg, prep, rept",F751&gt;0),(G751*H751),IF(AND(E751&gt;0,F751&gt;0,H751&gt;0,I751=""),"Enter Travel",IF(AND(F751&gt;0,I751="Y"),(G751*H751)+$M$10,IF(AND(F751&gt;0,I751="N"),(G751*H751),H751))))))))</f>
        <v/>
      </c>
      <c r="K751" s="132">
        <f>J751</f>
        <v/>
      </c>
      <c r="L751" s="148" t="n"/>
      <c r="M751" s="148" t="n"/>
      <c r="N751" s="148" t="n"/>
      <c r="O751" s="87" t="n"/>
      <c r="P751" s="81" t="n"/>
      <c r="Q751" s="81" t="n"/>
      <c r="R751" s="81" t="n"/>
      <c r="S751" s="81" t="n"/>
      <c r="T751" s="136">
        <f>IF(AND(E751&gt;0,U751=0),1,"")</f>
        <v/>
      </c>
      <c r="U751" s="136">
        <f>SUM(X751:AR751)</f>
        <v/>
      </c>
      <c r="V751" s="136">
        <f>IF(E751=$Q$16,0,SUM(X751:AI751))</f>
        <v/>
      </c>
      <c r="W751" s="136">
        <f>SUM(AK751:AR751)</f>
        <v/>
      </c>
      <c r="X751" s="136">
        <f>IF(E751=$X$6,1,"")</f>
        <v/>
      </c>
      <c r="Y751" s="136">
        <f>IF(E751=$Y$6,1,"")</f>
        <v/>
      </c>
      <c r="Z751" s="136">
        <f>IF(E751=$Z$6,1,"")</f>
        <v/>
      </c>
      <c r="AA751" s="136">
        <f>IF(E751=$AA$6,1,"")</f>
        <v/>
      </c>
      <c r="AB751" s="136">
        <f>IF(E751=$AB$6,1,"")</f>
        <v/>
      </c>
      <c r="AC751" s="136">
        <f>IF(E751=$AC$6,1,"")</f>
        <v/>
      </c>
      <c r="AD751" s="136">
        <f>IF(E751=$AD$6,1,"")</f>
        <v/>
      </c>
      <c r="AE751" s="136">
        <f>IF(E751=$AE$6,1,"")</f>
        <v/>
      </c>
      <c r="AF751" s="136">
        <f>IF(E751=$AF$6,1,"")</f>
        <v/>
      </c>
      <c r="AG751" s="136">
        <f>IF(E751=$AG$6,1,"")</f>
        <v/>
      </c>
      <c r="AH751" s="136">
        <f>IF(E751=$AH$6,1,"")</f>
        <v/>
      </c>
      <c r="AI751" s="136">
        <f>IF(E751=$AI$6,1,"")</f>
        <v/>
      </c>
      <c r="AJ751" s="136">
        <f>IF(E751=$AJ$6,1,"")</f>
        <v/>
      </c>
      <c r="AK751" s="81">
        <f>IF(E751=$AK$6,1,"")</f>
        <v/>
      </c>
      <c r="AL751" s="81">
        <f>IF(E751=$AL$6,1,"")</f>
        <v/>
      </c>
      <c r="AM751" s="81">
        <f>IF(E751=$AM$6,1,"")</f>
        <v/>
      </c>
      <c r="AN751" s="81">
        <f>IF(E751=$AN$6,1,"")</f>
        <v/>
      </c>
      <c r="AO751" s="81">
        <f>IF(E751=$AO$6,1,"")</f>
        <v/>
      </c>
      <c r="AP751" s="81">
        <f>IF(E751=$AP$6,1,"")</f>
        <v/>
      </c>
      <c r="AQ751" s="81">
        <f>IF(E751=$AQ$6,1,"")</f>
        <v/>
      </c>
      <c r="AR751" s="81">
        <f>IF(E751=$AR$6,1,"")</f>
        <v/>
      </c>
      <c r="AS751" s="81" t="n"/>
    </row>
    <row r="752" ht="15.75" customHeight="1" s="80">
      <c r="A752" s="157" t="n"/>
      <c r="B752" s="124" t="n"/>
      <c r="C752" s="125" t="n"/>
      <c r="D752" s="126" t="n"/>
      <c r="E752" s="127" t="n"/>
      <c r="F752" s="128" t="n"/>
      <c r="G752" s="129">
        <f>IF(F752="","",ROUND(F752/60,2))</f>
        <v/>
      </c>
      <c r="H752" s="130" t="n"/>
      <c r="I752" s="131" t="n"/>
      <c r="J752" s="131">
        <f>IF(COUNTIF(B752:E752,"*")=0,"",IF(T752=1,"Invalid Service",IF(AND(V752=1,F752=""),"Add Session Mins",IF(AND(E752&gt;0,H752="",T752=""),"Enter Contract Rate",IF(AND(E752="IEP mtg, prep, rept",F752&gt;0),(G752*H752),IF(AND(E752&gt;0,F752&gt;0,H752&gt;0,I752=""),"Enter Travel",IF(AND(F752&gt;0,I752="Y"),(G752*H752)+$M$10,IF(AND(F752&gt;0,I752="N"),(G752*H752),H752))))))))</f>
        <v/>
      </c>
      <c r="K752" s="132">
        <f>J752</f>
        <v/>
      </c>
      <c r="L752" s="148" t="n"/>
      <c r="M752" s="148" t="n"/>
      <c r="N752" s="148" t="n"/>
      <c r="O752" s="87" t="n"/>
      <c r="P752" s="81" t="n"/>
      <c r="Q752" s="81" t="n"/>
      <c r="R752" s="81" t="n"/>
      <c r="S752" s="81" t="n"/>
      <c r="T752" s="136">
        <f>IF(AND(E752&gt;0,U752=0),1,"")</f>
        <v/>
      </c>
      <c r="U752" s="136">
        <f>SUM(X752:AR752)</f>
        <v/>
      </c>
      <c r="V752" s="136">
        <f>IF(E752=$Q$16,0,SUM(X752:AI752))</f>
        <v/>
      </c>
      <c r="W752" s="136">
        <f>SUM(AK752:AR752)</f>
        <v/>
      </c>
      <c r="X752" s="136">
        <f>IF(E752=$X$6,1,"")</f>
        <v/>
      </c>
      <c r="Y752" s="136">
        <f>IF(E752=$Y$6,1,"")</f>
        <v/>
      </c>
      <c r="Z752" s="136">
        <f>IF(E752=$Z$6,1,"")</f>
        <v/>
      </c>
      <c r="AA752" s="136">
        <f>IF(E752=$AA$6,1,"")</f>
        <v/>
      </c>
      <c r="AB752" s="136">
        <f>IF(E752=$AB$6,1,"")</f>
        <v/>
      </c>
      <c r="AC752" s="136">
        <f>IF(E752=$AC$6,1,"")</f>
        <v/>
      </c>
      <c r="AD752" s="136">
        <f>IF(E752=$AD$6,1,"")</f>
        <v/>
      </c>
      <c r="AE752" s="136">
        <f>IF(E752=$AE$6,1,"")</f>
        <v/>
      </c>
      <c r="AF752" s="136">
        <f>IF(E752=$AF$6,1,"")</f>
        <v/>
      </c>
      <c r="AG752" s="136">
        <f>IF(E752=$AG$6,1,"")</f>
        <v/>
      </c>
      <c r="AH752" s="136">
        <f>IF(E752=$AH$6,1,"")</f>
        <v/>
      </c>
      <c r="AI752" s="136">
        <f>IF(E752=$AI$6,1,"")</f>
        <v/>
      </c>
      <c r="AJ752" s="136">
        <f>IF(E752=$AJ$6,1,"")</f>
        <v/>
      </c>
      <c r="AK752" s="81">
        <f>IF(E752=$AK$6,1,"")</f>
        <v/>
      </c>
      <c r="AL752" s="81">
        <f>IF(E752=$AL$6,1,"")</f>
        <v/>
      </c>
      <c r="AM752" s="81">
        <f>IF(E752=$AM$6,1,"")</f>
        <v/>
      </c>
      <c r="AN752" s="81">
        <f>IF(E752=$AN$6,1,"")</f>
        <v/>
      </c>
      <c r="AO752" s="81">
        <f>IF(E752=$AO$6,1,"")</f>
        <v/>
      </c>
      <c r="AP752" s="81">
        <f>IF(E752=$AP$6,1,"")</f>
        <v/>
      </c>
      <c r="AQ752" s="81">
        <f>IF(E752=$AQ$6,1,"")</f>
        <v/>
      </c>
      <c r="AR752" s="81">
        <f>IF(E752=$AR$6,1,"")</f>
        <v/>
      </c>
      <c r="AS752" s="81" t="n"/>
    </row>
    <row r="753" ht="15.75" customHeight="1" s="80">
      <c r="A753" s="157" t="n"/>
      <c r="B753" s="124" t="n"/>
      <c r="C753" s="125" t="n"/>
      <c r="D753" s="126" t="n"/>
      <c r="E753" s="127" t="n"/>
      <c r="F753" s="128" t="n"/>
      <c r="G753" s="129">
        <f>IF(F753="","",ROUND(F753/60,2))</f>
        <v/>
      </c>
      <c r="H753" s="130" t="n"/>
      <c r="I753" s="131" t="n"/>
      <c r="J753" s="131">
        <f>IF(COUNTIF(B753:E753,"*")=0,"",IF(T753=1,"Invalid Service",IF(AND(V753=1,F753=""),"Add Session Mins",IF(AND(E753&gt;0,H753="",T753=""),"Enter Contract Rate",IF(AND(E753="IEP mtg, prep, rept",F753&gt;0),(G753*H753),IF(AND(E753&gt;0,F753&gt;0,H753&gt;0,I753=""),"Enter Travel",IF(AND(F753&gt;0,I753="Y"),(G753*H753)+$M$10,IF(AND(F753&gt;0,I753="N"),(G753*H753),H753))))))))</f>
        <v/>
      </c>
      <c r="K753" s="132">
        <f>J753</f>
        <v/>
      </c>
      <c r="L753" s="148" t="n"/>
      <c r="M753" s="148" t="n"/>
      <c r="N753" s="148" t="n"/>
      <c r="O753" s="87" t="n"/>
      <c r="P753" s="81" t="n"/>
      <c r="Q753" s="81" t="n"/>
      <c r="R753" s="81" t="n"/>
      <c r="S753" s="81" t="n"/>
      <c r="T753" s="136">
        <f>IF(AND(E753&gt;0,U753=0),1,"")</f>
        <v/>
      </c>
      <c r="U753" s="136">
        <f>SUM(X753:AR753)</f>
        <v/>
      </c>
      <c r="V753" s="136">
        <f>IF(E753=$Q$16,0,SUM(X753:AI753))</f>
        <v/>
      </c>
      <c r="W753" s="136">
        <f>SUM(AK753:AR753)</f>
        <v/>
      </c>
      <c r="X753" s="136">
        <f>IF(E753=$X$6,1,"")</f>
        <v/>
      </c>
      <c r="Y753" s="136">
        <f>IF(E753=$Y$6,1,"")</f>
        <v/>
      </c>
      <c r="Z753" s="136">
        <f>IF(E753=$Z$6,1,"")</f>
        <v/>
      </c>
      <c r="AA753" s="136">
        <f>IF(E753=$AA$6,1,"")</f>
        <v/>
      </c>
      <c r="AB753" s="136">
        <f>IF(E753=$AB$6,1,"")</f>
        <v/>
      </c>
      <c r="AC753" s="136">
        <f>IF(E753=$AC$6,1,"")</f>
        <v/>
      </c>
      <c r="AD753" s="136">
        <f>IF(E753=$AD$6,1,"")</f>
        <v/>
      </c>
      <c r="AE753" s="136">
        <f>IF(E753=$AE$6,1,"")</f>
        <v/>
      </c>
      <c r="AF753" s="136">
        <f>IF(E753=$AF$6,1,"")</f>
        <v/>
      </c>
      <c r="AG753" s="136">
        <f>IF(E753=$AG$6,1,"")</f>
        <v/>
      </c>
      <c r="AH753" s="136">
        <f>IF(E753=$AH$6,1,"")</f>
        <v/>
      </c>
      <c r="AI753" s="136">
        <f>IF(E753=$AI$6,1,"")</f>
        <v/>
      </c>
      <c r="AJ753" s="136">
        <f>IF(E753=$AJ$6,1,"")</f>
        <v/>
      </c>
      <c r="AK753" s="81">
        <f>IF(E753=$AK$6,1,"")</f>
        <v/>
      </c>
      <c r="AL753" s="81">
        <f>IF(E753=$AL$6,1,"")</f>
        <v/>
      </c>
      <c r="AM753" s="81">
        <f>IF(E753=$AM$6,1,"")</f>
        <v/>
      </c>
      <c r="AN753" s="81">
        <f>IF(E753=$AN$6,1,"")</f>
        <v/>
      </c>
      <c r="AO753" s="81">
        <f>IF(E753=$AO$6,1,"")</f>
        <v/>
      </c>
      <c r="AP753" s="81">
        <f>IF(E753=$AP$6,1,"")</f>
        <v/>
      </c>
      <c r="AQ753" s="81">
        <f>IF(E753=$AQ$6,1,"")</f>
        <v/>
      </c>
      <c r="AR753" s="81">
        <f>IF(E753=$AR$6,1,"")</f>
        <v/>
      </c>
      <c r="AS753" s="81" t="n"/>
    </row>
    <row r="754" ht="15.75" customHeight="1" s="80">
      <c r="A754" s="157" t="n"/>
      <c r="B754" s="124" t="n"/>
      <c r="C754" s="125" t="n"/>
      <c r="D754" s="126" t="n"/>
      <c r="E754" s="127" t="n"/>
      <c r="F754" s="128" t="n"/>
      <c r="G754" s="129">
        <f>IF(F754="","",ROUND(F754/60,2))</f>
        <v/>
      </c>
      <c r="H754" s="130" t="n"/>
      <c r="I754" s="131" t="n"/>
      <c r="J754" s="131">
        <f>IF(COUNTIF(B754:E754,"*")=0,"",IF(T754=1,"Invalid Service",IF(AND(V754=1,F754=""),"Add Session Mins",IF(AND(E754&gt;0,H754="",T754=""),"Enter Contract Rate",IF(AND(E754="IEP mtg, prep, rept",F754&gt;0),(G754*H754),IF(AND(E754&gt;0,F754&gt;0,H754&gt;0,I754=""),"Enter Travel",IF(AND(F754&gt;0,I754="Y"),(G754*H754)+$M$10,IF(AND(F754&gt;0,I754="N"),(G754*H754),H754))))))))</f>
        <v/>
      </c>
      <c r="K754" s="132">
        <f>J754</f>
        <v/>
      </c>
      <c r="L754" s="148" t="n"/>
      <c r="M754" s="148" t="n"/>
      <c r="N754" s="148" t="n"/>
      <c r="O754" s="87" t="n"/>
      <c r="P754" s="81" t="n"/>
      <c r="Q754" s="81" t="n"/>
      <c r="R754" s="81" t="n"/>
      <c r="S754" s="81" t="n"/>
      <c r="T754" s="136">
        <f>IF(AND(E754&gt;0,U754=0),1,"")</f>
        <v/>
      </c>
      <c r="U754" s="136">
        <f>SUM(X754:AR754)</f>
        <v/>
      </c>
      <c r="V754" s="136">
        <f>IF(E754=$Q$16,0,SUM(X754:AI754))</f>
        <v/>
      </c>
      <c r="W754" s="136">
        <f>SUM(AK754:AR754)</f>
        <v/>
      </c>
      <c r="X754" s="136">
        <f>IF(E754=$X$6,1,"")</f>
        <v/>
      </c>
      <c r="Y754" s="136">
        <f>IF(E754=$Y$6,1,"")</f>
        <v/>
      </c>
      <c r="Z754" s="136">
        <f>IF(E754=$Z$6,1,"")</f>
        <v/>
      </c>
      <c r="AA754" s="136">
        <f>IF(E754=$AA$6,1,"")</f>
        <v/>
      </c>
      <c r="AB754" s="136">
        <f>IF(E754=$AB$6,1,"")</f>
        <v/>
      </c>
      <c r="AC754" s="136">
        <f>IF(E754=$AC$6,1,"")</f>
        <v/>
      </c>
      <c r="AD754" s="136">
        <f>IF(E754=$AD$6,1,"")</f>
        <v/>
      </c>
      <c r="AE754" s="136">
        <f>IF(E754=$AE$6,1,"")</f>
        <v/>
      </c>
      <c r="AF754" s="136">
        <f>IF(E754=$AF$6,1,"")</f>
        <v/>
      </c>
      <c r="AG754" s="136">
        <f>IF(E754=$AG$6,1,"")</f>
        <v/>
      </c>
      <c r="AH754" s="136">
        <f>IF(E754=$AH$6,1,"")</f>
        <v/>
      </c>
      <c r="AI754" s="136">
        <f>IF(E754=$AI$6,1,"")</f>
        <v/>
      </c>
      <c r="AJ754" s="136">
        <f>IF(E754=$AJ$6,1,"")</f>
        <v/>
      </c>
      <c r="AK754" s="81">
        <f>IF(E754=$AK$6,1,"")</f>
        <v/>
      </c>
      <c r="AL754" s="81">
        <f>IF(E754=$AL$6,1,"")</f>
        <v/>
      </c>
      <c r="AM754" s="81">
        <f>IF(E754=$AM$6,1,"")</f>
        <v/>
      </c>
      <c r="AN754" s="81">
        <f>IF(E754=$AN$6,1,"")</f>
        <v/>
      </c>
      <c r="AO754" s="81">
        <f>IF(E754=$AO$6,1,"")</f>
        <v/>
      </c>
      <c r="AP754" s="81">
        <f>IF(E754=$AP$6,1,"")</f>
        <v/>
      </c>
      <c r="AQ754" s="81">
        <f>IF(E754=$AQ$6,1,"")</f>
        <v/>
      </c>
      <c r="AR754" s="81">
        <f>IF(E754=$AR$6,1,"")</f>
        <v/>
      </c>
      <c r="AS754" s="81" t="n"/>
    </row>
    <row r="755" ht="15.75" customHeight="1" s="80">
      <c r="A755" s="157" t="n"/>
      <c r="B755" s="124" t="n"/>
      <c r="C755" s="125" t="n"/>
      <c r="D755" s="126" t="n"/>
      <c r="E755" s="127" t="n"/>
      <c r="F755" s="128" t="n"/>
      <c r="G755" s="129">
        <f>IF(F755="","",ROUND(F755/60,2))</f>
        <v/>
      </c>
      <c r="H755" s="130" t="n"/>
      <c r="I755" s="131" t="n"/>
      <c r="J755" s="131">
        <f>IF(COUNTIF(B755:E755,"*")=0,"",IF(T755=1,"Invalid Service",IF(AND(V755=1,F755=""),"Add Session Mins",IF(AND(E755&gt;0,H755="",T755=""),"Enter Contract Rate",IF(AND(E755="IEP mtg, prep, rept",F755&gt;0),(G755*H755),IF(AND(E755&gt;0,F755&gt;0,H755&gt;0,I755=""),"Enter Travel",IF(AND(F755&gt;0,I755="Y"),(G755*H755)+$M$10,IF(AND(F755&gt;0,I755="N"),(G755*H755),H755))))))))</f>
        <v/>
      </c>
      <c r="K755" s="132">
        <f>J755</f>
        <v/>
      </c>
      <c r="L755" s="148" t="n"/>
      <c r="M755" s="148" t="n"/>
      <c r="N755" s="148" t="n"/>
      <c r="O755" s="87" t="n"/>
      <c r="P755" s="81" t="n"/>
      <c r="Q755" s="81" t="n"/>
      <c r="R755" s="81" t="n"/>
      <c r="S755" s="81" t="n"/>
      <c r="T755" s="136">
        <f>IF(AND(E755&gt;0,U755=0),1,"")</f>
        <v/>
      </c>
      <c r="U755" s="136">
        <f>SUM(X755:AR755)</f>
        <v/>
      </c>
      <c r="V755" s="136">
        <f>IF(E755=$Q$16,0,SUM(X755:AI755))</f>
        <v/>
      </c>
      <c r="W755" s="136">
        <f>SUM(AK755:AR755)</f>
        <v/>
      </c>
      <c r="X755" s="136">
        <f>IF(E755=$X$6,1,"")</f>
        <v/>
      </c>
      <c r="Y755" s="136">
        <f>IF(E755=$Y$6,1,"")</f>
        <v/>
      </c>
      <c r="Z755" s="136">
        <f>IF(E755=$Z$6,1,"")</f>
        <v/>
      </c>
      <c r="AA755" s="136">
        <f>IF(E755=$AA$6,1,"")</f>
        <v/>
      </c>
      <c r="AB755" s="136">
        <f>IF(E755=$AB$6,1,"")</f>
        <v/>
      </c>
      <c r="AC755" s="136">
        <f>IF(E755=$AC$6,1,"")</f>
        <v/>
      </c>
      <c r="AD755" s="136">
        <f>IF(E755=$AD$6,1,"")</f>
        <v/>
      </c>
      <c r="AE755" s="136">
        <f>IF(E755=$AE$6,1,"")</f>
        <v/>
      </c>
      <c r="AF755" s="136">
        <f>IF(E755=$AF$6,1,"")</f>
        <v/>
      </c>
      <c r="AG755" s="136">
        <f>IF(E755=$AG$6,1,"")</f>
        <v/>
      </c>
      <c r="AH755" s="136">
        <f>IF(E755=$AH$6,1,"")</f>
        <v/>
      </c>
      <c r="AI755" s="136">
        <f>IF(E755=$AI$6,1,"")</f>
        <v/>
      </c>
      <c r="AJ755" s="136">
        <f>IF(E755=$AJ$6,1,"")</f>
        <v/>
      </c>
      <c r="AK755" s="81">
        <f>IF(E755=$AK$6,1,"")</f>
        <v/>
      </c>
      <c r="AL755" s="81">
        <f>IF(E755=$AL$6,1,"")</f>
        <v/>
      </c>
      <c r="AM755" s="81">
        <f>IF(E755=$AM$6,1,"")</f>
        <v/>
      </c>
      <c r="AN755" s="81">
        <f>IF(E755=$AN$6,1,"")</f>
        <v/>
      </c>
      <c r="AO755" s="81">
        <f>IF(E755=$AO$6,1,"")</f>
        <v/>
      </c>
      <c r="AP755" s="81">
        <f>IF(E755=$AP$6,1,"")</f>
        <v/>
      </c>
      <c r="AQ755" s="81">
        <f>IF(E755=$AQ$6,1,"")</f>
        <v/>
      </c>
      <c r="AR755" s="81">
        <f>IF(E755=$AR$6,1,"")</f>
        <v/>
      </c>
      <c r="AS755" s="81" t="n"/>
    </row>
    <row r="756" ht="15.75" customHeight="1" s="80">
      <c r="A756" s="157" t="n"/>
      <c r="B756" s="124" t="n"/>
      <c r="C756" s="125" t="n"/>
      <c r="D756" s="126" t="n"/>
      <c r="E756" s="127" t="n"/>
      <c r="F756" s="128" t="n"/>
      <c r="G756" s="129">
        <f>IF(F756="","",ROUND(F756/60,2))</f>
        <v/>
      </c>
      <c r="H756" s="130" t="n"/>
      <c r="I756" s="131" t="n"/>
      <c r="J756" s="131">
        <f>IF(COUNTIF(B756:E756,"*")=0,"",IF(T756=1,"Invalid Service",IF(AND(V756=1,F756=""),"Add Session Mins",IF(AND(E756&gt;0,H756="",T756=""),"Enter Contract Rate",IF(AND(E756="IEP mtg, prep, rept",F756&gt;0),(G756*H756),IF(AND(E756&gt;0,F756&gt;0,H756&gt;0,I756=""),"Enter Travel",IF(AND(F756&gt;0,I756="Y"),(G756*H756)+$M$10,IF(AND(F756&gt;0,I756="N"),(G756*H756),H756))))))))</f>
        <v/>
      </c>
      <c r="K756" s="132">
        <f>J756</f>
        <v/>
      </c>
      <c r="L756" s="148" t="n"/>
      <c r="M756" s="148" t="n"/>
      <c r="N756" s="148" t="n"/>
      <c r="O756" s="87" t="n"/>
      <c r="P756" s="81" t="n"/>
      <c r="Q756" s="81" t="n"/>
      <c r="R756" s="81" t="n"/>
      <c r="S756" s="81" t="n"/>
      <c r="T756" s="136">
        <f>IF(AND(E756&gt;0,U756=0),1,"")</f>
        <v/>
      </c>
      <c r="U756" s="136">
        <f>SUM(X756:AR756)</f>
        <v/>
      </c>
      <c r="V756" s="136">
        <f>IF(E756=$Q$16,0,SUM(X756:AI756))</f>
        <v/>
      </c>
      <c r="W756" s="136">
        <f>SUM(AK756:AR756)</f>
        <v/>
      </c>
      <c r="X756" s="136">
        <f>IF(E756=$X$6,1,"")</f>
        <v/>
      </c>
      <c r="Y756" s="136">
        <f>IF(E756=$Y$6,1,"")</f>
        <v/>
      </c>
      <c r="Z756" s="136">
        <f>IF(E756=$Z$6,1,"")</f>
        <v/>
      </c>
      <c r="AA756" s="136">
        <f>IF(E756=$AA$6,1,"")</f>
        <v/>
      </c>
      <c r="AB756" s="136">
        <f>IF(E756=$AB$6,1,"")</f>
        <v/>
      </c>
      <c r="AC756" s="136">
        <f>IF(E756=$AC$6,1,"")</f>
        <v/>
      </c>
      <c r="AD756" s="136">
        <f>IF(E756=$AD$6,1,"")</f>
        <v/>
      </c>
      <c r="AE756" s="136">
        <f>IF(E756=$AE$6,1,"")</f>
        <v/>
      </c>
      <c r="AF756" s="136">
        <f>IF(E756=$AF$6,1,"")</f>
        <v/>
      </c>
      <c r="AG756" s="136">
        <f>IF(E756=$AG$6,1,"")</f>
        <v/>
      </c>
      <c r="AH756" s="136">
        <f>IF(E756=$AH$6,1,"")</f>
        <v/>
      </c>
      <c r="AI756" s="136">
        <f>IF(E756=$AI$6,1,"")</f>
        <v/>
      </c>
      <c r="AJ756" s="136">
        <f>IF(E756=$AJ$6,1,"")</f>
        <v/>
      </c>
      <c r="AK756" s="81">
        <f>IF(E756=$AK$6,1,"")</f>
        <v/>
      </c>
      <c r="AL756" s="81">
        <f>IF(E756=$AL$6,1,"")</f>
        <v/>
      </c>
      <c r="AM756" s="81">
        <f>IF(E756=$AM$6,1,"")</f>
        <v/>
      </c>
      <c r="AN756" s="81">
        <f>IF(E756=$AN$6,1,"")</f>
        <v/>
      </c>
      <c r="AO756" s="81">
        <f>IF(E756=$AO$6,1,"")</f>
        <v/>
      </c>
      <c r="AP756" s="81">
        <f>IF(E756=$AP$6,1,"")</f>
        <v/>
      </c>
      <c r="AQ756" s="81">
        <f>IF(E756=$AQ$6,1,"")</f>
        <v/>
      </c>
      <c r="AR756" s="81">
        <f>IF(E756=$AR$6,1,"")</f>
        <v/>
      </c>
      <c r="AS756" s="81" t="n"/>
    </row>
    <row r="757" ht="15.75" customHeight="1" s="80">
      <c r="A757" s="157" t="n"/>
      <c r="B757" s="124" t="n"/>
      <c r="C757" s="125" t="n"/>
      <c r="D757" s="126" t="n"/>
      <c r="E757" s="127" t="n"/>
      <c r="F757" s="128" t="n"/>
      <c r="G757" s="129">
        <f>IF(F757="","",ROUND(F757/60,2))</f>
        <v/>
      </c>
      <c r="H757" s="130" t="n"/>
      <c r="I757" s="131" t="n"/>
      <c r="J757" s="131">
        <f>IF(COUNTIF(B757:E757,"*")=0,"",IF(T757=1,"Invalid Service",IF(AND(V757=1,F757=""),"Add Session Mins",IF(AND(E757&gt;0,H757="",T757=""),"Enter Contract Rate",IF(AND(E757="IEP mtg, prep, rept",F757&gt;0),(G757*H757),IF(AND(E757&gt;0,F757&gt;0,H757&gt;0,I757=""),"Enter Travel",IF(AND(F757&gt;0,I757="Y"),(G757*H757)+$M$10,IF(AND(F757&gt;0,I757="N"),(G757*H757),H757))))))))</f>
        <v/>
      </c>
      <c r="K757" s="132">
        <f>J757</f>
        <v/>
      </c>
      <c r="L757" s="148" t="n"/>
      <c r="M757" s="148" t="n"/>
      <c r="N757" s="148" t="n"/>
      <c r="O757" s="87" t="n"/>
      <c r="P757" s="81" t="n"/>
      <c r="Q757" s="81" t="n"/>
      <c r="R757" s="81" t="n"/>
      <c r="S757" s="81" t="n"/>
      <c r="T757" s="136">
        <f>IF(AND(E757&gt;0,U757=0),1,"")</f>
        <v/>
      </c>
      <c r="U757" s="136">
        <f>SUM(X757:AR757)</f>
        <v/>
      </c>
      <c r="V757" s="136">
        <f>IF(E757=$Q$16,0,SUM(X757:AI757))</f>
        <v/>
      </c>
      <c r="W757" s="136">
        <f>SUM(AK757:AR757)</f>
        <v/>
      </c>
      <c r="X757" s="136">
        <f>IF(E757=$X$6,1,"")</f>
        <v/>
      </c>
      <c r="Y757" s="136">
        <f>IF(E757=$Y$6,1,"")</f>
        <v/>
      </c>
      <c r="Z757" s="136">
        <f>IF(E757=$Z$6,1,"")</f>
        <v/>
      </c>
      <c r="AA757" s="136">
        <f>IF(E757=$AA$6,1,"")</f>
        <v/>
      </c>
      <c r="AB757" s="136">
        <f>IF(E757=$AB$6,1,"")</f>
        <v/>
      </c>
      <c r="AC757" s="136">
        <f>IF(E757=$AC$6,1,"")</f>
        <v/>
      </c>
      <c r="AD757" s="136">
        <f>IF(E757=$AD$6,1,"")</f>
        <v/>
      </c>
      <c r="AE757" s="136">
        <f>IF(E757=$AE$6,1,"")</f>
        <v/>
      </c>
      <c r="AF757" s="136">
        <f>IF(E757=$AF$6,1,"")</f>
        <v/>
      </c>
      <c r="AG757" s="136">
        <f>IF(E757=$AG$6,1,"")</f>
        <v/>
      </c>
      <c r="AH757" s="136">
        <f>IF(E757=$AH$6,1,"")</f>
        <v/>
      </c>
      <c r="AI757" s="136">
        <f>IF(E757=$AI$6,1,"")</f>
        <v/>
      </c>
      <c r="AJ757" s="136">
        <f>IF(E757=$AJ$6,1,"")</f>
        <v/>
      </c>
      <c r="AK757" s="81">
        <f>IF(E757=$AK$6,1,"")</f>
        <v/>
      </c>
      <c r="AL757" s="81">
        <f>IF(E757=$AL$6,1,"")</f>
        <v/>
      </c>
      <c r="AM757" s="81">
        <f>IF(E757=$AM$6,1,"")</f>
        <v/>
      </c>
      <c r="AN757" s="81">
        <f>IF(E757=$AN$6,1,"")</f>
        <v/>
      </c>
      <c r="AO757" s="81">
        <f>IF(E757=$AO$6,1,"")</f>
        <v/>
      </c>
      <c r="AP757" s="81">
        <f>IF(E757=$AP$6,1,"")</f>
        <v/>
      </c>
      <c r="AQ757" s="81">
        <f>IF(E757=$AQ$6,1,"")</f>
        <v/>
      </c>
      <c r="AR757" s="81">
        <f>IF(E757=$AR$6,1,"")</f>
        <v/>
      </c>
      <c r="AS757" s="81" t="n"/>
    </row>
    <row r="758" ht="15.75" customHeight="1" s="80">
      <c r="A758" s="157" t="n"/>
      <c r="B758" s="124" t="n"/>
      <c r="C758" s="125" t="n"/>
      <c r="D758" s="126" t="n"/>
      <c r="E758" s="127" t="n"/>
      <c r="F758" s="128" t="n"/>
      <c r="G758" s="129">
        <f>IF(F758="","",ROUND(F758/60,2))</f>
        <v/>
      </c>
      <c r="H758" s="130" t="n"/>
      <c r="I758" s="131" t="n"/>
      <c r="J758" s="131">
        <f>IF(COUNTIF(B758:E758,"*")=0,"",IF(T758=1,"Invalid Service",IF(AND(V758=1,F758=""),"Add Session Mins",IF(AND(E758&gt;0,H758="",T758=""),"Enter Contract Rate",IF(AND(E758="IEP mtg, prep, rept",F758&gt;0),(G758*H758),IF(AND(E758&gt;0,F758&gt;0,H758&gt;0,I758=""),"Enter Travel",IF(AND(F758&gt;0,I758="Y"),(G758*H758)+$M$10,IF(AND(F758&gt;0,I758="N"),(G758*H758),H758))))))))</f>
        <v/>
      </c>
      <c r="K758" s="132">
        <f>J758</f>
        <v/>
      </c>
      <c r="L758" s="148" t="n"/>
      <c r="M758" s="148" t="n"/>
      <c r="N758" s="148" t="n"/>
      <c r="O758" s="87" t="n"/>
      <c r="P758" s="81" t="n"/>
      <c r="Q758" s="81" t="n"/>
      <c r="R758" s="81" t="n"/>
      <c r="S758" s="81" t="n"/>
      <c r="T758" s="136">
        <f>IF(AND(E758&gt;0,U758=0),1,"")</f>
        <v/>
      </c>
      <c r="U758" s="136">
        <f>SUM(X758:AR758)</f>
        <v/>
      </c>
      <c r="V758" s="136">
        <f>IF(E758=$Q$16,0,SUM(X758:AI758))</f>
        <v/>
      </c>
      <c r="W758" s="136">
        <f>SUM(AK758:AR758)</f>
        <v/>
      </c>
      <c r="X758" s="136">
        <f>IF(E758=$X$6,1,"")</f>
        <v/>
      </c>
      <c r="Y758" s="136">
        <f>IF(E758=$Y$6,1,"")</f>
        <v/>
      </c>
      <c r="Z758" s="136">
        <f>IF(E758=$Z$6,1,"")</f>
        <v/>
      </c>
      <c r="AA758" s="136">
        <f>IF(E758=$AA$6,1,"")</f>
        <v/>
      </c>
      <c r="AB758" s="136">
        <f>IF(E758=$AB$6,1,"")</f>
        <v/>
      </c>
      <c r="AC758" s="136">
        <f>IF(E758=$AC$6,1,"")</f>
        <v/>
      </c>
      <c r="AD758" s="136">
        <f>IF(E758=$AD$6,1,"")</f>
        <v/>
      </c>
      <c r="AE758" s="136">
        <f>IF(E758=$AE$6,1,"")</f>
        <v/>
      </c>
      <c r="AF758" s="136">
        <f>IF(E758=$AF$6,1,"")</f>
        <v/>
      </c>
      <c r="AG758" s="136">
        <f>IF(E758=$AG$6,1,"")</f>
        <v/>
      </c>
      <c r="AH758" s="136">
        <f>IF(E758=$AH$6,1,"")</f>
        <v/>
      </c>
      <c r="AI758" s="136">
        <f>IF(E758=$AI$6,1,"")</f>
        <v/>
      </c>
      <c r="AJ758" s="136">
        <f>IF(E758=$AJ$6,1,"")</f>
        <v/>
      </c>
      <c r="AK758" s="81">
        <f>IF(E758=$AK$6,1,"")</f>
        <v/>
      </c>
      <c r="AL758" s="81">
        <f>IF(E758=$AL$6,1,"")</f>
        <v/>
      </c>
      <c r="AM758" s="81">
        <f>IF(E758=$AM$6,1,"")</f>
        <v/>
      </c>
      <c r="AN758" s="81">
        <f>IF(E758=$AN$6,1,"")</f>
        <v/>
      </c>
      <c r="AO758" s="81">
        <f>IF(E758=$AO$6,1,"")</f>
        <v/>
      </c>
      <c r="AP758" s="81">
        <f>IF(E758=$AP$6,1,"")</f>
        <v/>
      </c>
      <c r="AQ758" s="81">
        <f>IF(E758=$AQ$6,1,"")</f>
        <v/>
      </c>
      <c r="AR758" s="81">
        <f>IF(E758=$AR$6,1,"")</f>
        <v/>
      </c>
      <c r="AS758" s="81" t="n"/>
    </row>
    <row r="759" ht="15.75" customHeight="1" s="80">
      <c r="A759" s="157" t="n"/>
      <c r="B759" s="124" t="n"/>
      <c r="C759" s="125" t="n"/>
      <c r="D759" s="126" t="n"/>
      <c r="E759" s="127" t="n"/>
      <c r="F759" s="128" t="n"/>
      <c r="G759" s="129">
        <f>IF(F759="","",ROUND(F759/60,2))</f>
        <v/>
      </c>
      <c r="H759" s="130" t="n"/>
      <c r="I759" s="131" t="n"/>
      <c r="J759" s="131">
        <f>IF(COUNTIF(B759:E759,"*")=0,"",IF(T759=1,"Invalid Service",IF(AND(V759=1,F759=""),"Add Session Mins",IF(AND(E759&gt;0,H759="",T759=""),"Enter Contract Rate",IF(AND(E759="IEP mtg, prep, rept",F759&gt;0),(G759*H759),IF(AND(E759&gt;0,F759&gt;0,H759&gt;0,I759=""),"Enter Travel",IF(AND(F759&gt;0,I759="Y"),(G759*H759)+$M$10,IF(AND(F759&gt;0,I759="N"),(G759*H759),H759))))))))</f>
        <v/>
      </c>
      <c r="K759" s="132">
        <f>J759</f>
        <v/>
      </c>
      <c r="L759" s="148" t="n"/>
      <c r="M759" s="148" t="n"/>
      <c r="N759" s="148" t="n"/>
      <c r="O759" s="87" t="n"/>
      <c r="P759" s="81" t="n"/>
      <c r="Q759" s="81" t="n"/>
      <c r="R759" s="81" t="n"/>
      <c r="S759" s="81" t="n"/>
      <c r="T759" s="136">
        <f>IF(AND(E759&gt;0,U759=0),1,"")</f>
        <v/>
      </c>
      <c r="U759" s="136">
        <f>SUM(X759:AR759)</f>
        <v/>
      </c>
      <c r="V759" s="136">
        <f>IF(E759=$Q$16,0,SUM(X759:AI759))</f>
        <v/>
      </c>
      <c r="W759" s="136">
        <f>SUM(AK759:AR759)</f>
        <v/>
      </c>
      <c r="X759" s="136">
        <f>IF(E759=$X$6,1,"")</f>
        <v/>
      </c>
      <c r="Y759" s="136">
        <f>IF(E759=$Y$6,1,"")</f>
        <v/>
      </c>
      <c r="Z759" s="136">
        <f>IF(E759=$Z$6,1,"")</f>
        <v/>
      </c>
      <c r="AA759" s="136">
        <f>IF(E759=$AA$6,1,"")</f>
        <v/>
      </c>
      <c r="AB759" s="136">
        <f>IF(E759=$AB$6,1,"")</f>
        <v/>
      </c>
      <c r="AC759" s="136">
        <f>IF(E759=$AC$6,1,"")</f>
        <v/>
      </c>
      <c r="AD759" s="136">
        <f>IF(E759=$AD$6,1,"")</f>
        <v/>
      </c>
      <c r="AE759" s="136">
        <f>IF(E759=$AE$6,1,"")</f>
        <v/>
      </c>
      <c r="AF759" s="136">
        <f>IF(E759=$AF$6,1,"")</f>
        <v/>
      </c>
      <c r="AG759" s="136">
        <f>IF(E759=$AG$6,1,"")</f>
        <v/>
      </c>
      <c r="AH759" s="136">
        <f>IF(E759=$AH$6,1,"")</f>
        <v/>
      </c>
      <c r="AI759" s="136">
        <f>IF(E759=$AI$6,1,"")</f>
        <v/>
      </c>
      <c r="AJ759" s="136">
        <f>IF(E759=$AJ$6,1,"")</f>
        <v/>
      </c>
      <c r="AK759" s="81">
        <f>IF(E759=$AK$6,1,"")</f>
        <v/>
      </c>
      <c r="AL759" s="81">
        <f>IF(E759=$AL$6,1,"")</f>
        <v/>
      </c>
      <c r="AM759" s="81">
        <f>IF(E759=$AM$6,1,"")</f>
        <v/>
      </c>
      <c r="AN759" s="81">
        <f>IF(E759=$AN$6,1,"")</f>
        <v/>
      </c>
      <c r="AO759" s="81">
        <f>IF(E759=$AO$6,1,"")</f>
        <v/>
      </c>
      <c r="AP759" s="81">
        <f>IF(E759=$AP$6,1,"")</f>
        <v/>
      </c>
      <c r="AQ759" s="81">
        <f>IF(E759=$AQ$6,1,"")</f>
        <v/>
      </c>
      <c r="AR759" s="81">
        <f>IF(E759=$AR$6,1,"")</f>
        <v/>
      </c>
      <c r="AS759" s="81" t="n"/>
    </row>
    <row r="760" ht="15.75" customHeight="1" s="80">
      <c r="A760" s="157" t="n"/>
      <c r="B760" s="124" t="n"/>
      <c r="C760" s="125" t="n"/>
      <c r="D760" s="126" t="n"/>
      <c r="E760" s="127" t="n"/>
      <c r="F760" s="128" t="n"/>
      <c r="G760" s="129">
        <f>IF(F760="","",ROUND(F760/60,2))</f>
        <v/>
      </c>
      <c r="H760" s="130" t="n"/>
      <c r="I760" s="131" t="n"/>
      <c r="J760" s="131">
        <f>IF(COUNTIF(B760:E760,"*")=0,"",IF(T760=1,"Invalid Service",IF(AND(V760=1,F760=""),"Add Session Mins",IF(AND(E760&gt;0,H760="",T760=""),"Enter Contract Rate",IF(AND(E760="IEP mtg, prep, rept",F760&gt;0),(G760*H760),IF(AND(E760&gt;0,F760&gt;0,H760&gt;0,I760=""),"Enter Travel",IF(AND(F760&gt;0,I760="Y"),(G760*H760)+$M$10,IF(AND(F760&gt;0,I760="N"),(G760*H760),H760))))))))</f>
        <v/>
      </c>
      <c r="K760" s="132">
        <f>J760</f>
        <v/>
      </c>
      <c r="L760" s="148" t="n"/>
      <c r="M760" s="148" t="n"/>
      <c r="N760" s="148" t="n"/>
      <c r="O760" s="87" t="n"/>
      <c r="P760" s="81" t="n"/>
      <c r="Q760" s="81" t="n"/>
      <c r="R760" s="81" t="n"/>
      <c r="S760" s="81" t="n"/>
      <c r="T760" s="136">
        <f>IF(AND(E760&gt;0,U760=0),1,"")</f>
        <v/>
      </c>
      <c r="U760" s="136">
        <f>SUM(X760:AR760)</f>
        <v/>
      </c>
      <c r="V760" s="136">
        <f>IF(E760=$Q$16,0,SUM(X760:AI760))</f>
        <v/>
      </c>
      <c r="W760" s="136">
        <f>SUM(AK760:AR760)</f>
        <v/>
      </c>
      <c r="X760" s="136">
        <f>IF(E760=$X$6,1,"")</f>
        <v/>
      </c>
      <c r="Y760" s="136">
        <f>IF(E760=$Y$6,1,"")</f>
        <v/>
      </c>
      <c r="Z760" s="136">
        <f>IF(E760=$Z$6,1,"")</f>
        <v/>
      </c>
      <c r="AA760" s="136">
        <f>IF(E760=$AA$6,1,"")</f>
        <v/>
      </c>
      <c r="AB760" s="136">
        <f>IF(E760=$AB$6,1,"")</f>
        <v/>
      </c>
      <c r="AC760" s="136">
        <f>IF(E760=$AC$6,1,"")</f>
        <v/>
      </c>
      <c r="AD760" s="136">
        <f>IF(E760=$AD$6,1,"")</f>
        <v/>
      </c>
      <c r="AE760" s="136">
        <f>IF(E760=$AE$6,1,"")</f>
        <v/>
      </c>
      <c r="AF760" s="136">
        <f>IF(E760=$AF$6,1,"")</f>
        <v/>
      </c>
      <c r="AG760" s="136">
        <f>IF(E760=$AG$6,1,"")</f>
        <v/>
      </c>
      <c r="AH760" s="136">
        <f>IF(E760=$AH$6,1,"")</f>
        <v/>
      </c>
      <c r="AI760" s="136">
        <f>IF(E760=$AI$6,1,"")</f>
        <v/>
      </c>
      <c r="AJ760" s="136">
        <f>IF(E760=$AJ$6,1,"")</f>
        <v/>
      </c>
      <c r="AK760" s="81">
        <f>IF(E760=$AK$6,1,"")</f>
        <v/>
      </c>
      <c r="AL760" s="81">
        <f>IF(E760=$AL$6,1,"")</f>
        <v/>
      </c>
      <c r="AM760" s="81">
        <f>IF(E760=$AM$6,1,"")</f>
        <v/>
      </c>
      <c r="AN760" s="81">
        <f>IF(E760=$AN$6,1,"")</f>
        <v/>
      </c>
      <c r="AO760" s="81">
        <f>IF(E760=$AO$6,1,"")</f>
        <v/>
      </c>
      <c r="AP760" s="81">
        <f>IF(E760=$AP$6,1,"")</f>
        <v/>
      </c>
      <c r="AQ760" s="81">
        <f>IF(E760=$AQ$6,1,"")</f>
        <v/>
      </c>
      <c r="AR760" s="81">
        <f>IF(E760=$AR$6,1,"")</f>
        <v/>
      </c>
      <c r="AS760" s="81" t="n"/>
    </row>
    <row r="761" ht="15.75" customHeight="1" s="80">
      <c r="A761" s="157" t="n"/>
      <c r="B761" s="124" t="n"/>
      <c r="C761" s="125" t="n"/>
      <c r="D761" s="126" t="n"/>
      <c r="E761" s="127" t="n"/>
      <c r="F761" s="128" t="n"/>
      <c r="G761" s="129">
        <f>IF(F761="","",ROUND(F761/60,2))</f>
        <v/>
      </c>
      <c r="H761" s="130" t="n"/>
      <c r="I761" s="131" t="n"/>
      <c r="J761" s="131">
        <f>IF(COUNTIF(B761:E761,"*")=0,"",IF(T761=1,"Invalid Service",IF(AND(V761=1,F761=""),"Add Session Mins",IF(AND(E761&gt;0,H761="",T761=""),"Enter Contract Rate",IF(AND(E761="IEP mtg, prep, rept",F761&gt;0),(G761*H761),IF(AND(E761&gt;0,F761&gt;0,H761&gt;0,I761=""),"Enter Travel",IF(AND(F761&gt;0,I761="Y"),(G761*H761)+$M$10,IF(AND(F761&gt;0,I761="N"),(G761*H761),H761))))))))</f>
        <v/>
      </c>
      <c r="K761" s="132">
        <f>J761</f>
        <v/>
      </c>
      <c r="L761" s="148" t="n"/>
      <c r="M761" s="148" t="n"/>
      <c r="N761" s="148" t="n"/>
      <c r="O761" s="87" t="n"/>
      <c r="P761" s="81" t="n"/>
      <c r="Q761" s="81" t="n"/>
      <c r="R761" s="81" t="n"/>
      <c r="S761" s="81" t="n"/>
      <c r="T761" s="136">
        <f>IF(AND(E761&gt;0,U761=0),1,"")</f>
        <v/>
      </c>
      <c r="U761" s="136">
        <f>SUM(X761:AR761)</f>
        <v/>
      </c>
      <c r="V761" s="136">
        <f>IF(E761=$Q$16,0,SUM(X761:AI761))</f>
        <v/>
      </c>
      <c r="W761" s="136">
        <f>SUM(AK761:AR761)</f>
        <v/>
      </c>
      <c r="X761" s="136">
        <f>IF(E761=$X$6,1,"")</f>
        <v/>
      </c>
      <c r="Y761" s="136">
        <f>IF(E761=$Y$6,1,"")</f>
        <v/>
      </c>
      <c r="Z761" s="136">
        <f>IF(E761=$Z$6,1,"")</f>
        <v/>
      </c>
      <c r="AA761" s="136">
        <f>IF(E761=$AA$6,1,"")</f>
        <v/>
      </c>
      <c r="AB761" s="136">
        <f>IF(E761=$AB$6,1,"")</f>
        <v/>
      </c>
      <c r="AC761" s="136">
        <f>IF(E761=$AC$6,1,"")</f>
        <v/>
      </c>
      <c r="AD761" s="136">
        <f>IF(E761=$AD$6,1,"")</f>
        <v/>
      </c>
      <c r="AE761" s="136">
        <f>IF(E761=$AE$6,1,"")</f>
        <v/>
      </c>
      <c r="AF761" s="136">
        <f>IF(E761=$AF$6,1,"")</f>
        <v/>
      </c>
      <c r="AG761" s="136">
        <f>IF(E761=$AG$6,1,"")</f>
        <v/>
      </c>
      <c r="AH761" s="136">
        <f>IF(E761=$AH$6,1,"")</f>
        <v/>
      </c>
      <c r="AI761" s="136">
        <f>IF(E761=$AI$6,1,"")</f>
        <v/>
      </c>
      <c r="AJ761" s="136">
        <f>IF(E761=$AJ$6,1,"")</f>
        <v/>
      </c>
      <c r="AK761" s="81">
        <f>IF(E761=$AK$6,1,"")</f>
        <v/>
      </c>
      <c r="AL761" s="81">
        <f>IF(E761=$AL$6,1,"")</f>
        <v/>
      </c>
      <c r="AM761" s="81">
        <f>IF(E761=$AM$6,1,"")</f>
        <v/>
      </c>
      <c r="AN761" s="81">
        <f>IF(E761=$AN$6,1,"")</f>
        <v/>
      </c>
      <c r="AO761" s="81">
        <f>IF(E761=$AO$6,1,"")</f>
        <v/>
      </c>
      <c r="AP761" s="81">
        <f>IF(E761=$AP$6,1,"")</f>
        <v/>
      </c>
      <c r="AQ761" s="81">
        <f>IF(E761=$AQ$6,1,"")</f>
        <v/>
      </c>
      <c r="AR761" s="81">
        <f>IF(E761=$AR$6,1,"")</f>
        <v/>
      </c>
      <c r="AS761" s="81" t="n"/>
    </row>
    <row r="762" ht="15.75" customHeight="1" s="80">
      <c r="A762" s="157" t="n"/>
      <c r="B762" s="124" t="n"/>
      <c r="C762" s="125" t="n"/>
      <c r="D762" s="126" t="n"/>
      <c r="E762" s="127" t="n"/>
      <c r="F762" s="128" t="n"/>
      <c r="G762" s="129">
        <f>IF(F762="","",ROUND(F762/60,2))</f>
        <v/>
      </c>
      <c r="H762" s="130" t="n"/>
      <c r="I762" s="131" t="n"/>
      <c r="J762" s="131">
        <f>IF(COUNTIF(B762:E762,"*")=0,"",IF(T762=1,"Invalid Service",IF(AND(V762=1,F762=""),"Add Session Mins",IF(AND(E762&gt;0,H762="",T762=""),"Enter Contract Rate",IF(AND(E762="IEP mtg, prep, rept",F762&gt;0),(G762*H762),IF(AND(E762&gt;0,F762&gt;0,H762&gt;0,I762=""),"Enter Travel",IF(AND(F762&gt;0,I762="Y"),(G762*H762)+$M$10,IF(AND(F762&gt;0,I762="N"),(G762*H762),H762))))))))</f>
        <v/>
      </c>
      <c r="K762" s="132">
        <f>J762</f>
        <v/>
      </c>
      <c r="L762" s="148" t="n"/>
      <c r="M762" s="148" t="n"/>
      <c r="N762" s="148" t="n"/>
      <c r="O762" s="87" t="n"/>
      <c r="P762" s="81" t="n"/>
      <c r="Q762" s="81" t="n"/>
      <c r="R762" s="81" t="n"/>
      <c r="S762" s="81" t="n"/>
      <c r="T762" s="136">
        <f>IF(AND(E762&gt;0,U762=0),1,"")</f>
        <v/>
      </c>
      <c r="U762" s="136">
        <f>SUM(X762:AR762)</f>
        <v/>
      </c>
      <c r="V762" s="136">
        <f>IF(E762=$Q$16,0,SUM(X762:AI762))</f>
        <v/>
      </c>
      <c r="W762" s="136">
        <f>SUM(AK762:AR762)</f>
        <v/>
      </c>
      <c r="X762" s="136">
        <f>IF(E762=$X$6,1,"")</f>
        <v/>
      </c>
      <c r="Y762" s="136">
        <f>IF(E762=$Y$6,1,"")</f>
        <v/>
      </c>
      <c r="Z762" s="136">
        <f>IF(E762=$Z$6,1,"")</f>
        <v/>
      </c>
      <c r="AA762" s="136">
        <f>IF(E762=$AA$6,1,"")</f>
        <v/>
      </c>
      <c r="AB762" s="136">
        <f>IF(E762=$AB$6,1,"")</f>
        <v/>
      </c>
      <c r="AC762" s="136">
        <f>IF(E762=$AC$6,1,"")</f>
        <v/>
      </c>
      <c r="AD762" s="136">
        <f>IF(E762=$AD$6,1,"")</f>
        <v/>
      </c>
      <c r="AE762" s="136">
        <f>IF(E762=$AE$6,1,"")</f>
        <v/>
      </c>
      <c r="AF762" s="136">
        <f>IF(E762=$AF$6,1,"")</f>
        <v/>
      </c>
      <c r="AG762" s="136">
        <f>IF(E762=$AG$6,1,"")</f>
        <v/>
      </c>
      <c r="AH762" s="136">
        <f>IF(E762=$AH$6,1,"")</f>
        <v/>
      </c>
      <c r="AI762" s="136">
        <f>IF(E762=$AI$6,1,"")</f>
        <v/>
      </c>
      <c r="AJ762" s="136">
        <f>IF(E762=$AJ$6,1,"")</f>
        <v/>
      </c>
      <c r="AK762" s="81">
        <f>IF(E762=$AK$6,1,"")</f>
        <v/>
      </c>
      <c r="AL762" s="81">
        <f>IF(E762=$AL$6,1,"")</f>
        <v/>
      </c>
      <c r="AM762" s="81">
        <f>IF(E762=$AM$6,1,"")</f>
        <v/>
      </c>
      <c r="AN762" s="81">
        <f>IF(E762=$AN$6,1,"")</f>
        <v/>
      </c>
      <c r="AO762" s="81">
        <f>IF(E762=$AO$6,1,"")</f>
        <v/>
      </c>
      <c r="AP762" s="81">
        <f>IF(E762=$AP$6,1,"")</f>
        <v/>
      </c>
      <c r="AQ762" s="81">
        <f>IF(E762=$AQ$6,1,"")</f>
        <v/>
      </c>
      <c r="AR762" s="81">
        <f>IF(E762=$AR$6,1,"")</f>
        <v/>
      </c>
      <c r="AS762" s="81" t="n"/>
    </row>
    <row r="763" ht="15.75" customHeight="1" s="80">
      <c r="A763" s="157" t="n"/>
      <c r="B763" s="124" t="n"/>
      <c r="C763" s="125" t="n"/>
      <c r="D763" s="126" t="n"/>
      <c r="E763" s="127" t="n"/>
      <c r="F763" s="128" t="n"/>
      <c r="G763" s="129">
        <f>IF(F763="","",ROUND(F763/60,2))</f>
        <v/>
      </c>
      <c r="H763" s="130" t="n"/>
      <c r="I763" s="131" t="n"/>
      <c r="J763" s="131">
        <f>IF(COUNTIF(B763:E763,"*")=0,"",IF(T763=1,"Invalid Service",IF(AND(V763=1,F763=""),"Add Session Mins",IF(AND(E763&gt;0,H763="",T763=""),"Enter Contract Rate",IF(AND(E763="IEP mtg, prep, rept",F763&gt;0),(G763*H763),IF(AND(E763&gt;0,F763&gt;0,H763&gt;0,I763=""),"Enter Travel",IF(AND(F763&gt;0,I763="Y"),(G763*H763)+$M$10,IF(AND(F763&gt;0,I763="N"),(G763*H763),H763))))))))</f>
        <v/>
      </c>
      <c r="K763" s="132">
        <f>J763</f>
        <v/>
      </c>
      <c r="L763" s="148" t="n"/>
      <c r="M763" s="148" t="n"/>
      <c r="N763" s="148" t="n"/>
      <c r="O763" s="87" t="n"/>
      <c r="P763" s="81" t="n"/>
      <c r="Q763" s="81" t="n"/>
      <c r="R763" s="81" t="n"/>
      <c r="S763" s="81" t="n"/>
      <c r="T763" s="136">
        <f>IF(AND(E763&gt;0,U763=0),1,"")</f>
        <v/>
      </c>
      <c r="U763" s="136">
        <f>SUM(X763:AR763)</f>
        <v/>
      </c>
      <c r="V763" s="136">
        <f>IF(E763=$Q$16,0,SUM(X763:AI763))</f>
        <v/>
      </c>
      <c r="W763" s="136">
        <f>SUM(AK763:AR763)</f>
        <v/>
      </c>
      <c r="X763" s="136">
        <f>IF(E763=$X$6,1,"")</f>
        <v/>
      </c>
      <c r="Y763" s="136">
        <f>IF(E763=$Y$6,1,"")</f>
        <v/>
      </c>
      <c r="Z763" s="136">
        <f>IF(E763=$Z$6,1,"")</f>
        <v/>
      </c>
      <c r="AA763" s="136">
        <f>IF(E763=$AA$6,1,"")</f>
        <v/>
      </c>
      <c r="AB763" s="136">
        <f>IF(E763=$AB$6,1,"")</f>
        <v/>
      </c>
      <c r="AC763" s="136">
        <f>IF(E763=$AC$6,1,"")</f>
        <v/>
      </c>
      <c r="AD763" s="136">
        <f>IF(E763=$AD$6,1,"")</f>
        <v/>
      </c>
      <c r="AE763" s="136">
        <f>IF(E763=$AE$6,1,"")</f>
        <v/>
      </c>
      <c r="AF763" s="136">
        <f>IF(E763=$AF$6,1,"")</f>
        <v/>
      </c>
      <c r="AG763" s="136">
        <f>IF(E763=$AG$6,1,"")</f>
        <v/>
      </c>
      <c r="AH763" s="136">
        <f>IF(E763=$AH$6,1,"")</f>
        <v/>
      </c>
      <c r="AI763" s="136">
        <f>IF(E763=$AI$6,1,"")</f>
        <v/>
      </c>
      <c r="AJ763" s="136">
        <f>IF(E763=$AJ$6,1,"")</f>
        <v/>
      </c>
      <c r="AK763" s="81">
        <f>IF(E763=$AK$6,1,"")</f>
        <v/>
      </c>
      <c r="AL763" s="81">
        <f>IF(E763=$AL$6,1,"")</f>
        <v/>
      </c>
      <c r="AM763" s="81">
        <f>IF(E763=$AM$6,1,"")</f>
        <v/>
      </c>
      <c r="AN763" s="81">
        <f>IF(E763=$AN$6,1,"")</f>
        <v/>
      </c>
      <c r="AO763" s="81">
        <f>IF(E763=$AO$6,1,"")</f>
        <v/>
      </c>
      <c r="AP763" s="81">
        <f>IF(E763=$AP$6,1,"")</f>
        <v/>
      </c>
      <c r="AQ763" s="81">
        <f>IF(E763=$AQ$6,1,"")</f>
        <v/>
      </c>
      <c r="AR763" s="81">
        <f>IF(E763=$AR$6,1,"")</f>
        <v/>
      </c>
      <c r="AS763" s="81" t="n"/>
    </row>
    <row r="764" ht="15.75" customHeight="1" s="80">
      <c r="A764" s="157" t="n"/>
      <c r="B764" s="124" t="n"/>
      <c r="C764" s="125" t="n"/>
      <c r="D764" s="126" t="n"/>
      <c r="E764" s="127" t="n"/>
      <c r="F764" s="128" t="n"/>
      <c r="G764" s="129">
        <f>IF(F764="","",ROUND(F764/60,2))</f>
        <v/>
      </c>
      <c r="H764" s="130" t="n"/>
      <c r="I764" s="131" t="n"/>
      <c r="J764" s="131">
        <f>IF(COUNTIF(B764:E764,"*")=0,"",IF(T764=1,"Invalid Service",IF(AND(V764=1,F764=""),"Add Session Mins",IF(AND(E764&gt;0,H764="",T764=""),"Enter Contract Rate",IF(AND(E764="IEP mtg, prep, rept",F764&gt;0),(G764*H764),IF(AND(E764&gt;0,F764&gt;0,H764&gt;0,I764=""),"Enter Travel",IF(AND(F764&gt;0,I764="Y"),(G764*H764)+$M$10,IF(AND(F764&gt;0,I764="N"),(G764*H764),H764))))))))</f>
        <v/>
      </c>
      <c r="K764" s="132">
        <f>J764</f>
        <v/>
      </c>
      <c r="L764" s="148" t="n"/>
      <c r="M764" s="148" t="n"/>
      <c r="N764" s="148" t="n"/>
      <c r="O764" s="87" t="n"/>
      <c r="P764" s="81" t="n"/>
      <c r="Q764" s="81" t="n"/>
      <c r="R764" s="81" t="n"/>
      <c r="S764" s="81" t="n"/>
      <c r="T764" s="136">
        <f>IF(AND(E764&gt;0,U764=0),1,"")</f>
        <v/>
      </c>
      <c r="U764" s="136">
        <f>SUM(X764:AR764)</f>
        <v/>
      </c>
      <c r="V764" s="136">
        <f>IF(E764=$Q$16,0,SUM(X764:AI764))</f>
        <v/>
      </c>
      <c r="W764" s="136">
        <f>SUM(AK764:AR764)</f>
        <v/>
      </c>
      <c r="X764" s="136">
        <f>IF(E764=$X$6,1,"")</f>
        <v/>
      </c>
      <c r="Y764" s="136">
        <f>IF(E764=$Y$6,1,"")</f>
        <v/>
      </c>
      <c r="Z764" s="136">
        <f>IF(E764=$Z$6,1,"")</f>
        <v/>
      </c>
      <c r="AA764" s="136">
        <f>IF(E764=$AA$6,1,"")</f>
        <v/>
      </c>
      <c r="AB764" s="136">
        <f>IF(E764=$AB$6,1,"")</f>
        <v/>
      </c>
      <c r="AC764" s="136">
        <f>IF(E764=$AC$6,1,"")</f>
        <v/>
      </c>
      <c r="AD764" s="136">
        <f>IF(E764=$AD$6,1,"")</f>
        <v/>
      </c>
      <c r="AE764" s="136">
        <f>IF(E764=$AE$6,1,"")</f>
        <v/>
      </c>
      <c r="AF764" s="136">
        <f>IF(E764=$AF$6,1,"")</f>
        <v/>
      </c>
      <c r="AG764" s="136">
        <f>IF(E764=$AG$6,1,"")</f>
        <v/>
      </c>
      <c r="AH764" s="136">
        <f>IF(E764=$AH$6,1,"")</f>
        <v/>
      </c>
      <c r="AI764" s="136">
        <f>IF(E764=$AI$6,1,"")</f>
        <v/>
      </c>
      <c r="AJ764" s="136">
        <f>IF(E764=$AJ$6,1,"")</f>
        <v/>
      </c>
      <c r="AK764" s="81">
        <f>IF(E764=$AK$6,1,"")</f>
        <v/>
      </c>
      <c r="AL764" s="81">
        <f>IF(E764=$AL$6,1,"")</f>
        <v/>
      </c>
      <c r="AM764" s="81">
        <f>IF(E764=$AM$6,1,"")</f>
        <v/>
      </c>
      <c r="AN764" s="81">
        <f>IF(E764=$AN$6,1,"")</f>
        <v/>
      </c>
      <c r="AO764" s="81">
        <f>IF(E764=$AO$6,1,"")</f>
        <v/>
      </c>
      <c r="AP764" s="81">
        <f>IF(E764=$AP$6,1,"")</f>
        <v/>
      </c>
      <c r="AQ764" s="81">
        <f>IF(E764=$AQ$6,1,"")</f>
        <v/>
      </c>
      <c r="AR764" s="81">
        <f>IF(E764=$AR$6,1,"")</f>
        <v/>
      </c>
      <c r="AS764" s="81" t="n"/>
    </row>
    <row r="765" ht="15.75" customHeight="1" s="80">
      <c r="A765" s="157" t="n"/>
      <c r="B765" s="124" t="n"/>
      <c r="C765" s="125" t="n"/>
      <c r="D765" s="126" t="n"/>
      <c r="E765" s="127" t="n"/>
      <c r="F765" s="128" t="n"/>
      <c r="G765" s="129">
        <f>IF(F765="","",ROUND(F765/60,2))</f>
        <v/>
      </c>
      <c r="H765" s="130" t="n"/>
      <c r="I765" s="131" t="n"/>
      <c r="J765" s="131">
        <f>IF(COUNTIF(B765:E765,"*")=0,"",IF(T765=1,"Invalid Service",IF(AND(V765=1,F765=""),"Add Session Mins",IF(AND(E765&gt;0,H765="",T765=""),"Enter Contract Rate",IF(AND(E765="IEP mtg, prep, rept",F765&gt;0),(G765*H765),IF(AND(E765&gt;0,F765&gt;0,H765&gt;0,I765=""),"Enter Travel",IF(AND(F765&gt;0,I765="Y"),(G765*H765)+$M$10,IF(AND(F765&gt;0,I765="N"),(G765*H765),H765))))))))</f>
        <v/>
      </c>
      <c r="K765" s="132">
        <f>J765</f>
        <v/>
      </c>
      <c r="L765" s="148" t="n"/>
      <c r="M765" s="148" t="n"/>
      <c r="N765" s="148" t="n"/>
      <c r="O765" s="87" t="n"/>
      <c r="P765" s="81" t="n"/>
      <c r="Q765" s="81" t="n"/>
      <c r="R765" s="81" t="n"/>
      <c r="S765" s="81" t="n"/>
      <c r="T765" s="136">
        <f>IF(AND(E765&gt;0,U765=0),1,"")</f>
        <v/>
      </c>
      <c r="U765" s="136">
        <f>SUM(X765:AR765)</f>
        <v/>
      </c>
      <c r="V765" s="136">
        <f>IF(E765=$Q$16,0,SUM(X765:AI765))</f>
        <v/>
      </c>
      <c r="W765" s="136">
        <f>SUM(AK765:AR765)</f>
        <v/>
      </c>
      <c r="X765" s="136">
        <f>IF(E765=$X$6,1,"")</f>
        <v/>
      </c>
      <c r="Y765" s="136">
        <f>IF(E765=$Y$6,1,"")</f>
        <v/>
      </c>
      <c r="Z765" s="136">
        <f>IF(E765=$Z$6,1,"")</f>
        <v/>
      </c>
      <c r="AA765" s="136">
        <f>IF(E765=$AA$6,1,"")</f>
        <v/>
      </c>
      <c r="AB765" s="136">
        <f>IF(E765=$AB$6,1,"")</f>
        <v/>
      </c>
      <c r="AC765" s="136">
        <f>IF(E765=$AC$6,1,"")</f>
        <v/>
      </c>
      <c r="AD765" s="136">
        <f>IF(E765=$AD$6,1,"")</f>
        <v/>
      </c>
      <c r="AE765" s="136">
        <f>IF(E765=$AE$6,1,"")</f>
        <v/>
      </c>
      <c r="AF765" s="136">
        <f>IF(E765=$AF$6,1,"")</f>
        <v/>
      </c>
      <c r="AG765" s="136">
        <f>IF(E765=$AG$6,1,"")</f>
        <v/>
      </c>
      <c r="AH765" s="136">
        <f>IF(E765=$AH$6,1,"")</f>
        <v/>
      </c>
      <c r="AI765" s="136">
        <f>IF(E765=$AI$6,1,"")</f>
        <v/>
      </c>
      <c r="AJ765" s="136">
        <f>IF(E765=$AJ$6,1,"")</f>
        <v/>
      </c>
      <c r="AK765" s="81">
        <f>IF(E765=$AK$6,1,"")</f>
        <v/>
      </c>
      <c r="AL765" s="81">
        <f>IF(E765=$AL$6,1,"")</f>
        <v/>
      </c>
      <c r="AM765" s="81">
        <f>IF(E765=$AM$6,1,"")</f>
        <v/>
      </c>
      <c r="AN765" s="81">
        <f>IF(E765=$AN$6,1,"")</f>
        <v/>
      </c>
      <c r="AO765" s="81">
        <f>IF(E765=$AO$6,1,"")</f>
        <v/>
      </c>
      <c r="AP765" s="81">
        <f>IF(E765=$AP$6,1,"")</f>
        <v/>
      </c>
      <c r="AQ765" s="81">
        <f>IF(E765=$AQ$6,1,"")</f>
        <v/>
      </c>
      <c r="AR765" s="81">
        <f>IF(E765=$AR$6,1,"")</f>
        <v/>
      </c>
      <c r="AS765" s="81" t="n"/>
    </row>
    <row r="766" ht="15.75" customHeight="1" s="80">
      <c r="A766" s="157" t="n"/>
      <c r="B766" s="124" t="n"/>
      <c r="C766" s="125" t="n"/>
      <c r="D766" s="126" t="n"/>
      <c r="E766" s="127" t="n"/>
      <c r="F766" s="128" t="n"/>
      <c r="G766" s="129">
        <f>IF(F766="","",ROUND(F766/60,2))</f>
        <v/>
      </c>
      <c r="H766" s="130" t="n"/>
      <c r="I766" s="131" t="n"/>
      <c r="J766" s="131">
        <f>IF(COUNTIF(B766:E766,"*")=0,"",IF(T766=1,"Invalid Service",IF(AND(V766=1,F766=""),"Add Session Mins",IF(AND(E766&gt;0,H766="",T766=""),"Enter Contract Rate",IF(AND(E766="IEP mtg, prep, rept",F766&gt;0),(G766*H766),IF(AND(E766&gt;0,F766&gt;0,H766&gt;0,I766=""),"Enter Travel",IF(AND(F766&gt;0,I766="Y"),(G766*H766)+$M$10,IF(AND(F766&gt;0,I766="N"),(G766*H766),H766))))))))</f>
        <v/>
      </c>
      <c r="K766" s="132">
        <f>J766</f>
        <v/>
      </c>
      <c r="L766" s="148" t="n"/>
      <c r="M766" s="148" t="n"/>
      <c r="N766" s="148" t="n"/>
      <c r="O766" s="87" t="n"/>
      <c r="P766" s="81" t="n"/>
      <c r="Q766" s="81" t="n"/>
      <c r="R766" s="81" t="n"/>
      <c r="S766" s="81" t="n"/>
      <c r="T766" s="136">
        <f>IF(AND(E766&gt;0,U766=0),1,"")</f>
        <v/>
      </c>
      <c r="U766" s="136">
        <f>SUM(X766:AR766)</f>
        <v/>
      </c>
      <c r="V766" s="136">
        <f>IF(E766=$Q$16,0,SUM(X766:AI766))</f>
        <v/>
      </c>
      <c r="W766" s="136">
        <f>SUM(AK766:AR766)</f>
        <v/>
      </c>
      <c r="X766" s="136">
        <f>IF(E766=$X$6,1,"")</f>
        <v/>
      </c>
      <c r="Y766" s="136">
        <f>IF(E766=$Y$6,1,"")</f>
        <v/>
      </c>
      <c r="Z766" s="136">
        <f>IF(E766=$Z$6,1,"")</f>
        <v/>
      </c>
      <c r="AA766" s="136">
        <f>IF(E766=$AA$6,1,"")</f>
        <v/>
      </c>
      <c r="AB766" s="136">
        <f>IF(E766=$AB$6,1,"")</f>
        <v/>
      </c>
      <c r="AC766" s="136">
        <f>IF(E766=$AC$6,1,"")</f>
        <v/>
      </c>
      <c r="AD766" s="136">
        <f>IF(E766=$AD$6,1,"")</f>
        <v/>
      </c>
      <c r="AE766" s="136">
        <f>IF(E766=$AE$6,1,"")</f>
        <v/>
      </c>
      <c r="AF766" s="136">
        <f>IF(E766=$AF$6,1,"")</f>
        <v/>
      </c>
      <c r="AG766" s="136">
        <f>IF(E766=$AG$6,1,"")</f>
        <v/>
      </c>
      <c r="AH766" s="136">
        <f>IF(E766=$AH$6,1,"")</f>
        <v/>
      </c>
      <c r="AI766" s="136">
        <f>IF(E766=$AI$6,1,"")</f>
        <v/>
      </c>
      <c r="AJ766" s="136">
        <f>IF(E766=$AJ$6,1,"")</f>
        <v/>
      </c>
      <c r="AK766" s="81">
        <f>IF(E766=$AK$6,1,"")</f>
        <v/>
      </c>
      <c r="AL766" s="81">
        <f>IF(E766=$AL$6,1,"")</f>
        <v/>
      </c>
      <c r="AM766" s="81">
        <f>IF(E766=$AM$6,1,"")</f>
        <v/>
      </c>
      <c r="AN766" s="81">
        <f>IF(E766=$AN$6,1,"")</f>
        <v/>
      </c>
      <c r="AO766" s="81">
        <f>IF(E766=$AO$6,1,"")</f>
        <v/>
      </c>
      <c r="AP766" s="81">
        <f>IF(E766=$AP$6,1,"")</f>
        <v/>
      </c>
      <c r="AQ766" s="81">
        <f>IF(E766=$AQ$6,1,"")</f>
        <v/>
      </c>
      <c r="AR766" s="81">
        <f>IF(E766=$AR$6,1,"")</f>
        <v/>
      </c>
      <c r="AS766" s="81" t="n"/>
    </row>
    <row r="767" ht="15.75" customHeight="1" s="80">
      <c r="A767" s="157" t="n"/>
      <c r="B767" s="124" t="n"/>
      <c r="C767" s="125" t="n"/>
      <c r="D767" s="126" t="n"/>
      <c r="E767" s="127" t="n"/>
      <c r="F767" s="128" t="n"/>
      <c r="G767" s="129">
        <f>IF(F767="","",ROUND(F767/60,2))</f>
        <v/>
      </c>
      <c r="H767" s="130" t="n"/>
      <c r="I767" s="131" t="n"/>
      <c r="J767" s="131">
        <f>IF(COUNTIF(B767:E767,"*")=0,"",IF(T767=1,"Invalid Service",IF(AND(V767=1,F767=""),"Add Session Mins",IF(AND(E767&gt;0,H767="",T767=""),"Enter Contract Rate",IF(AND(E767="IEP mtg, prep, rept",F767&gt;0),(G767*H767),IF(AND(E767&gt;0,F767&gt;0,H767&gt;0,I767=""),"Enter Travel",IF(AND(F767&gt;0,I767="Y"),(G767*H767)+$M$10,IF(AND(F767&gt;0,I767="N"),(G767*H767),H767))))))))</f>
        <v/>
      </c>
      <c r="K767" s="132">
        <f>J767</f>
        <v/>
      </c>
      <c r="L767" s="148" t="n"/>
      <c r="M767" s="148" t="n"/>
      <c r="N767" s="148" t="n"/>
      <c r="O767" s="87" t="n"/>
      <c r="P767" s="81" t="n"/>
      <c r="Q767" s="81" t="n"/>
      <c r="R767" s="81" t="n"/>
      <c r="S767" s="81" t="n"/>
      <c r="T767" s="136">
        <f>IF(AND(E767&gt;0,U767=0),1,"")</f>
        <v/>
      </c>
      <c r="U767" s="136">
        <f>SUM(X767:AR767)</f>
        <v/>
      </c>
      <c r="V767" s="136">
        <f>IF(E767=$Q$16,0,SUM(X767:AI767))</f>
        <v/>
      </c>
      <c r="W767" s="136">
        <f>SUM(AK767:AR767)</f>
        <v/>
      </c>
      <c r="X767" s="136">
        <f>IF(E767=$X$6,1,"")</f>
        <v/>
      </c>
      <c r="Y767" s="136">
        <f>IF(E767=$Y$6,1,"")</f>
        <v/>
      </c>
      <c r="Z767" s="136">
        <f>IF(E767=$Z$6,1,"")</f>
        <v/>
      </c>
      <c r="AA767" s="136">
        <f>IF(E767=$AA$6,1,"")</f>
        <v/>
      </c>
      <c r="AB767" s="136">
        <f>IF(E767=$AB$6,1,"")</f>
        <v/>
      </c>
      <c r="AC767" s="136">
        <f>IF(E767=$AC$6,1,"")</f>
        <v/>
      </c>
      <c r="AD767" s="136">
        <f>IF(E767=$AD$6,1,"")</f>
        <v/>
      </c>
      <c r="AE767" s="136">
        <f>IF(E767=$AE$6,1,"")</f>
        <v/>
      </c>
      <c r="AF767" s="136">
        <f>IF(E767=$AF$6,1,"")</f>
        <v/>
      </c>
      <c r="AG767" s="136">
        <f>IF(E767=$AG$6,1,"")</f>
        <v/>
      </c>
      <c r="AH767" s="136">
        <f>IF(E767=$AH$6,1,"")</f>
        <v/>
      </c>
      <c r="AI767" s="136">
        <f>IF(E767=$AI$6,1,"")</f>
        <v/>
      </c>
      <c r="AJ767" s="136">
        <f>IF(E767=$AJ$6,1,"")</f>
        <v/>
      </c>
      <c r="AK767" s="81">
        <f>IF(E767=$AK$6,1,"")</f>
        <v/>
      </c>
      <c r="AL767" s="81">
        <f>IF(E767=$AL$6,1,"")</f>
        <v/>
      </c>
      <c r="AM767" s="81">
        <f>IF(E767=$AM$6,1,"")</f>
        <v/>
      </c>
      <c r="AN767" s="81">
        <f>IF(E767=$AN$6,1,"")</f>
        <v/>
      </c>
      <c r="AO767" s="81">
        <f>IF(E767=$AO$6,1,"")</f>
        <v/>
      </c>
      <c r="AP767" s="81">
        <f>IF(E767=$AP$6,1,"")</f>
        <v/>
      </c>
      <c r="AQ767" s="81">
        <f>IF(E767=$AQ$6,1,"")</f>
        <v/>
      </c>
      <c r="AR767" s="81">
        <f>IF(E767=$AR$6,1,"")</f>
        <v/>
      </c>
      <c r="AS767" s="81" t="n"/>
    </row>
    <row r="768" ht="15.75" customHeight="1" s="80">
      <c r="A768" s="157" t="n"/>
      <c r="B768" s="124" t="n"/>
      <c r="C768" s="125" t="n"/>
      <c r="D768" s="126" t="n"/>
      <c r="E768" s="127" t="n"/>
      <c r="F768" s="128" t="n"/>
      <c r="G768" s="129">
        <f>IF(F768="","",ROUND(F768/60,2))</f>
        <v/>
      </c>
      <c r="H768" s="130" t="n"/>
      <c r="I768" s="131" t="n"/>
      <c r="J768" s="131">
        <f>IF(COUNTIF(B768:E768,"*")=0,"",IF(T768=1,"Invalid Service",IF(AND(V768=1,F768=""),"Add Session Mins",IF(AND(E768&gt;0,H768="",T768=""),"Enter Contract Rate",IF(AND(E768="IEP mtg, prep, rept",F768&gt;0),(G768*H768),IF(AND(E768&gt;0,F768&gt;0,H768&gt;0,I768=""),"Enter Travel",IF(AND(F768&gt;0,I768="Y"),(G768*H768)+$M$10,IF(AND(F768&gt;0,I768="N"),(G768*H768),H768))))))))</f>
        <v/>
      </c>
      <c r="K768" s="132">
        <f>J768</f>
        <v/>
      </c>
      <c r="L768" s="148" t="n"/>
      <c r="M768" s="148" t="n"/>
      <c r="N768" s="148" t="n"/>
      <c r="O768" s="87" t="n"/>
      <c r="P768" s="81" t="n"/>
      <c r="Q768" s="81" t="n"/>
      <c r="R768" s="81" t="n"/>
      <c r="S768" s="81" t="n"/>
      <c r="T768" s="136">
        <f>IF(AND(E768&gt;0,U768=0),1,"")</f>
        <v/>
      </c>
      <c r="U768" s="136">
        <f>SUM(X768:AR768)</f>
        <v/>
      </c>
      <c r="V768" s="136">
        <f>IF(E768=$Q$16,0,SUM(X768:AI768))</f>
        <v/>
      </c>
      <c r="W768" s="136">
        <f>SUM(AK768:AR768)</f>
        <v/>
      </c>
      <c r="X768" s="136">
        <f>IF(E768=$X$6,1,"")</f>
        <v/>
      </c>
      <c r="Y768" s="136">
        <f>IF(E768=$Y$6,1,"")</f>
        <v/>
      </c>
      <c r="Z768" s="136">
        <f>IF(E768=$Z$6,1,"")</f>
        <v/>
      </c>
      <c r="AA768" s="136">
        <f>IF(E768=$AA$6,1,"")</f>
        <v/>
      </c>
      <c r="AB768" s="136">
        <f>IF(E768=$AB$6,1,"")</f>
        <v/>
      </c>
      <c r="AC768" s="136">
        <f>IF(E768=$AC$6,1,"")</f>
        <v/>
      </c>
      <c r="AD768" s="136">
        <f>IF(E768=$AD$6,1,"")</f>
        <v/>
      </c>
      <c r="AE768" s="136">
        <f>IF(E768=$AE$6,1,"")</f>
        <v/>
      </c>
      <c r="AF768" s="136">
        <f>IF(E768=$AF$6,1,"")</f>
        <v/>
      </c>
      <c r="AG768" s="136">
        <f>IF(E768=$AG$6,1,"")</f>
        <v/>
      </c>
      <c r="AH768" s="136">
        <f>IF(E768=$AH$6,1,"")</f>
        <v/>
      </c>
      <c r="AI768" s="136">
        <f>IF(E768=$AI$6,1,"")</f>
        <v/>
      </c>
      <c r="AJ768" s="136">
        <f>IF(E768=$AJ$6,1,"")</f>
        <v/>
      </c>
      <c r="AK768" s="81">
        <f>IF(E768=$AK$6,1,"")</f>
        <v/>
      </c>
      <c r="AL768" s="81">
        <f>IF(E768=$AL$6,1,"")</f>
        <v/>
      </c>
      <c r="AM768" s="81">
        <f>IF(E768=$AM$6,1,"")</f>
        <v/>
      </c>
      <c r="AN768" s="81">
        <f>IF(E768=$AN$6,1,"")</f>
        <v/>
      </c>
      <c r="AO768" s="81">
        <f>IF(E768=$AO$6,1,"")</f>
        <v/>
      </c>
      <c r="AP768" s="81">
        <f>IF(E768=$AP$6,1,"")</f>
        <v/>
      </c>
      <c r="AQ768" s="81">
        <f>IF(E768=$AQ$6,1,"")</f>
        <v/>
      </c>
      <c r="AR768" s="81">
        <f>IF(E768=$AR$6,1,"")</f>
        <v/>
      </c>
      <c r="AS768" s="81" t="n"/>
    </row>
    <row r="769" ht="15.75" customHeight="1" s="80">
      <c r="A769" s="157" t="n"/>
      <c r="B769" s="124" t="n"/>
      <c r="C769" s="125" t="n"/>
      <c r="D769" s="126" t="n"/>
      <c r="E769" s="127" t="n"/>
      <c r="F769" s="128" t="n"/>
      <c r="G769" s="129">
        <f>IF(F769="","",ROUND(F769/60,2))</f>
        <v/>
      </c>
      <c r="H769" s="130" t="n"/>
      <c r="I769" s="131" t="n"/>
      <c r="J769" s="131">
        <f>IF(COUNTIF(B769:E769,"*")=0,"",IF(T769=1,"Invalid Service",IF(AND(V769=1,F769=""),"Add Session Mins",IF(AND(E769&gt;0,H769="",T769=""),"Enter Contract Rate",IF(AND(E769="IEP mtg, prep, rept",F769&gt;0),(G769*H769),IF(AND(E769&gt;0,F769&gt;0,H769&gt;0,I769=""),"Enter Travel",IF(AND(F769&gt;0,I769="Y"),(G769*H769)+$M$10,IF(AND(F769&gt;0,I769="N"),(G769*H769),H769))))))))</f>
        <v/>
      </c>
      <c r="K769" s="132">
        <f>J769</f>
        <v/>
      </c>
      <c r="L769" s="148" t="n"/>
      <c r="M769" s="148" t="n"/>
      <c r="N769" s="148" t="n"/>
      <c r="O769" s="87" t="n"/>
      <c r="P769" s="81" t="n"/>
      <c r="Q769" s="81" t="n"/>
      <c r="R769" s="81" t="n"/>
      <c r="S769" s="81" t="n"/>
      <c r="T769" s="136">
        <f>IF(AND(E769&gt;0,U769=0),1,"")</f>
        <v/>
      </c>
      <c r="U769" s="136">
        <f>SUM(X769:AR769)</f>
        <v/>
      </c>
      <c r="V769" s="136">
        <f>IF(E769=$Q$16,0,SUM(X769:AI769))</f>
        <v/>
      </c>
      <c r="W769" s="136">
        <f>SUM(AK769:AR769)</f>
        <v/>
      </c>
      <c r="X769" s="136">
        <f>IF(E769=$X$6,1,"")</f>
        <v/>
      </c>
      <c r="Y769" s="136">
        <f>IF(E769=$Y$6,1,"")</f>
        <v/>
      </c>
      <c r="Z769" s="136">
        <f>IF(E769=$Z$6,1,"")</f>
        <v/>
      </c>
      <c r="AA769" s="136">
        <f>IF(E769=$AA$6,1,"")</f>
        <v/>
      </c>
      <c r="AB769" s="136">
        <f>IF(E769=$AB$6,1,"")</f>
        <v/>
      </c>
      <c r="AC769" s="136">
        <f>IF(E769=$AC$6,1,"")</f>
        <v/>
      </c>
      <c r="AD769" s="136">
        <f>IF(E769=$AD$6,1,"")</f>
        <v/>
      </c>
      <c r="AE769" s="136">
        <f>IF(E769=$AE$6,1,"")</f>
        <v/>
      </c>
      <c r="AF769" s="136">
        <f>IF(E769=$AF$6,1,"")</f>
        <v/>
      </c>
      <c r="AG769" s="136">
        <f>IF(E769=$AG$6,1,"")</f>
        <v/>
      </c>
      <c r="AH769" s="136">
        <f>IF(E769=$AH$6,1,"")</f>
        <v/>
      </c>
      <c r="AI769" s="136">
        <f>IF(E769=$AI$6,1,"")</f>
        <v/>
      </c>
      <c r="AJ769" s="136">
        <f>IF(E769=$AJ$6,1,"")</f>
        <v/>
      </c>
      <c r="AK769" s="81">
        <f>IF(E769=$AK$6,1,"")</f>
        <v/>
      </c>
      <c r="AL769" s="81">
        <f>IF(E769=$AL$6,1,"")</f>
        <v/>
      </c>
      <c r="AM769" s="81">
        <f>IF(E769=$AM$6,1,"")</f>
        <v/>
      </c>
      <c r="AN769" s="81">
        <f>IF(E769=$AN$6,1,"")</f>
        <v/>
      </c>
      <c r="AO769" s="81">
        <f>IF(E769=$AO$6,1,"")</f>
        <v/>
      </c>
      <c r="AP769" s="81">
        <f>IF(E769=$AP$6,1,"")</f>
        <v/>
      </c>
      <c r="AQ769" s="81">
        <f>IF(E769=$AQ$6,1,"")</f>
        <v/>
      </c>
      <c r="AR769" s="81">
        <f>IF(E769=$AR$6,1,"")</f>
        <v/>
      </c>
      <c r="AS769" s="81" t="n"/>
    </row>
    <row r="770" ht="15.75" customHeight="1" s="80">
      <c r="A770" s="157" t="n"/>
      <c r="B770" s="124" t="n"/>
      <c r="C770" s="125" t="n"/>
      <c r="D770" s="126" t="n"/>
      <c r="E770" s="127" t="n"/>
      <c r="F770" s="128" t="n"/>
      <c r="G770" s="129">
        <f>IF(F770="","",ROUND(F770/60,2))</f>
        <v/>
      </c>
      <c r="H770" s="130" t="n"/>
      <c r="I770" s="131" t="n"/>
      <c r="J770" s="131">
        <f>IF(COUNTIF(B770:E770,"*")=0,"",IF(T770=1,"Invalid Service",IF(AND(V770=1,F770=""),"Add Session Mins",IF(AND(E770&gt;0,H770="",T770=""),"Enter Contract Rate",IF(AND(E770="IEP mtg, prep, rept",F770&gt;0),(G770*H770),IF(AND(E770&gt;0,F770&gt;0,H770&gt;0,I770=""),"Enter Travel",IF(AND(F770&gt;0,I770="Y"),(G770*H770)+$M$10,IF(AND(F770&gt;0,I770="N"),(G770*H770),H770))))))))</f>
        <v/>
      </c>
      <c r="K770" s="132">
        <f>J770</f>
        <v/>
      </c>
      <c r="L770" s="148" t="n"/>
      <c r="M770" s="148" t="n"/>
      <c r="N770" s="148" t="n"/>
      <c r="O770" s="87" t="n"/>
      <c r="P770" s="81" t="n"/>
      <c r="Q770" s="81" t="n"/>
      <c r="R770" s="81" t="n"/>
      <c r="S770" s="81" t="n"/>
      <c r="T770" s="136">
        <f>IF(AND(E770&gt;0,U770=0),1,"")</f>
        <v/>
      </c>
      <c r="U770" s="136">
        <f>SUM(X770:AR770)</f>
        <v/>
      </c>
      <c r="V770" s="136">
        <f>IF(E770=$Q$16,0,SUM(X770:AI770))</f>
        <v/>
      </c>
      <c r="W770" s="136">
        <f>SUM(AK770:AR770)</f>
        <v/>
      </c>
      <c r="X770" s="136">
        <f>IF(E770=$X$6,1,"")</f>
        <v/>
      </c>
      <c r="Y770" s="136">
        <f>IF(E770=$Y$6,1,"")</f>
        <v/>
      </c>
      <c r="Z770" s="136">
        <f>IF(E770=$Z$6,1,"")</f>
        <v/>
      </c>
      <c r="AA770" s="136">
        <f>IF(E770=$AA$6,1,"")</f>
        <v/>
      </c>
      <c r="AB770" s="136">
        <f>IF(E770=$AB$6,1,"")</f>
        <v/>
      </c>
      <c r="AC770" s="136">
        <f>IF(E770=$AC$6,1,"")</f>
        <v/>
      </c>
      <c r="AD770" s="136">
        <f>IF(E770=$AD$6,1,"")</f>
        <v/>
      </c>
      <c r="AE770" s="136">
        <f>IF(E770=$AE$6,1,"")</f>
        <v/>
      </c>
      <c r="AF770" s="136">
        <f>IF(E770=$AF$6,1,"")</f>
        <v/>
      </c>
      <c r="AG770" s="136">
        <f>IF(E770=$AG$6,1,"")</f>
        <v/>
      </c>
      <c r="AH770" s="136">
        <f>IF(E770=$AH$6,1,"")</f>
        <v/>
      </c>
      <c r="AI770" s="136">
        <f>IF(E770=$AI$6,1,"")</f>
        <v/>
      </c>
      <c r="AJ770" s="136">
        <f>IF(E770=$AJ$6,1,"")</f>
        <v/>
      </c>
      <c r="AK770" s="81">
        <f>IF(E770=$AK$6,1,"")</f>
        <v/>
      </c>
      <c r="AL770" s="81">
        <f>IF(E770=$AL$6,1,"")</f>
        <v/>
      </c>
      <c r="AM770" s="81">
        <f>IF(E770=$AM$6,1,"")</f>
        <v/>
      </c>
      <c r="AN770" s="81">
        <f>IF(E770=$AN$6,1,"")</f>
        <v/>
      </c>
      <c r="AO770" s="81">
        <f>IF(E770=$AO$6,1,"")</f>
        <v/>
      </c>
      <c r="AP770" s="81">
        <f>IF(E770=$AP$6,1,"")</f>
        <v/>
      </c>
      <c r="AQ770" s="81">
        <f>IF(E770=$AQ$6,1,"")</f>
        <v/>
      </c>
      <c r="AR770" s="81">
        <f>IF(E770=$AR$6,1,"")</f>
        <v/>
      </c>
      <c r="AS770" s="81" t="n"/>
    </row>
    <row r="771" ht="15.75" customHeight="1" s="80">
      <c r="A771" s="157" t="n"/>
      <c r="B771" s="124" t="n"/>
      <c r="C771" s="125" t="n"/>
      <c r="D771" s="126" t="n"/>
      <c r="E771" s="127" t="n"/>
      <c r="F771" s="128" t="n"/>
      <c r="G771" s="129">
        <f>IF(F771="","",ROUND(F771/60,2))</f>
        <v/>
      </c>
      <c r="H771" s="130" t="n"/>
      <c r="I771" s="131" t="n"/>
      <c r="J771" s="131">
        <f>IF(COUNTIF(B771:E771,"*")=0,"",IF(T771=1,"Invalid Service",IF(AND(V771=1,F771=""),"Add Session Mins",IF(AND(E771&gt;0,H771="",T771=""),"Enter Contract Rate",IF(AND(E771="IEP mtg, prep, rept",F771&gt;0),(G771*H771),IF(AND(E771&gt;0,F771&gt;0,H771&gt;0,I771=""),"Enter Travel",IF(AND(F771&gt;0,I771="Y"),(G771*H771)+$M$10,IF(AND(F771&gt;0,I771="N"),(G771*H771),H771))))))))</f>
        <v/>
      </c>
      <c r="K771" s="132">
        <f>J771</f>
        <v/>
      </c>
      <c r="L771" s="148" t="n"/>
      <c r="M771" s="148" t="n"/>
      <c r="N771" s="148" t="n"/>
      <c r="O771" s="87" t="n"/>
      <c r="P771" s="81" t="n"/>
      <c r="Q771" s="81" t="n"/>
      <c r="R771" s="81" t="n"/>
      <c r="S771" s="81" t="n"/>
      <c r="T771" s="136">
        <f>IF(AND(E771&gt;0,U771=0),1,"")</f>
        <v/>
      </c>
      <c r="U771" s="136">
        <f>SUM(X771:AR771)</f>
        <v/>
      </c>
      <c r="V771" s="136">
        <f>IF(E771=$Q$16,0,SUM(X771:AI771))</f>
        <v/>
      </c>
      <c r="W771" s="136">
        <f>SUM(AK771:AR771)</f>
        <v/>
      </c>
      <c r="X771" s="136">
        <f>IF(E771=$X$6,1,"")</f>
        <v/>
      </c>
      <c r="Y771" s="136">
        <f>IF(E771=$Y$6,1,"")</f>
        <v/>
      </c>
      <c r="Z771" s="136">
        <f>IF(E771=$Z$6,1,"")</f>
        <v/>
      </c>
      <c r="AA771" s="136">
        <f>IF(E771=$AA$6,1,"")</f>
        <v/>
      </c>
      <c r="AB771" s="136">
        <f>IF(E771=$AB$6,1,"")</f>
        <v/>
      </c>
      <c r="AC771" s="136">
        <f>IF(E771=$AC$6,1,"")</f>
        <v/>
      </c>
      <c r="AD771" s="136">
        <f>IF(E771=$AD$6,1,"")</f>
        <v/>
      </c>
      <c r="AE771" s="136">
        <f>IF(E771=$AE$6,1,"")</f>
        <v/>
      </c>
      <c r="AF771" s="136">
        <f>IF(E771=$AF$6,1,"")</f>
        <v/>
      </c>
      <c r="AG771" s="136">
        <f>IF(E771=$AG$6,1,"")</f>
        <v/>
      </c>
      <c r="AH771" s="136">
        <f>IF(E771=$AH$6,1,"")</f>
        <v/>
      </c>
      <c r="AI771" s="136">
        <f>IF(E771=$AI$6,1,"")</f>
        <v/>
      </c>
      <c r="AJ771" s="136">
        <f>IF(E771=$AJ$6,1,"")</f>
        <v/>
      </c>
      <c r="AK771" s="81">
        <f>IF(E771=$AK$6,1,"")</f>
        <v/>
      </c>
      <c r="AL771" s="81">
        <f>IF(E771=$AL$6,1,"")</f>
        <v/>
      </c>
      <c r="AM771" s="81">
        <f>IF(E771=$AM$6,1,"")</f>
        <v/>
      </c>
      <c r="AN771" s="81">
        <f>IF(E771=$AN$6,1,"")</f>
        <v/>
      </c>
      <c r="AO771" s="81">
        <f>IF(E771=$AO$6,1,"")</f>
        <v/>
      </c>
      <c r="AP771" s="81">
        <f>IF(E771=$AP$6,1,"")</f>
        <v/>
      </c>
      <c r="AQ771" s="81">
        <f>IF(E771=$AQ$6,1,"")</f>
        <v/>
      </c>
      <c r="AR771" s="81">
        <f>IF(E771=$AR$6,1,"")</f>
        <v/>
      </c>
      <c r="AS771" s="81" t="n"/>
    </row>
    <row r="772" ht="15.75" customHeight="1" s="80">
      <c r="A772" s="157" t="n"/>
      <c r="B772" s="124" t="n"/>
      <c r="C772" s="125" t="n"/>
      <c r="D772" s="126" t="n"/>
      <c r="E772" s="127" t="n"/>
      <c r="F772" s="128" t="n"/>
      <c r="G772" s="129">
        <f>IF(F772="","",ROUND(F772/60,2))</f>
        <v/>
      </c>
      <c r="H772" s="130" t="n"/>
      <c r="I772" s="131" t="n"/>
      <c r="J772" s="131">
        <f>IF(COUNTIF(B772:E772,"*")=0,"",IF(T772=1,"Invalid Service",IF(AND(V772=1,F772=""),"Add Session Mins",IF(AND(E772&gt;0,H772="",T772=""),"Enter Contract Rate",IF(AND(E772="IEP mtg, prep, rept",F772&gt;0),(G772*H772),IF(AND(E772&gt;0,F772&gt;0,H772&gt;0,I772=""),"Enter Travel",IF(AND(F772&gt;0,I772="Y"),(G772*H772)+$M$10,IF(AND(F772&gt;0,I772="N"),(G772*H772),H772))))))))</f>
        <v/>
      </c>
      <c r="K772" s="132">
        <f>J772</f>
        <v/>
      </c>
      <c r="L772" s="148" t="n"/>
      <c r="M772" s="148" t="n"/>
      <c r="N772" s="148" t="n"/>
      <c r="O772" s="87" t="n"/>
      <c r="P772" s="81" t="n"/>
      <c r="Q772" s="81" t="n"/>
      <c r="R772" s="81" t="n"/>
      <c r="S772" s="81" t="n"/>
      <c r="T772" s="136">
        <f>IF(AND(E772&gt;0,U772=0),1,"")</f>
        <v/>
      </c>
      <c r="U772" s="136">
        <f>SUM(X772:AR772)</f>
        <v/>
      </c>
      <c r="V772" s="136">
        <f>IF(E772=$Q$16,0,SUM(X772:AI772))</f>
        <v/>
      </c>
      <c r="W772" s="136">
        <f>SUM(AK772:AR772)</f>
        <v/>
      </c>
      <c r="X772" s="136">
        <f>IF(E772=$X$6,1,"")</f>
        <v/>
      </c>
      <c r="Y772" s="136">
        <f>IF(E772=$Y$6,1,"")</f>
        <v/>
      </c>
      <c r="Z772" s="136">
        <f>IF(E772=$Z$6,1,"")</f>
        <v/>
      </c>
      <c r="AA772" s="136">
        <f>IF(E772=$AA$6,1,"")</f>
        <v/>
      </c>
      <c r="AB772" s="136">
        <f>IF(E772=$AB$6,1,"")</f>
        <v/>
      </c>
      <c r="AC772" s="136">
        <f>IF(E772=$AC$6,1,"")</f>
        <v/>
      </c>
      <c r="AD772" s="136">
        <f>IF(E772=$AD$6,1,"")</f>
        <v/>
      </c>
      <c r="AE772" s="136">
        <f>IF(E772=$AE$6,1,"")</f>
        <v/>
      </c>
      <c r="AF772" s="136">
        <f>IF(E772=$AF$6,1,"")</f>
        <v/>
      </c>
      <c r="AG772" s="136">
        <f>IF(E772=$AG$6,1,"")</f>
        <v/>
      </c>
      <c r="AH772" s="136">
        <f>IF(E772=$AH$6,1,"")</f>
        <v/>
      </c>
      <c r="AI772" s="136">
        <f>IF(E772=$AI$6,1,"")</f>
        <v/>
      </c>
      <c r="AJ772" s="136">
        <f>IF(E772=$AJ$6,1,"")</f>
        <v/>
      </c>
      <c r="AK772" s="81">
        <f>IF(E772=$AK$6,1,"")</f>
        <v/>
      </c>
      <c r="AL772" s="81">
        <f>IF(E772=$AL$6,1,"")</f>
        <v/>
      </c>
      <c r="AM772" s="81">
        <f>IF(E772=$AM$6,1,"")</f>
        <v/>
      </c>
      <c r="AN772" s="81">
        <f>IF(E772=$AN$6,1,"")</f>
        <v/>
      </c>
      <c r="AO772" s="81">
        <f>IF(E772=$AO$6,1,"")</f>
        <v/>
      </c>
      <c r="AP772" s="81">
        <f>IF(E772=$AP$6,1,"")</f>
        <v/>
      </c>
      <c r="AQ772" s="81">
        <f>IF(E772=$AQ$6,1,"")</f>
        <v/>
      </c>
      <c r="AR772" s="81">
        <f>IF(E772=$AR$6,1,"")</f>
        <v/>
      </c>
      <c r="AS772" s="81" t="n"/>
    </row>
    <row r="773" ht="15.75" customHeight="1" s="80">
      <c r="A773" s="157" t="n"/>
      <c r="B773" s="124" t="n"/>
      <c r="C773" s="125" t="n"/>
      <c r="D773" s="126" t="n"/>
      <c r="E773" s="127" t="n"/>
      <c r="F773" s="128" t="n"/>
      <c r="G773" s="129">
        <f>IF(F773="","",ROUND(F773/60,2))</f>
        <v/>
      </c>
      <c r="H773" s="130" t="n"/>
      <c r="I773" s="131" t="n"/>
      <c r="J773" s="131">
        <f>IF(COUNTIF(B773:E773,"*")=0,"",IF(T773=1,"Invalid Service",IF(AND(V773=1,F773=""),"Add Session Mins",IF(AND(E773&gt;0,H773="",T773=""),"Enter Contract Rate",IF(AND(E773="IEP mtg, prep, rept",F773&gt;0),(G773*H773),IF(AND(E773&gt;0,F773&gt;0,H773&gt;0,I773=""),"Enter Travel",IF(AND(F773&gt;0,I773="Y"),(G773*H773)+$M$10,IF(AND(F773&gt;0,I773="N"),(G773*H773),H773))))))))</f>
        <v/>
      </c>
      <c r="K773" s="132">
        <f>J773</f>
        <v/>
      </c>
      <c r="L773" s="148" t="n"/>
      <c r="M773" s="148" t="n"/>
      <c r="N773" s="148" t="n"/>
      <c r="O773" s="87" t="n"/>
      <c r="P773" s="81" t="n"/>
      <c r="Q773" s="81" t="n"/>
      <c r="R773" s="81" t="n"/>
      <c r="S773" s="81" t="n"/>
      <c r="T773" s="136">
        <f>IF(AND(E773&gt;0,U773=0),1,"")</f>
        <v/>
      </c>
      <c r="U773" s="136">
        <f>SUM(X773:AR773)</f>
        <v/>
      </c>
      <c r="V773" s="136">
        <f>IF(E773=$Q$16,0,SUM(X773:AI773))</f>
        <v/>
      </c>
      <c r="W773" s="136">
        <f>SUM(AK773:AR773)</f>
        <v/>
      </c>
      <c r="X773" s="136">
        <f>IF(E773=$X$6,1,"")</f>
        <v/>
      </c>
      <c r="Y773" s="136">
        <f>IF(E773=$Y$6,1,"")</f>
        <v/>
      </c>
      <c r="Z773" s="136">
        <f>IF(E773=$Z$6,1,"")</f>
        <v/>
      </c>
      <c r="AA773" s="136">
        <f>IF(E773=$AA$6,1,"")</f>
        <v/>
      </c>
      <c r="AB773" s="136">
        <f>IF(E773=$AB$6,1,"")</f>
        <v/>
      </c>
      <c r="AC773" s="136">
        <f>IF(E773=$AC$6,1,"")</f>
        <v/>
      </c>
      <c r="AD773" s="136">
        <f>IF(E773=$AD$6,1,"")</f>
        <v/>
      </c>
      <c r="AE773" s="136">
        <f>IF(E773=$AE$6,1,"")</f>
        <v/>
      </c>
      <c r="AF773" s="136">
        <f>IF(E773=$AF$6,1,"")</f>
        <v/>
      </c>
      <c r="AG773" s="136">
        <f>IF(E773=$AG$6,1,"")</f>
        <v/>
      </c>
      <c r="AH773" s="136">
        <f>IF(E773=$AH$6,1,"")</f>
        <v/>
      </c>
      <c r="AI773" s="136">
        <f>IF(E773=$AI$6,1,"")</f>
        <v/>
      </c>
      <c r="AJ773" s="136">
        <f>IF(E773=$AJ$6,1,"")</f>
        <v/>
      </c>
      <c r="AK773" s="81">
        <f>IF(E773=$AK$6,1,"")</f>
        <v/>
      </c>
      <c r="AL773" s="81">
        <f>IF(E773=$AL$6,1,"")</f>
        <v/>
      </c>
      <c r="AM773" s="81">
        <f>IF(E773=$AM$6,1,"")</f>
        <v/>
      </c>
      <c r="AN773" s="81">
        <f>IF(E773=$AN$6,1,"")</f>
        <v/>
      </c>
      <c r="AO773" s="81">
        <f>IF(E773=$AO$6,1,"")</f>
        <v/>
      </c>
      <c r="AP773" s="81">
        <f>IF(E773=$AP$6,1,"")</f>
        <v/>
      </c>
      <c r="AQ773" s="81">
        <f>IF(E773=$AQ$6,1,"")</f>
        <v/>
      </c>
      <c r="AR773" s="81">
        <f>IF(E773=$AR$6,1,"")</f>
        <v/>
      </c>
      <c r="AS773" s="81" t="n"/>
    </row>
    <row r="774" ht="15.75" customHeight="1" s="80">
      <c r="A774" s="157" t="n"/>
      <c r="B774" s="124" t="n"/>
      <c r="C774" s="125" t="n"/>
      <c r="D774" s="126" t="n"/>
      <c r="E774" s="127" t="n"/>
      <c r="F774" s="128" t="n"/>
      <c r="G774" s="129">
        <f>IF(F774="","",ROUND(F774/60,2))</f>
        <v/>
      </c>
      <c r="H774" s="130" t="n"/>
      <c r="I774" s="131" t="n"/>
      <c r="J774" s="131">
        <f>IF(COUNTIF(B774:E774,"*")=0,"",IF(T774=1,"Invalid Service",IF(AND(V774=1,F774=""),"Add Session Mins",IF(AND(E774&gt;0,H774="",T774=""),"Enter Contract Rate",IF(AND(E774="IEP mtg, prep, rept",F774&gt;0),(G774*H774),IF(AND(E774&gt;0,F774&gt;0,H774&gt;0,I774=""),"Enter Travel",IF(AND(F774&gt;0,I774="Y"),(G774*H774)+$M$10,IF(AND(F774&gt;0,I774="N"),(G774*H774),H774))))))))</f>
        <v/>
      </c>
      <c r="K774" s="132">
        <f>J774</f>
        <v/>
      </c>
      <c r="L774" s="148" t="n"/>
      <c r="M774" s="148" t="n"/>
      <c r="N774" s="148" t="n"/>
      <c r="O774" s="87" t="n"/>
      <c r="P774" s="81" t="n"/>
      <c r="Q774" s="81" t="n"/>
      <c r="R774" s="81" t="n"/>
      <c r="S774" s="81" t="n"/>
      <c r="T774" s="136">
        <f>IF(AND(E774&gt;0,U774=0),1,"")</f>
        <v/>
      </c>
      <c r="U774" s="136">
        <f>SUM(X774:AR774)</f>
        <v/>
      </c>
      <c r="V774" s="136">
        <f>IF(E774=$Q$16,0,SUM(X774:AI774))</f>
        <v/>
      </c>
      <c r="W774" s="136">
        <f>SUM(AK774:AR774)</f>
        <v/>
      </c>
      <c r="X774" s="136">
        <f>IF(E774=$X$6,1,"")</f>
        <v/>
      </c>
      <c r="Y774" s="136">
        <f>IF(E774=$Y$6,1,"")</f>
        <v/>
      </c>
      <c r="Z774" s="136">
        <f>IF(E774=$Z$6,1,"")</f>
        <v/>
      </c>
      <c r="AA774" s="136">
        <f>IF(E774=$AA$6,1,"")</f>
        <v/>
      </c>
      <c r="AB774" s="136">
        <f>IF(E774=$AB$6,1,"")</f>
        <v/>
      </c>
      <c r="AC774" s="136">
        <f>IF(E774=$AC$6,1,"")</f>
        <v/>
      </c>
      <c r="AD774" s="136">
        <f>IF(E774=$AD$6,1,"")</f>
        <v/>
      </c>
      <c r="AE774" s="136">
        <f>IF(E774=$AE$6,1,"")</f>
        <v/>
      </c>
      <c r="AF774" s="136">
        <f>IF(E774=$AF$6,1,"")</f>
        <v/>
      </c>
      <c r="AG774" s="136">
        <f>IF(E774=$AG$6,1,"")</f>
        <v/>
      </c>
      <c r="AH774" s="136">
        <f>IF(E774=$AH$6,1,"")</f>
        <v/>
      </c>
      <c r="AI774" s="136">
        <f>IF(E774=$AI$6,1,"")</f>
        <v/>
      </c>
      <c r="AJ774" s="136">
        <f>IF(E774=$AJ$6,1,"")</f>
        <v/>
      </c>
      <c r="AK774" s="81">
        <f>IF(E774=$AK$6,1,"")</f>
        <v/>
      </c>
      <c r="AL774" s="81">
        <f>IF(E774=$AL$6,1,"")</f>
        <v/>
      </c>
      <c r="AM774" s="81">
        <f>IF(E774=$AM$6,1,"")</f>
        <v/>
      </c>
      <c r="AN774" s="81">
        <f>IF(E774=$AN$6,1,"")</f>
        <v/>
      </c>
      <c r="AO774" s="81">
        <f>IF(E774=$AO$6,1,"")</f>
        <v/>
      </c>
      <c r="AP774" s="81">
        <f>IF(E774=$AP$6,1,"")</f>
        <v/>
      </c>
      <c r="AQ774" s="81">
        <f>IF(E774=$AQ$6,1,"")</f>
        <v/>
      </c>
      <c r="AR774" s="81">
        <f>IF(E774=$AR$6,1,"")</f>
        <v/>
      </c>
      <c r="AS774" s="81" t="n"/>
    </row>
    <row r="775" ht="15.75" customHeight="1" s="80">
      <c r="A775" s="157" t="n"/>
      <c r="B775" s="124" t="n"/>
      <c r="C775" s="125" t="n"/>
      <c r="D775" s="126" t="n"/>
      <c r="E775" s="127" t="n"/>
      <c r="F775" s="128" t="n"/>
      <c r="G775" s="129">
        <f>IF(F775="","",ROUND(F775/60,2))</f>
        <v/>
      </c>
      <c r="H775" s="130" t="n"/>
      <c r="I775" s="131" t="n"/>
      <c r="J775" s="131">
        <f>IF(COUNTIF(B775:E775,"*")=0,"",IF(T775=1,"Invalid Service",IF(AND(V775=1,F775=""),"Add Session Mins",IF(AND(E775&gt;0,H775="",T775=""),"Enter Contract Rate",IF(AND(E775="IEP mtg, prep, rept",F775&gt;0),(G775*H775),IF(AND(E775&gt;0,F775&gt;0,H775&gt;0,I775=""),"Enter Travel",IF(AND(F775&gt;0,I775="Y"),(G775*H775)+$M$10,IF(AND(F775&gt;0,I775="N"),(G775*H775),H775))))))))</f>
        <v/>
      </c>
      <c r="K775" s="132">
        <f>J775</f>
        <v/>
      </c>
      <c r="L775" s="148" t="n"/>
      <c r="M775" s="148" t="n"/>
      <c r="N775" s="148" t="n"/>
      <c r="O775" s="87" t="n"/>
      <c r="P775" s="81" t="n"/>
      <c r="Q775" s="81" t="n"/>
      <c r="R775" s="81" t="n"/>
      <c r="S775" s="81" t="n"/>
      <c r="T775" s="136">
        <f>IF(AND(E775&gt;0,U775=0),1,"")</f>
        <v/>
      </c>
      <c r="U775" s="136">
        <f>SUM(X775:AR775)</f>
        <v/>
      </c>
      <c r="V775" s="136">
        <f>IF(E775=$Q$16,0,SUM(X775:AI775))</f>
        <v/>
      </c>
      <c r="W775" s="136">
        <f>SUM(AK775:AR775)</f>
        <v/>
      </c>
      <c r="X775" s="136">
        <f>IF(E775=$X$6,1,"")</f>
        <v/>
      </c>
      <c r="Y775" s="136">
        <f>IF(E775=$Y$6,1,"")</f>
        <v/>
      </c>
      <c r="Z775" s="136">
        <f>IF(E775=$Z$6,1,"")</f>
        <v/>
      </c>
      <c r="AA775" s="136">
        <f>IF(E775=$AA$6,1,"")</f>
        <v/>
      </c>
      <c r="AB775" s="136">
        <f>IF(E775=$AB$6,1,"")</f>
        <v/>
      </c>
      <c r="AC775" s="136">
        <f>IF(E775=$AC$6,1,"")</f>
        <v/>
      </c>
      <c r="AD775" s="136">
        <f>IF(E775=$AD$6,1,"")</f>
        <v/>
      </c>
      <c r="AE775" s="136">
        <f>IF(E775=$AE$6,1,"")</f>
        <v/>
      </c>
      <c r="AF775" s="136">
        <f>IF(E775=$AF$6,1,"")</f>
        <v/>
      </c>
      <c r="AG775" s="136">
        <f>IF(E775=$AG$6,1,"")</f>
        <v/>
      </c>
      <c r="AH775" s="136">
        <f>IF(E775=$AH$6,1,"")</f>
        <v/>
      </c>
      <c r="AI775" s="136">
        <f>IF(E775=$AI$6,1,"")</f>
        <v/>
      </c>
      <c r="AJ775" s="136">
        <f>IF(E775=$AJ$6,1,"")</f>
        <v/>
      </c>
      <c r="AK775" s="81">
        <f>IF(E775=$AK$6,1,"")</f>
        <v/>
      </c>
      <c r="AL775" s="81">
        <f>IF(E775=$AL$6,1,"")</f>
        <v/>
      </c>
      <c r="AM775" s="81">
        <f>IF(E775=$AM$6,1,"")</f>
        <v/>
      </c>
      <c r="AN775" s="81">
        <f>IF(E775=$AN$6,1,"")</f>
        <v/>
      </c>
      <c r="AO775" s="81">
        <f>IF(E775=$AO$6,1,"")</f>
        <v/>
      </c>
      <c r="AP775" s="81">
        <f>IF(E775=$AP$6,1,"")</f>
        <v/>
      </c>
      <c r="AQ775" s="81">
        <f>IF(E775=$AQ$6,1,"")</f>
        <v/>
      </c>
      <c r="AR775" s="81">
        <f>IF(E775=$AR$6,1,"")</f>
        <v/>
      </c>
      <c r="AS775" s="81" t="n"/>
    </row>
    <row r="776" ht="15.75" customHeight="1" s="80">
      <c r="A776" s="157" t="n"/>
      <c r="B776" s="124" t="n"/>
      <c r="C776" s="125" t="n"/>
      <c r="D776" s="126" t="n"/>
      <c r="E776" s="127" t="n"/>
      <c r="F776" s="128" t="n"/>
      <c r="G776" s="129">
        <f>IF(F776="","",ROUND(F776/60,2))</f>
        <v/>
      </c>
      <c r="H776" s="130" t="n"/>
      <c r="I776" s="131" t="n"/>
      <c r="J776" s="131">
        <f>IF(COUNTIF(B776:E776,"*")=0,"",IF(T776=1,"Invalid Service",IF(AND(V776=1,F776=""),"Add Session Mins",IF(AND(E776&gt;0,H776="",T776=""),"Enter Contract Rate",IF(AND(E776="IEP mtg, prep, rept",F776&gt;0),(G776*H776),IF(AND(E776&gt;0,F776&gt;0,H776&gt;0,I776=""),"Enter Travel",IF(AND(F776&gt;0,I776="Y"),(G776*H776)+$M$10,IF(AND(F776&gt;0,I776="N"),(G776*H776),H776))))))))</f>
        <v/>
      </c>
      <c r="K776" s="132">
        <f>J776</f>
        <v/>
      </c>
      <c r="L776" s="148" t="n"/>
      <c r="M776" s="148" t="n"/>
      <c r="N776" s="148" t="n"/>
      <c r="O776" s="87" t="n"/>
      <c r="P776" s="81" t="n"/>
      <c r="Q776" s="81" t="n"/>
      <c r="R776" s="81" t="n"/>
      <c r="S776" s="81" t="n"/>
      <c r="T776" s="136">
        <f>IF(AND(E776&gt;0,U776=0),1,"")</f>
        <v/>
      </c>
      <c r="U776" s="136">
        <f>SUM(X776:AR776)</f>
        <v/>
      </c>
      <c r="V776" s="136">
        <f>IF(E776=$Q$16,0,SUM(X776:AI776))</f>
        <v/>
      </c>
      <c r="W776" s="136">
        <f>SUM(AK776:AR776)</f>
        <v/>
      </c>
      <c r="X776" s="136">
        <f>IF(E776=$X$6,1,"")</f>
        <v/>
      </c>
      <c r="Y776" s="136">
        <f>IF(E776=$Y$6,1,"")</f>
        <v/>
      </c>
      <c r="Z776" s="136">
        <f>IF(E776=$Z$6,1,"")</f>
        <v/>
      </c>
      <c r="AA776" s="136">
        <f>IF(E776=$AA$6,1,"")</f>
        <v/>
      </c>
      <c r="AB776" s="136">
        <f>IF(E776=$AB$6,1,"")</f>
        <v/>
      </c>
      <c r="AC776" s="136">
        <f>IF(E776=$AC$6,1,"")</f>
        <v/>
      </c>
      <c r="AD776" s="136">
        <f>IF(E776=$AD$6,1,"")</f>
        <v/>
      </c>
      <c r="AE776" s="136">
        <f>IF(E776=$AE$6,1,"")</f>
        <v/>
      </c>
      <c r="AF776" s="136">
        <f>IF(E776=$AF$6,1,"")</f>
        <v/>
      </c>
      <c r="AG776" s="136">
        <f>IF(E776=$AG$6,1,"")</f>
        <v/>
      </c>
      <c r="AH776" s="136">
        <f>IF(E776=$AH$6,1,"")</f>
        <v/>
      </c>
      <c r="AI776" s="136">
        <f>IF(E776=$AI$6,1,"")</f>
        <v/>
      </c>
      <c r="AJ776" s="136">
        <f>IF(E776=$AJ$6,1,"")</f>
        <v/>
      </c>
      <c r="AK776" s="81">
        <f>IF(E776=$AK$6,1,"")</f>
        <v/>
      </c>
      <c r="AL776" s="81">
        <f>IF(E776=$AL$6,1,"")</f>
        <v/>
      </c>
      <c r="AM776" s="81">
        <f>IF(E776=$AM$6,1,"")</f>
        <v/>
      </c>
      <c r="AN776" s="81">
        <f>IF(E776=$AN$6,1,"")</f>
        <v/>
      </c>
      <c r="AO776" s="81">
        <f>IF(E776=$AO$6,1,"")</f>
        <v/>
      </c>
      <c r="AP776" s="81">
        <f>IF(E776=$AP$6,1,"")</f>
        <v/>
      </c>
      <c r="AQ776" s="81">
        <f>IF(E776=$AQ$6,1,"")</f>
        <v/>
      </c>
      <c r="AR776" s="81">
        <f>IF(E776=$AR$6,1,"")</f>
        <v/>
      </c>
      <c r="AS776" s="81" t="n"/>
    </row>
    <row r="777" ht="15.75" customHeight="1" s="80">
      <c r="A777" s="157" t="n"/>
      <c r="B777" s="124" t="n"/>
      <c r="C777" s="125" t="n"/>
      <c r="D777" s="126" t="n"/>
      <c r="E777" s="127" t="n"/>
      <c r="F777" s="128" t="n"/>
      <c r="G777" s="129">
        <f>IF(F777="","",ROUND(F777/60,2))</f>
        <v/>
      </c>
      <c r="H777" s="130" t="n"/>
      <c r="I777" s="131" t="n"/>
      <c r="J777" s="131">
        <f>IF(COUNTIF(B777:E777,"*")=0,"",IF(T777=1,"Invalid Service",IF(AND(V777=1,F777=""),"Add Session Mins",IF(AND(E777&gt;0,H777="",T777=""),"Enter Contract Rate",IF(AND(E777="IEP mtg, prep, rept",F777&gt;0),(G777*H777),IF(AND(E777&gt;0,F777&gt;0,H777&gt;0,I777=""),"Enter Travel",IF(AND(F777&gt;0,I777="Y"),(G777*H777)+$M$10,IF(AND(F777&gt;0,I777="N"),(G777*H777),H777))))))))</f>
        <v/>
      </c>
      <c r="K777" s="132">
        <f>J777</f>
        <v/>
      </c>
      <c r="L777" s="148" t="n"/>
      <c r="M777" s="148" t="n"/>
      <c r="N777" s="148" t="n"/>
      <c r="O777" s="87" t="n"/>
      <c r="P777" s="81" t="n"/>
      <c r="Q777" s="81" t="n"/>
      <c r="R777" s="81" t="n"/>
      <c r="S777" s="81" t="n"/>
      <c r="T777" s="136">
        <f>IF(AND(E777&gt;0,U777=0),1,"")</f>
        <v/>
      </c>
      <c r="U777" s="136">
        <f>SUM(X777:AR777)</f>
        <v/>
      </c>
      <c r="V777" s="136">
        <f>IF(E777=$Q$16,0,SUM(X777:AI777))</f>
        <v/>
      </c>
      <c r="W777" s="136">
        <f>SUM(AK777:AR777)</f>
        <v/>
      </c>
      <c r="X777" s="136">
        <f>IF(E777=$X$6,1,"")</f>
        <v/>
      </c>
      <c r="Y777" s="136">
        <f>IF(E777=$Y$6,1,"")</f>
        <v/>
      </c>
      <c r="Z777" s="136">
        <f>IF(E777=$Z$6,1,"")</f>
        <v/>
      </c>
      <c r="AA777" s="136">
        <f>IF(E777=$AA$6,1,"")</f>
        <v/>
      </c>
      <c r="AB777" s="136">
        <f>IF(E777=$AB$6,1,"")</f>
        <v/>
      </c>
      <c r="AC777" s="136">
        <f>IF(E777=$AC$6,1,"")</f>
        <v/>
      </c>
      <c r="AD777" s="136">
        <f>IF(E777=$AD$6,1,"")</f>
        <v/>
      </c>
      <c r="AE777" s="136">
        <f>IF(E777=$AE$6,1,"")</f>
        <v/>
      </c>
      <c r="AF777" s="136">
        <f>IF(E777=$AF$6,1,"")</f>
        <v/>
      </c>
      <c r="AG777" s="136">
        <f>IF(E777=$AG$6,1,"")</f>
        <v/>
      </c>
      <c r="AH777" s="136">
        <f>IF(E777=$AH$6,1,"")</f>
        <v/>
      </c>
      <c r="AI777" s="136">
        <f>IF(E777=$AI$6,1,"")</f>
        <v/>
      </c>
      <c r="AJ777" s="136">
        <f>IF(E777=$AJ$6,1,"")</f>
        <v/>
      </c>
      <c r="AK777" s="81">
        <f>IF(E777=$AK$6,1,"")</f>
        <v/>
      </c>
      <c r="AL777" s="81">
        <f>IF(E777=$AL$6,1,"")</f>
        <v/>
      </c>
      <c r="AM777" s="81">
        <f>IF(E777=$AM$6,1,"")</f>
        <v/>
      </c>
      <c r="AN777" s="81">
        <f>IF(E777=$AN$6,1,"")</f>
        <v/>
      </c>
      <c r="AO777" s="81">
        <f>IF(E777=$AO$6,1,"")</f>
        <v/>
      </c>
      <c r="AP777" s="81">
        <f>IF(E777=$AP$6,1,"")</f>
        <v/>
      </c>
      <c r="AQ777" s="81">
        <f>IF(E777=$AQ$6,1,"")</f>
        <v/>
      </c>
      <c r="AR777" s="81">
        <f>IF(E777=$AR$6,1,"")</f>
        <v/>
      </c>
      <c r="AS777" s="81" t="n"/>
    </row>
    <row r="778" ht="15.75" customHeight="1" s="80">
      <c r="A778" s="157" t="n"/>
      <c r="B778" s="124" t="n"/>
      <c r="C778" s="125" t="n"/>
      <c r="D778" s="126" t="n"/>
      <c r="E778" s="127" t="n"/>
      <c r="F778" s="128" t="n"/>
      <c r="G778" s="129">
        <f>IF(F778="","",ROUND(F778/60,2))</f>
        <v/>
      </c>
      <c r="H778" s="130" t="n"/>
      <c r="I778" s="131" t="n"/>
      <c r="J778" s="131">
        <f>IF(COUNTIF(B778:E778,"*")=0,"",IF(T778=1,"Invalid Service",IF(AND(V778=1,F778=""),"Add Session Mins",IF(AND(E778&gt;0,H778="",T778=""),"Enter Contract Rate",IF(AND(E778="IEP mtg, prep, rept",F778&gt;0),(G778*H778),IF(AND(E778&gt;0,F778&gt;0,H778&gt;0,I778=""),"Enter Travel",IF(AND(F778&gt;0,I778="Y"),(G778*H778)+$M$10,IF(AND(F778&gt;0,I778="N"),(G778*H778),H778))))))))</f>
        <v/>
      </c>
      <c r="K778" s="132">
        <f>J778</f>
        <v/>
      </c>
      <c r="L778" s="148" t="n"/>
      <c r="M778" s="148" t="n"/>
      <c r="N778" s="148" t="n"/>
      <c r="O778" s="87" t="n"/>
      <c r="P778" s="81" t="n"/>
      <c r="Q778" s="81" t="n"/>
      <c r="R778" s="81" t="n"/>
      <c r="S778" s="81" t="n"/>
      <c r="T778" s="136">
        <f>IF(AND(E778&gt;0,U778=0),1,"")</f>
        <v/>
      </c>
      <c r="U778" s="136">
        <f>SUM(X778:AR778)</f>
        <v/>
      </c>
      <c r="V778" s="136">
        <f>IF(E778=$Q$16,0,SUM(X778:AI778))</f>
        <v/>
      </c>
      <c r="W778" s="136">
        <f>SUM(AK778:AR778)</f>
        <v/>
      </c>
      <c r="X778" s="136">
        <f>IF(E778=$X$6,1,"")</f>
        <v/>
      </c>
      <c r="Y778" s="136">
        <f>IF(E778=$Y$6,1,"")</f>
        <v/>
      </c>
      <c r="Z778" s="136">
        <f>IF(E778=$Z$6,1,"")</f>
        <v/>
      </c>
      <c r="AA778" s="136">
        <f>IF(E778=$AA$6,1,"")</f>
        <v/>
      </c>
      <c r="AB778" s="136">
        <f>IF(E778=$AB$6,1,"")</f>
        <v/>
      </c>
      <c r="AC778" s="136">
        <f>IF(E778=$AC$6,1,"")</f>
        <v/>
      </c>
      <c r="AD778" s="136">
        <f>IF(E778=$AD$6,1,"")</f>
        <v/>
      </c>
      <c r="AE778" s="136">
        <f>IF(E778=$AE$6,1,"")</f>
        <v/>
      </c>
      <c r="AF778" s="136">
        <f>IF(E778=$AF$6,1,"")</f>
        <v/>
      </c>
      <c r="AG778" s="136">
        <f>IF(E778=$AG$6,1,"")</f>
        <v/>
      </c>
      <c r="AH778" s="136">
        <f>IF(E778=$AH$6,1,"")</f>
        <v/>
      </c>
      <c r="AI778" s="136">
        <f>IF(E778=$AI$6,1,"")</f>
        <v/>
      </c>
      <c r="AJ778" s="136">
        <f>IF(E778=$AJ$6,1,"")</f>
        <v/>
      </c>
      <c r="AK778" s="81">
        <f>IF(E778=$AK$6,1,"")</f>
        <v/>
      </c>
      <c r="AL778" s="81">
        <f>IF(E778=$AL$6,1,"")</f>
        <v/>
      </c>
      <c r="AM778" s="81">
        <f>IF(E778=$AM$6,1,"")</f>
        <v/>
      </c>
      <c r="AN778" s="81">
        <f>IF(E778=$AN$6,1,"")</f>
        <v/>
      </c>
      <c r="AO778" s="81">
        <f>IF(E778=$AO$6,1,"")</f>
        <v/>
      </c>
      <c r="AP778" s="81">
        <f>IF(E778=$AP$6,1,"")</f>
        <v/>
      </c>
      <c r="AQ778" s="81">
        <f>IF(E778=$AQ$6,1,"")</f>
        <v/>
      </c>
      <c r="AR778" s="81">
        <f>IF(E778=$AR$6,1,"")</f>
        <v/>
      </c>
      <c r="AS778" s="81" t="n"/>
    </row>
    <row r="779" ht="15.75" customHeight="1" s="80">
      <c r="A779" s="157" t="n"/>
      <c r="B779" s="124" t="n"/>
      <c r="C779" s="125" t="n"/>
      <c r="D779" s="126" t="n"/>
      <c r="E779" s="127" t="n"/>
      <c r="F779" s="128" t="n"/>
      <c r="G779" s="129">
        <f>IF(F779="","",ROUND(F779/60,2))</f>
        <v/>
      </c>
      <c r="H779" s="130" t="n"/>
      <c r="I779" s="131" t="n"/>
      <c r="J779" s="131">
        <f>IF(COUNTIF(B779:E779,"*")=0,"",IF(T779=1,"Invalid Service",IF(AND(V779=1,F779=""),"Add Session Mins",IF(AND(E779&gt;0,H779="",T779=""),"Enter Contract Rate",IF(AND(E779="IEP mtg, prep, rept",F779&gt;0),(G779*H779),IF(AND(E779&gt;0,F779&gt;0,H779&gt;0,I779=""),"Enter Travel",IF(AND(F779&gt;0,I779="Y"),(G779*H779)+$M$10,IF(AND(F779&gt;0,I779="N"),(G779*H779),H779))))))))</f>
        <v/>
      </c>
      <c r="K779" s="132">
        <f>J779</f>
        <v/>
      </c>
      <c r="L779" s="148" t="n"/>
      <c r="M779" s="148" t="n"/>
      <c r="N779" s="148" t="n"/>
      <c r="O779" s="87" t="n"/>
      <c r="P779" s="81" t="n"/>
      <c r="Q779" s="81" t="n"/>
      <c r="R779" s="81" t="n"/>
      <c r="S779" s="81" t="n"/>
      <c r="T779" s="136">
        <f>IF(AND(E779&gt;0,U779=0),1,"")</f>
        <v/>
      </c>
      <c r="U779" s="136">
        <f>SUM(X779:AR779)</f>
        <v/>
      </c>
      <c r="V779" s="136">
        <f>IF(E779=$Q$16,0,SUM(X779:AI779))</f>
        <v/>
      </c>
      <c r="W779" s="136">
        <f>SUM(AK779:AR779)</f>
        <v/>
      </c>
      <c r="X779" s="136">
        <f>IF(E779=$X$6,1,"")</f>
        <v/>
      </c>
      <c r="Y779" s="136">
        <f>IF(E779=$Y$6,1,"")</f>
        <v/>
      </c>
      <c r="Z779" s="136">
        <f>IF(E779=$Z$6,1,"")</f>
        <v/>
      </c>
      <c r="AA779" s="136">
        <f>IF(E779=$AA$6,1,"")</f>
        <v/>
      </c>
      <c r="AB779" s="136">
        <f>IF(E779=$AB$6,1,"")</f>
        <v/>
      </c>
      <c r="AC779" s="136">
        <f>IF(E779=$AC$6,1,"")</f>
        <v/>
      </c>
      <c r="AD779" s="136">
        <f>IF(E779=$AD$6,1,"")</f>
        <v/>
      </c>
      <c r="AE779" s="136">
        <f>IF(E779=$AE$6,1,"")</f>
        <v/>
      </c>
      <c r="AF779" s="136">
        <f>IF(E779=$AF$6,1,"")</f>
        <v/>
      </c>
      <c r="AG779" s="136">
        <f>IF(E779=$AG$6,1,"")</f>
        <v/>
      </c>
      <c r="AH779" s="136">
        <f>IF(E779=$AH$6,1,"")</f>
        <v/>
      </c>
      <c r="AI779" s="136">
        <f>IF(E779=$AI$6,1,"")</f>
        <v/>
      </c>
      <c r="AJ779" s="136">
        <f>IF(E779=$AJ$6,1,"")</f>
        <v/>
      </c>
      <c r="AK779" s="81">
        <f>IF(E779=$AK$6,1,"")</f>
        <v/>
      </c>
      <c r="AL779" s="81">
        <f>IF(E779=$AL$6,1,"")</f>
        <v/>
      </c>
      <c r="AM779" s="81">
        <f>IF(E779=$AM$6,1,"")</f>
        <v/>
      </c>
      <c r="AN779" s="81">
        <f>IF(E779=$AN$6,1,"")</f>
        <v/>
      </c>
      <c r="AO779" s="81">
        <f>IF(E779=$AO$6,1,"")</f>
        <v/>
      </c>
      <c r="AP779" s="81">
        <f>IF(E779=$AP$6,1,"")</f>
        <v/>
      </c>
      <c r="AQ779" s="81">
        <f>IF(E779=$AQ$6,1,"")</f>
        <v/>
      </c>
      <c r="AR779" s="81">
        <f>IF(E779=$AR$6,1,"")</f>
        <v/>
      </c>
      <c r="AS779" s="81" t="n"/>
    </row>
    <row r="780" ht="15.75" customHeight="1" s="80">
      <c r="A780" s="157" t="n"/>
      <c r="B780" s="124" t="n"/>
      <c r="C780" s="125" t="n"/>
      <c r="D780" s="126" t="n"/>
      <c r="E780" s="127" t="n"/>
      <c r="F780" s="128" t="n"/>
      <c r="G780" s="129">
        <f>IF(F780="","",ROUND(F780/60,2))</f>
        <v/>
      </c>
      <c r="H780" s="130" t="n"/>
      <c r="I780" s="131" t="n"/>
      <c r="J780" s="131">
        <f>IF(COUNTIF(B780:E780,"*")=0,"",IF(T780=1,"Invalid Service",IF(AND(V780=1,F780=""),"Add Session Mins",IF(AND(E780&gt;0,H780="",T780=""),"Enter Contract Rate",IF(AND(E780="IEP mtg, prep, rept",F780&gt;0),(G780*H780),IF(AND(E780&gt;0,F780&gt;0,H780&gt;0,I780=""),"Enter Travel",IF(AND(F780&gt;0,I780="Y"),(G780*H780)+$M$10,IF(AND(F780&gt;0,I780="N"),(G780*H780),H780))))))))</f>
        <v/>
      </c>
      <c r="K780" s="132">
        <f>J780</f>
        <v/>
      </c>
      <c r="L780" s="148" t="n"/>
      <c r="M780" s="148" t="n"/>
      <c r="N780" s="148" t="n"/>
      <c r="O780" s="87" t="n"/>
      <c r="P780" s="81" t="n"/>
      <c r="Q780" s="81" t="n"/>
      <c r="R780" s="81" t="n"/>
      <c r="S780" s="81" t="n"/>
      <c r="T780" s="136">
        <f>IF(AND(E780&gt;0,U780=0),1,"")</f>
        <v/>
      </c>
      <c r="U780" s="136">
        <f>SUM(X780:AR780)</f>
        <v/>
      </c>
      <c r="V780" s="136">
        <f>IF(E780=$Q$16,0,SUM(X780:AI780))</f>
        <v/>
      </c>
      <c r="W780" s="136">
        <f>SUM(AK780:AR780)</f>
        <v/>
      </c>
      <c r="X780" s="136">
        <f>IF(E780=$X$6,1,"")</f>
        <v/>
      </c>
      <c r="Y780" s="136">
        <f>IF(E780=$Y$6,1,"")</f>
        <v/>
      </c>
      <c r="Z780" s="136">
        <f>IF(E780=$Z$6,1,"")</f>
        <v/>
      </c>
      <c r="AA780" s="136">
        <f>IF(E780=$AA$6,1,"")</f>
        <v/>
      </c>
      <c r="AB780" s="136">
        <f>IF(E780=$AB$6,1,"")</f>
        <v/>
      </c>
      <c r="AC780" s="136">
        <f>IF(E780=$AC$6,1,"")</f>
        <v/>
      </c>
      <c r="AD780" s="136">
        <f>IF(E780=$AD$6,1,"")</f>
        <v/>
      </c>
      <c r="AE780" s="136">
        <f>IF(E780=$AE$6,1,"")</f>
        <v/>
      </c>
      <c r="AF780" s="136">
        <f>IF(E780=$AF$6,1,"")</f>
        <v/>
      </c>
      <c r="AG780" s="136">
        <f>IF(E780=$AG$6,1,"")</f>
        <v/>
      </c>
      <c r="AH780" s="136">
        <f>IF(E780=$AH$6,1,"")</f>
        <v/>
      </c>
      <c r="AI780" s="136">
        <f>IF(E780=$AI$6,1,"")</f>
        <v/>
      </c>
      <c r="AJ780" s="136">
        <f>IF(E780=$AJ$6,1,"")</f>
        <v/>
      </c>
      <c r="AK780" s="81">
        <f>IF(E780=$AK$6,1,"")</f>
        <v/>
      </c>
      <c r="AL780" s="81">
        <f>IF(E780=$AL$6,1,"")</f>
        <v/>
      </c>
      <c r="AM780" s="81">
        <f>IF(E780=$AM$6,1,"")</f>
        <v/>
      </c>
      <c r="AN780" s="81">
        <f>IF(E780=$AN$6,1,"")</f>
        <v/>
      </c>
      <c r="AO780" s="81">
        <f>IF(E780=$AO$6,1,"")</f>
        <v/>
      </c>
      <c r="AP780" s="81">
        <f>IF(E780=$AP$6,1,"")</f>
        <v/>
      </c>
      <c r="AQ780" s="81">
        <f>IF(E780=$AQ$6,1,"")</f>
        <v/>
      </c>
      <c r="AR780" s="81">
        <f>IF(E780=$AR$6,1,"")</f>
        <v/>
      </c>
      <c r="AS780" s="81" t="n"/>
    </row>
    <row r="781" ht="15.75" customHeight="1" s="80">
      <c r="A781" s="157" t="n"/>
      <c r="B781" s="124" t="n"/>
      <c r="C781" s="125" t="n"/>
      <c r="D781" s="126" t="n"/>
      <c r="E781" s="127" t="n"/>
      <c r="F781" s="128" t="n"/>
      <c r="G781" s="129">
        <f>IF(F781="","",ROUND(F781/60,2))</f>
        <v/>
      </c>
      <c r="H781" s="130" t="n"/>
      <c r="I781" s="131" t="n"/>
      <c r="J781" s="131">
        <f>IF(COUNTIF(B781:E781,"*")=0,"",IF(T781=1,"Invalid Service",IF(AND(V781=1,F781=""),"Add Session Mins",IF(AND(E781&gt;0,H781="",T781=""),"Enter Contract Rate",IF(AND(E781="IEP mtg, prep, rept",F781&gt;0),(G781*H781),IF(AND(E781&gt;0,F781&gt;0,H781&gt;0,I781=""),"Enter Travel",IF(AND(F781&gt;0,I781="Y"),(G781*H781)+$M$10,IF(AND(F781&gt;0,I781="N"),(G781*H781),H781))))))))</f>
        <v/>
      </c>
      <c r="K781" s="132">
        <f>J781</f>
        <v/>
      </c>
      <c r="L781" s="148" t="n"/>
      <c r="M781" s="148" t="n"/>
      <c r="N781" s="148" t="n"/>
      <c r="O781" s="87" t="n"/>
      <c r="P781" s="81" t="n"/>
      <c r="Q781" s="81" t="n"/>
      <c r="R781" s="81" t="n"/>
      <c r="S781" s="81" t="n"/>
      <c r="T781" s="136">
        <f>IF(AND(E781&gt;0,U781=0),1,"")</f>
        <v/>
      </c>
      <c r="U781" s="136">
        <f>SUM(X781:AR781)</f>
        <v/>
      </c>
      <c r="V781" s="136">
        <f>IF(E781=$Q$16,0,SUM(X781:AI781))</f>
        <v/>
      </c>
      <c r="W781" s="136">
        <f>SUM(AK781:AR781)</f>
        <v/>
      </c>
      <c r="X781" s="136">
        <f>IF(E781=$X$6,1,"")</f>
        <v/>
      </c>
      <c r="Y781" s="136">
        <f>IF(E781=$Y$6,1,"")</f>
        <v/>
      </c>
      <c r="Z781" s="136">
        <f>IF(E781=$Z$6,1,"")</f>
        <v/>
      </c>
      <c r="AA781" s="136">
        <f>IF(E781=$AA$6,1,"")</f>
        <v/>
      </c>
      <c r="AB781" s="136">
        <f>IF(E781=$AB$6,1,"")</f>
        <v/>
      </c>
      <c r="AC781" s="136">
        <f>IF(E781=$AC$6,1,"")</f>
        <v/>
      </c>
      <c r="AD781" s="136">
        <f>IF(E781=$AD$6,1,"")</f>
        <v/>
      </c>
      <c r="AE781" s="136">
        <f>IF(E781=$AE$6,1,"")</f>
        <v/>
      </c>
      <c r="AF781" s="136">
        <f>IF(E781=$AF$6,1,"")</f>
        <v/>
      </c>
      <c r="AG781" s="136">
        <f>IF(E781=$AG$6,1,"")</f>
        <v/>
      </c>
      <c r="AH781" s="136">
        <f>IF(E781=$AH$6,1,"")</f>
        <v/>
      </c>
      <c r="AI781" s="136">
        <f>IF(E781=$AI$6,1,"")</f>
        <v/>
      </c>
      <c r="AJ781" s="136">
        <f>IF(E781=$AJ$6,1,"")</f>
        <v/>
      </c>
      <c r="AK781" s="81">
        <f>IF(E781=$AK$6,1,"")</f>
        <v/>
      </c>
      <c r="AL781" s="81">
        <f>IF(E781=$AL$6,1,"")</f>
        <v/>
      </c>
      <c r="AM781" s="81">
        <f>IF(E781=$AM$6,1,"")</f>
        <v/>
      </c>
      <c r="AN781" s="81">
        <f>IF(E781=$AN$6,1,"")</f>
        <v/>
      </c>
      <c r="AO781" s="81">
        <f>IF(E781=$AO$6,1,"")</f>
        <v/>
      </c>
      <c r="AP781" s="81">
        <f>IF(E781=$AP$6,1,"")</f>
        <v/>
      </c>
      <c r="AQ781" s="81">
        <f>IF(E781=$AQ$6,1,"")</f>
        <v/>
      </c>
      <c r="AR781" s="81">
        <f>IF(E781=$AR$6,1,"")</f>
        <v/>
      </c>
      <c r="AS781" s="81" t="n"/>
    </row>
    <row r="782" ht="15.75" customHeight="1" s="80">
      <c r="A782" s="157" t="n"/>
      <c r="B782" s="124" t="n"/>
      <c r="C782" s="125" t="n"/>
      <c r="D782" s="126" t="n"/>
      <c r="E782" s="127" t="n"/>
      <c r="F782" s="128" t="n"/>
      <c r="G782" s="129">
        <f>IF(F782="","",ROUND(F782/60,2))</f>
        <v/>
      </c>
      <c r="H782" s="130" t="n"/>
      <c r="I782" s="131" t="n"/>
      <c r="J782" s="131">
        <f>IF(COUNTIF(B782:E782,"*")=0,"",IF(T782=1,"Invalid Service",IF(AND(V782=1,F782=""),"Add Session Mins",IF(AND(E782&gt;0,H782="",T782=""),"Enter Contract Rate",IF(AND(E782="IEP mtg, prep, rept",F782&gt;0),(G782*H782),IF(AND(E782&gt;0,F782&gt;0,H782&gt;0,I782=""),"Enter Travel",IF(AND(F782&gt;0,I782="Y"),(G782*H782)+$M$10,IF(AND(F782&gt;0,I782="N"),(G782*H782),H782))))))))</f>
        <v/>
      </c>
      <c r="K782" s="132">
        <f>J782</f>
        <v/>
      </c>
      <c r="L782" s="148" t="n"/>
      <c r="M782" s="148" t="n"/>
      <c r="N782" s="148" t="n"/>
      <c r="O782" s="87" t="n"/>
      <c r="P782" s="81" t="n"/>
      <c r="Q782" s="81" t="n"/>
      <c r="R782" s="81" t="n"/>
      <c r="S782" s="81" t="n"/>
      <c r="T782" s="136">
        <f>IF(AND(E782&gt;0,U782=0),1,"")</f>
        <v/>
      </c>
      <c r="U782" s="136">
        <f>SUM(X782:AR782)</f>
        <v/>
      </c>
      <c r="V782" s="136">
        <f>IF(E782=$Q$16,0,SUM(X782:AI782))</f>
        <v/>
      </c>
      <c r="W782" s="136">
        <f>SUM(AK782:AR782)</f>
        <v/>
      </c>
      <c r="X782" s="136">
        <f>IF(E782=$X$6,1,"")</f>
        <v/>
      </c>
      <c r="Y782" s="136">
        <f>IF(E782=$Y$6,1,"")</f>
        <v/>
      </c>
      <c r="Z782" s="136">
        <f>IF(E782=$Z$6,1,"")</f>
        <v/>
      </c>
      <c r="AA782" s="136">
        <f>IF(E782=$AA$6,1,"")</f>
        <v/>
      </c>
      <c r="AB782" s="136">
        <f>IF(E782=$AB$6,1,"")</f>
        <v/>
      </c>
      <c r="AC782" s="136">
        <f>IF(E782=$AC$6,1,"")</f>
        <v/>
      </c>
      <c r="AD782" s="136">
        <f>IF(E782=$AD$6,1,"")</f>
        <v/>
      </c>
      <c r="AE782" s="136">
        <f>IF(E782=$AE$6,1,"")</f>
        <v/>
      </c>
      <c r="AF782" s="136">
        <f>IF(E782=$AF$6,1,"")</f>
        <v/>
      </c>
      <c r="AG782" s="136">
        <f>IF(E782=$AG$6,1,"")</f>
        <v/>
      </c>
      <c r="AH782" s="136">
        <f>IF(E782=$AH$6,1,"")</f>
        <v/>
      </c>
      <c r="AI782" s="136">
        <f>IF(E782=$AI$6,1,"")</f>
        <v/>
      </c>
      <c r="AJ782" s="136">
        <f>IF(E782=$AJ$6,1,"")</f>
        <v/>
      </c>
      <c r="AK782" s="81">
        <f>IF(E782=$AK$6,1,"")</f>
        <v/>
      </c>
      <c r="AL782" s="81">
        <f>IF(E782=$AL$6,1,"")</f>
        <v/>
      </c>
      <c r="AM782" s="81">
        <f>IF(E782=$AM$6,1,"")</f>
        <v/>
      </c>
      <c r="AN782" s="81">
        <f>IF(E782=$AN$6,1,"")</f>
        <v/>
      </c>
      <c r="AO782" s="81">
        <f>IF(E782=$AO$6,1,"")</f>
        <v/>
      </c>
      <c r="AP782" s="81">
        <f>IF(E782=$AP$6,1,"")</f>
        <v/>
      </c>
      <c r="AQ782" s="81">
        <f>IF(E782=$AQ$6,1,"")</f>
        <v/>
      </c>
      <c r="AR782" s="81">
        <f>IF(E782=$AR$6,1,"")</f>
        <v/>
      </c>
      <c r="AS782" s="81" t="n"/>
    </row>
    <row r="783" ht="15.75" customHeight="1" s="80">
      <c r="A783" s="157" t="n"/>
      <c r="B783" s="124" t="n"/>
      <c r="C783" s="125" t="n"/>
      <c r="D783" s="126" t="n"/>
      <c r="E783" s="127" t="n"/>
      <c r="F783" s="128" t="n"/>
      <c r="G783" s="129">
        <f>IF(F783="","",ROUND(F783/60,2))</f>
        <v/>
      </c>
      <c r="H783" s="130" t="n"/>
      <c r="I783" s="131" t="n"/>
      <c r="J783" s="131">
        <f>IF(COUNTIF(B783:E783,"*")=0,"",IF(T783=1,"Invalid Service",IF(AND(V783=1,F783=""),"Add Session Mins",IF(AND(E783&gt;0,H783="",T783=""),"Enter Contract Rate",IF(AND(E783="IEP mtg, prep, rept",F783&gt;0),(G783*H783),IF(AND(E783&gt;0,F783&gt;0,H783&gt;0,I783=""),"Enter Travel",IF(AND(F783&gt;0,I783="Y"),(G783*H783)+$M$10,IF(AND(F783&gt;0,I783="N"),(G783*H783),H783))))))))</f>
        <v/>
      </c>
      <c r="K783" s="132">
        <f>J783</f>
        <v/>
      </c>
      <c r="L783" s="148" t="n"/>
      <c r="M783" s="148" t="n"/>
      <c r="N783" s="148" t="n"/>
      <c r="O783" s="87" t="n"/>
      <c r="P783" s="81" t="n"/>
      <c r="Q783" s="81" t="n"/>
      <c r="R783" s="81" t="n"/>
      <c r="S783" s="81" t="n"/>
      <c r="T783" s="136">
        <f>IF(AND(E783&gt;0,U783=0),1,"")</f>
        <v/>
      </c>
      <c r="U783" s="136">
        <f>SUM(X783:AR783)</f>
        <v/>
      </c>
      <c r="V783" s="136">
        <f>IF(E783=$Q$16,0,SUM(X783:AI783))</f>
        <v/>
      </c>
      <c r="W783" s="136">
        <f>SUM(AK783:AR783)</f>
        <v/>
      </c>
      <c r="X783" s="136">
        <f>IF(E783=$X$6,1,"")</f>
        <v/>
      </c>
      <c r="Y783" s="136">
        <f>IF(E783=$Y$6,1,"")</f>
        <v/>
      </c>
      <c r="Z783" s="136">
        <f>IF(E783=$Z$6,1,"")</f>
        <v/>
      </c>
      <c r="AA783" s="136">
        <f>IF(E783=$AA$6,1,"")</f>
        <v/>
      </c>
      <c r="AB783" s="136">
        <f>IF(E783=$AB$6,1,"")</f>
        <v/>
      </c>
      <c r="AC783" s="136">
        <f>IF(E783=$AC$6,1,"")</f>
        <v/>
      </c>
      <c r="AD783" s="136">
        <f>IF(E783=$AD$6,1,"")</f>
        <v/>
      </c>
      <c r="AE783" s="136">
        <f>IF(E783=$AE$6,1,"")</f>
        <v/>
      </c>
      <c r="AF783" s="136">
        <f>IF(E783=$AF$6,1,"")</f>
        <v/>
      </c>
      <c r="AG783" s="136">
        <f>IF(E783=$AG$6,1,"")</f>
        <v/>
      </c>
      <c r="AH783" s="136">
        <f>IF(E783=$AH$6,1,"")</f>
        <v/>
      </c>
      <c r="AI783" s="136">
        <f>IF(E783=$AI$6,1,"")</f>
        <v/>
      </c>
      <c r="AJ783" s="136">
        <f>IF(E783=$AJ$6,1,"")</f>
        <v/>
      </c>
      <c r="AK783" s="81">
        <f>IF(E783=$AK$6,1,"")</f>
        <v/>
      </c>
      <c r="AL783" s="81">
        <f>IF(E783=$AL$6,1,"")</f>
        <v/>
      </c>
      <c r="AM783" s="81">
        <f>IF(E783=$AM$6,1,"")</f>
        <v/>
      </c>
      <c r="AN783" s="81">
        <f>IF(E783=$AN$6,1,"")</f>
        <v/>
      </c>
      <c r="AO783" s="81">
        <f>IF(E783=$AO$6,1,"")</f>
        <v/>
      </c>
      <c r="AP783" s="81">
        <f>IF(E783=$AP$6,1,"")</f>
        <v/>
      </c>
      <c r="AQ783" s="81">
        <f>IF(E783=$AQ$6,1,"")</f>
        <v/>
      </c>
      <c r="AR783" s="81">
        <f>IF(E783=$AR$6,1,"")</f>
        <v/>
      </c>
      <c r="AS783" s="81" t="n"/>
    </row>
    <row r="784" ht="15.75" customHeight="1" s="80">
      <c r="A784" s="157" t="n"/>
      <c r="B784" s="124" t="n"/>
      <c r="C784" s="125" t="n"/>
      <c r="D784" s="126" t="n"/>
      <c r="E784" s="127" t="n"/>
      <c r="F784" s="128" t="n"/>
      <c r="G784" s="129">
        <f>IF(F784="","",ROUND(F784/60,2))</f>
        <v/>
      </c>
      <c r="H784" s="130" t="n"/>
      <c r="I784" s="131" t="n"/>
      <c r="J784" s="131">
        <f>IF(COUNTIF(B784:E784,"*")=0,"",IF(T784=1,"Invalid Service",IF(AND(V784=1,F784=""),"Add Session Mins",IF(AND(E784&gt;0,H784="",T784=""),"Enter Contract Rate",IF(AND(E784="IEP mtg, prep, rept",F784&gt;0),(G784*H784),IF(AND(E784&gt;0,F784&gt;0,H784&gt;0,I784=""),"Enter Travel",IF(AND(F784&gt;0,I784="Y"),(G784*H784)+$M$10,IF(AND(F784&gt;0,I784="N"),(G784*H784),H784))))))))</f>
        <v/>
      </c>
      <c r="K784" s="132">
        <f>J784</f>
        <v/>
      </c>
      <c r="L784" s="148" t="n"/>
      <c r="M784" s="148" t="n"/>
      <c r="N784" s="148" t="n"/>
      <c r="O784" s="87" t="n"/>
      <c r="P784" s="81" t="n"/>
      <c r="Q784" s="81" t="n"/>
      <c r="R784" s="81" t="n"/>
      <c r="S784" s="81" t="n"/>
      <c r="T784" s="136">
        <f>IF(AND(E784&gt;0,U784=0),1,"")</f>
        <v/>
      </c>
      <c r="U784" s="136">
        <f>SUM(X784:AR784)</f>
        <v/>
      </c>
      <c r="V784" s="136">
        <f>IF(E784=$Q$16,0,SUM(X784:AI784))</f>
        <v/>
      </c>
      <c r="W784" s="136">
        <f>SUM(AK784:AR784)</f>
        <v/>
      </c>
      <c r="X784" s="136">
        <f>IF(E784=$X$6,1,"")</f>
        <v/>
      </c>
      <c r="Y784" s="136">
        <f>IF(E784=$Y$6,1,"")</f>
        <v/>
      </c>
      <c r="Z784" s="136">
        <f>IF(E784=$Z$6,1,"")</f>
        <v/>
      </c>
      <c r="AA784" s="136">
        <f>IF(E784=$AA$6,1,"")</f>
        <v/>
      </c>
      <c r="AB784" s="136">
        <f>IF(E784=$AB$6,1,"")</f>
        <v/>
      </c>
      <c r="AC784" s="136">
        <f>IF(E784=$AC$6,1,"")</f>
        <v/>
      </c>
      <c r="AD784" s="136">
        <f>IF(E784=$AD$6,1,"")</f>
        <v/>
      </c>
      <c r="AE784" s="136">
        <f>IF(E784=$AE$6,1,"")</f>
        <v/>
      </c>
      <c r="AF784" s="136">
        <f>IF(E784=$AF$6,1,"")</f>
        <v/>
      </c>
      <c r="AG784" s="136">
        <f>IF(E784=$AG$6,1,"")</f>
        <v/>
      </c>
      <c r="AH784" s="136">
        <f>IF(E784=$AH$6,1,"")</f>
        <v/>
      </c>
      <c r="AI784" s="136">
        <f>IF(E784=$AI$6,1,"")</f>
        <v/>
      </c>
      <c r="AJ784" s="136">
        <f>IF(E784=$AJ$6,1,"")</f>
        <v/>
      </c>
      <c r="AK784" s="81">
        <f>IF(E784=$AK$6,1,"")</f>
        <v/>
      </c>
      <c r="AL784" s="81">
        <f>IF(E784=$AL$6,1,"")</f>
        <v/>
      </c>
      <c r="AM784" s="81">
        <f>IF(E784=$AM$6,1,"")</f>
        <v/>
      </c>
      <c r="AN784" s="81">
        <f>IF(E784=$AN$6,1,"")</f>
        <v/>
      </c>
      <c r="AO784" s="81">
        <f>IF(E784=$AO$6,1,"")</f>
        <v/>
      </c>
      <c r="AP784" s="81">
        <f>IF(E784=$AP$6,1,"")</f>
        <v/>
      </c>
      <c r="AQ784" s="81">
        <f>IF(E784=$AQ$6,1,"")</f>
        <v/>
      </c>
      <c r="AR784" s="81">
        <f>IF(E784=$AR$6,1,"")</f>
        <v/>
      </c>
      <c r="AS784" s="81" t="n"/>
    </row>
    <row r="785" ht="15.75" customHeight="1" s="80">
      <c r="A785" s="157" t="n"/>
      <c r="B785" s="124" t="n"/>
      <c r="C785" s="125" t="n"/>
      <c r="D785" s="126" t="n"/>
      <c r="E785" s="127" t="n"/>
      <c r="F785" s="128" t="n"/>
      <c r="G785" s="129">
        <f>IF(F785="","",ROUND(F785/60,2))</f>
        <v/>
      </c>
      <c r="H785" s="130" t="n"/>
      <c r="I785" s="131" t="n"/>
      <c r="J785" s="131">
        <f>IF(COUNTIF(B785:E785,"*")=0,"",IF(T785=1,"Invalid Service",IF(AND(V785=1,F785=""),"Add Session Mins",IF(AND(E785&gt;0,H785="",T785=""),"Enter Contract Rate",IF(AND(E785="IEP mtg, prep, rept",F785&gt;0),(G785*H785),IF(AND(E785&gt;0,F785&gt;0,H785&gt;0,I785=""),"Enter Travel",IF(AND(F785&gt;0,I785="Y"),(G785*H785)+$M$10,IF(AND(F785&gt;0,I785="N"),(G785*H785),H785))))))))</f>
        <v/>
      </c>
      <c r="K785" s="132">
        <f>J785</f>
        <v/>
      </c>
      <c r="L785" s="148" t="n"/>
      <c r="M785" s="148" t="n"/>
      <c r="N785" s="148" t="n"/>
      <c r="O785" s="87" t="n"/>
      <c r="P785" s="81" t="n"/>
      <c r="Q785" s="81" t="n"/>
      <c r="R785" s="81" t="n"/>
      <c r="S785" s="81" t="n"/>
      <c r="T785" s="136">
        <f>IF(AND(E785&gt;0,U785=0),1,"")</f>
        <v/>
      </c>
      <c r="U785" s="136">
        <f>SUM(X785:AR785)</f>
        <v/>
      </c>
      <c r="V785" s="136">
        <f>IF(E785=$Q$16,0,SUM(X785:AI785))</f>
        <v/>
      </c>
      <c r="W785" s="136">
        <f>SUM(AK785:AR785)</f>
        <v/>
      </c>
      <c r="X785" s="136">
        <f>IF(E785=$X$6,1,"")</f>
        <v/>
      </c>
      <c r="Y785" s="136">
        <f>IF(E785=$Y$6,1,"")</f>
        <v/>
      </c>
      <c r="Z785" s="136">
        <f>IF(E785=$Z$6,1,"")</f>
        <v/>
      </c>
      <c r="AA785" s="136">
        <f>IF(E785=$AA$6,1,"")</f>
        <v/>
      </c>
      <c r="AB785" s="136">
        <f>IF(E785=$AB$6,1,"")</f>
        <v/>
      </c>
      <c r="AC785" s="136">
        <f>IF(E785=$AC$6,1,"")</f>
        <v/>
      </c>
      <c r="AD785" s="136">
        <f>IF(E785=$AD$6,1,"")</f>
        <v/>
      </c>
      <c r="AE785" s="136">
        <f>IF(E785=$AE$6,1,"")</f>
        <v/>
      </c>
      <c r="AF785" s="136">
        <f>IF(E785=$AF$6,1,"")</f>
        <v/>
      </c>
      <c r="AG785" s="136">
        <f>IF(E785=$AG$6,1,"")</f>
        <v/>
      </c>
      <c r="AH785" s="136">
        <f>IF(E785=$AH$6,1,"")</f>
        <v/>
      </c>
      <c r="AI785" s="136">
        <f>IF(E785=$AI$6,1,"")</f>
        <v/>
      </c>
      <c r="AJ785" s="136">
        <f>IF(E785=$AJ$6,1,"")</f>
        <v/>
      </c>
      <c r="AK785" s="81">
        <f>IF(E785=$AK$6,1,"")</f>
        <v/>
      </c>
      <c r="AL785" s="81">
        <f>IF(E785=$AL$6,1,"")</f>
        <v/>
      </c>
      <c r="AM785" s="81">
        <f>IF(E785=$AM$6,1,"")</f>
        <v/>
      </c>
      <c r="AN785" s="81">
        <f>IF(E785=$AN$6,1,"")</f>
        <v/>
      </c>
      <c r="AO785" s="81">
        <f>IF(E785=$AO$6,1,"")</f>
        <v/>
      </c>
      <c r="AP785" s="81">
        <f>IF(E785=$AP$6,1,"")</f>
        <v/>
      </c>
      <c r="AQ785" s="81">
        <f>IF(E785=$AQ$6,1,"")</f>
        <v/>
      </c>
      <c r="AR785" s="81">
        <f>IF(E785=$AR$6,1,"")</f>
        <v/>
      </c>
      <c r="AS785" s="81" t="n"/>
    </row>
    <row r="786" ht="15.75" customHeight="1" s="80">
      <c r="A786" s="157" t="n"/>
      <c r="B786" s="124" t="n"/>
      <c r="C786" s="125" t="n"/>
      <c r="D786" s="126" t="n"/>
      <c r="E786" s="127" t="n"/>
      <c r="F786" s="128" t="n"/>
      <c r="G786" s="129">
        <f>IF(F786="","",ROUND(F786/60,2))</f>
        <v/>
      </c>
      <c r="H786" s="130" t="n"/>
      <c r="I786" s="131" t="n"/>
      <c r="J786" s="131">
        <f>IF(COUNTIF(B786:E786,"*")=0,"",IF(T786=1,"Invalid Service",IF(AND(V786=1,F786=""),"Add Session Mins",IF(AND(E786&gt;0,H786="",T786=""),"Enter Contract Rate",IF(AND(E786="IEP mtg, prep, rept",F786&gt;0),(G786*H786),IF(AND(E786&gt;0,F786&gt;0,H786&gt;0,I786=""),"Enter Travel",IF(AND(F786&gt;0,I786="Y"),(G786*H786)+$M$10,IF(AND(F786&gt;0,I786="N"),(G786*H786),H786))))))))</f>
        <v/>
      </c>
      <c r="K786" s="132">
        <f>J786</f>
        <v/>
      </c>
      <c r="L786" s="148" t="n"/>
      <c r="M786" s="148" t="n"/>
      <c r="N786" s="148" t="n"/>
      <c r="O786" s="87" t="n"/>
      <c r="P786" s="81" t="n"/>
      <c r="Q786" s="81" t="n"/>
      <c r="R786" s="81" t="n"/>
      <c r="S786" s="81" t="n"/>
      <c r="T786" s="136">
        <f>IF(AND(E786&gt;0,U786=0),1,"")</f>
        <v/>
      </c>
      <c r="U786" s="136">
        <f>SUM(X786:AR786)</f>
        <v/>
      </c>
      <c r="V786" s="136">
        <f>IF(E786=$Q$16,0,SUM(X786:AI786))</f>
        <v/>
      </c>
      <c r="W786" s="136">
        <f>SUM(AK786:AR786)</f>
        <v/>
      </c>
      <c r="X786" s="136">
        <f>IF(E786=$X$6,1,"")</f>
        <v/>
      </c>
      <c r="Y786" s="136">
        <f>IF(E786=$Y$6,1,"")</f>
        <v/>
      </c>
      <c r="Z786" s="136">
        <f>IF(E786=$Z$6,1,"")</f>
        <v/>
      </c>
      <c r="AA786" s="136">
        <f>IF(E786=$AA$6,1,"")</f>
        <v/>
      </c>
      <c r="AB786" s="136">
        <f>IF(E786=$AB$6,1,"")</f>
        <v/>
      </c>
      <c r="AC786" s="136">
        <f>IF(E786=$AC$6,1,"")</f>
        <v/>
      </c>
      <c r="AD786" s="136">
        <f>IF(E786=$AD$6,1,"")</f>
        <v/>
      </c>
      <c r="AE786" s="136">
        <f>IF(E786=$AE$6,1,"")</f>
        <v/>
      </c>
      <c r="AF786" s="136">
        <f>IF(E786=$AF$6,1,"")</f>
        <v/>
      </c>
      <c r="AG786" s="136">
        <f>IF(E786=$AG$6,1,"")</f>
        <v/>
      </c>
      <c r="AH786" s="136">
        <f>IF(E786=$AH$6,1,"")</f>
        <v/>
      </c>
      <c r="AI786" s="136">
        <f>IF(E786=$AI$6,1,"")</f>
        <v/>
      </c>
      <c r="AJ786" s="136">
        <f>IF(E786=$AJ$6,1,"")</f>
        <v/>
      </c>
      <c r="AK786" s="81">
        <f>IF(E786=$AK$6,1,"")</f>
        <v/>
      </c>
      <c r="AL786" s="81">
        <f>IF(E786=$AL$6,1,"")</f>
        <v/>
      </c>
      <c r="AM786" s="81">
        <f>IF(E786=$AM$6,1,"")</f>
        <v/>
      </c>
      <c r="AN786" s="81">
        <f>IF(E786=$AN$6,1,"")</f>
        <v/>
      </c>
      <c r="AO786" s="81">
        <f>IF(E786=$AO$6,1,"")</f>
        <v/>
      </c>
      <c r="AP786" s="81">
        <f>IF(E786=$AP$6,1,"")</f>
        <v/>
      </c>
      <c r="AQ786" s="81">
        <f>IF(E786=$AQ$6,1,"")</f>
        <v/>
      </c>
      <c r="AR786" s="81">
        <f>IF(E786=$AR$6,1,"")</f>
        <v/>
      </c>
      <c r="AS786" s="81" t="n"/>
    </row>
    <row r="787" ht="15.75" customHeight="1" s="80">
      <c r="A787" s="157" t="n"/>
      <c r="B787" s="124" t="n"/>
      <c r="C787" s="125" t="n"/>
      <c r="D787" s="126" t="n"/>
      <c r="E787" s="127" t="n"/>
      <c r="F787" s="128" t="n"/>
      <c r="G787" s="129">
        <f>IF(F787="","",ROUND(F787/60,2))</f>
        <v/>
      </c>
      <c r="H787" s="130" t="n"/>
      <c r="I787" s="131" t="n"/>
      <c r="J787" s="131">
        <f>IF(COUNTIF(B787:E787,"*")=0,"",IF(T787=1,"Invalid Service",IF(AND(V787=1,F787=""),"Add Session Mins",IF(AND(E787&gt;0,H787="",T787=""),"Enter Contract Rate",IF(AND(E787="IEP mtg, prep, rept",F787&gt;0),(G787*H787),IF(AND(E787&gt;0,F787&gt;0,H787&gt;0,I787=""),"Enter Travel",IF(AND(F787&gt;0,I787="Y"),(G787*H787)+$M$10,IF(AND(F787&gt;0,I787="N"),(G787*H787),H787))))))))</f>
        <v/>
      </c>
      <c r="K787" s="132">
        <f>J787</f>
        <v/>
      </c>
      <c r="L787" s="148" t="n"/>
      <c r="M787" s="148" t="n"/>
      <c r="N787" s="148" t="n"/>
      <c r="O787" s="87" t="n"/>
      <c r="P787" s="81" t="n"/>
      <c r="Q787" s="81" t="n"/>
      <c r="R787" s="81" t="n"/>
      <c r="S787" s="81" t="n"/>
      <c r="T787" s="136">
        <f>IF(AND(E787&gt;0,U787=0),1,"")</f>
        <v/>
      </c>
      <c r="U787" s="136">
        <f>SUM(X787:AR787)</f>
        <v/>
      </c>
      <c r="V787" s="136">
        <f>IF(E787=$Q$16,0,SUM(X787:AI787))</f>
        <v/>
      </c>
      <c r="W787" s="136">
        <f>SUM(AK787:AR787)</f>
        <v/>
      </c>
      <c r="X787" s="136">
        <f>IF(E787=$X$6,1,"")</f>
        <v/>
      </c>
      <c r="Y787" s="136">
        <f>IF(E787=$Y$6,1,"")</f>
        <v/>
      </c>
      <c r="Z787" s="136">
        <f>IF(E787=$Z$6,1,"")</f>
        <v/>
      </c>
      <c r="AA787" s="136">
        <f>IF(E787=$AA$6,1,"")</f>
        <v/>
      </c>
      <c r="AB787" s="136">
        <f>IF(E787=$AB$6,1,"")</f>
        <v/>
      </c>
      <c r="AC787" s="136">
        <f>IF(E787=$AC$6,1,"")</f>
        <v/>
      </c>
      <c r="AD787" s="136">
        <f>IF(E787=$AD$6,1,"")</f>
        <v/>
      </c>
      <c r="AE787" s="136">
        <f>IF(E787=$AE$6,1,"")</f>
        <v/>
      </c>
      <c r="AF787" s="136">
        <f>IF(E787=$AF$6,1,"")</f>
        <v/>
      </c>
      <c r="AG787" s="136">
        <f>IF(E787=$AG$6,1,"")</f>
        <v/>
      </c>
      <c r="AH787" s="136">
        <f>IF(E787=$AH$6,1,"")</f>
        <v/>
      </c>
      <c r="AI787" s="136">
        <f>IF(E787=$AI$6,1,"")</f>
        <v/>
      </c>
      <c r="AJ787" s="136">
        <f>IF(E787=$AJ$6,1,"")</f>
        <v/>
      </c>
      <c r="AK787" s="81">
        <f>IF(E787=$AK$6,1,"")</f>
        <v/>
      </c>
      <c r="AL787" s="81">
        <f>IF(E787=$AL$6,1,"")</f>
        <v/>
      </c>
      <c r="AM787" s="81">
        <f>IF(E787=$AM$6,1,"")</f>
        <v/>
      </c>
      <c r="AN787" s="81">
        <f>IF(E787=$AN$6,1,"")</f>
        <v/>
      </c>
      <c r="AO787" s="81">
        <f>IF(E787=$AO$6,1,"")</f>
        <v/>
      </c>
      <c r="AP787" s="81">
        <f>IF(E787=$AP$6,1,"")</f>
        <v/>
      </c>
      <c r="AQ787" s="81">
        <f>IF(E787=$AQ$6,1,"")</f>
        <v/>
      </c>
      <c r="AR787" s="81">
        <f>IF(E787=$AR$6,1,"")</f>
        <v/>
      </c>
      <c r="AS787" s="81" t="n"/>
    </row>
    <row r="788" ht="15.75" customHeight="1" s="80">
      <c r="A788" s="157" t="n"/>
      <c r="B788" s="124" t="n"/>
      <c r="C788" s="125" t="n"/>
      <c r="D788" s="126" t="n"/>
      <c r="E788" s="127" t="n"/>
      <c r="F788" s="128" t="n"/>
      <c r="G788" s="129">
        <f>IF(F788="","",ROUND(F788/60,2))</f>
        <v/>
      </c>
      <c r="H788" s="130" t="n"/>
      <c r="I788" s="131" t="n"/>
      <c r="J788" s="131">
        <f>IF(COUNTIF(B788:E788,"*")=0,"",IF(T788=1,"Invalid Service",IF(AND(V788=1,F788=""),"Add Session Mins",IF(AND(E788&gt;0,H788="",T788=""),"Enter Contract Rate",IF(AND(E788="IEP mtg, prep, rept",F788&gt;0),(G788*H788),IF(AND(E788&gt;0,F788&gt;0,H788&gt;0,I788=""),"Enter Travel",IF(AND(F788&gt;0,I788="Y"),(G788*H788)+$M$10,IF(AND(F788&gt;0,I788="N"),(G788*H788),H788))))))))</f>
        <v/>
      </c>
      <c r="K788" s="132">
        <f>J788</f>
        <v/>
      </c>
      <c r="L788" s="148" t="n"/>
      <c r="M788" s="148" t="n"/>
      <c r="N788" s="148" t="n"/>
      <c r="O788" s="87" t="n"/>
      <c r="P788" s="81" t="n"/>
      <c r="Q788" s="81" t="n"/>
      <c r="R788" s="81" t="n"/>
      <c r="S788" s="81" t="n"/>
      <c r="T788" s="136">
        <f>IF(AND(E788&gt;0,U788=0),1,"")</f>
        <v/>
      </c>
      <c r="U788" s="136">
        <f>SUM(X788:AR788)</f>
        <v/>
      </c>
      <c r="V788" s="136">
        <f>IF(E788=$Q$16,0,SUM(X788:AI788))</f>
        <v/>
      </c>
      <c r="W788" s="136">
        <f>SUM(AK788:AR788)</f>
        <v/>
      </c>
      <c r="X788" s="136">
        <f>IF(E788=$X$6,1,"")</f>
        <v/>
      </c>
      <c r="Y788" s="136">
        <f>IF(E788=$Y$6,1,"")</f>
        <v/>
      </c>
      <c r="Z788" s="136">
        <f>IF(E788=$Z$6,1,"")</f>
        <v/>
      </c>
      <c r="AA788" s="136">
        <f>IF(E788=$AA$6,1,"")</f>
        <v/>
      </c>
      <c r="AB788" s="136">
        <f>IF(E788=$AB$6,1,"")</f>
        <v/>
      </c>
      <c r="AC788" s="136">
        <f>IF(E788=$AC$6,1,"")</f>
        <v/>
      </c>
      <c r="AD788" s="136">
        <f>IF(E788=$AD$6,1,"")</f>
        <v/>
      </c>
      <c r="AE788" s="136">
        <f>IF(E788=$AE$6,1,"")</f>
        <v/>
      </c>
      <c r="AF788" s="136">
        <f>IF(E788=$AF$6,1,"")</f>
        <v/>
      </c>
      <c r="AG788" s="136">
        <f>IF(E788=$AG$6,1,"")</f>
        <v/>
      </c>
      <c r="AH788" s="136">
        <f>IF(E788=$AH$6,1,"")</f>
        <v/>
      </c>
      <c r="AI788" s="136">
        <f>IF(E788=$AI$6,1,"")</f>
        <v/>
      </c>
      <c r="AJ788" s="136">
        <f>IF(E788=$AJ$6,1,"")</f>
        <v/>
      </c>
      <c r="AK788" s="81">
        <f>IF(E788=$AK$6,1,"")</f>
        <v/>
      </c>
      <c r="AL788" s="81">
        <f>IF(E788=$AL$6,1,"")</f>
        <v/>
      </c>
      <c r="AM788" s="81">
        <f>IF(E788=$AM$6,1,"")</f>
        <v/>
      </c>
      <c r="AN788" s="81">
        <f>IF(E788=$AN$6,1,"")</f>
        <v/>
      </c>
      <c r="AO788" s="81">
        <f>IF(E788=$AO$6,1,"")</f>
        <v/>
      </c>
      <c r="AP788" s="81">
        <f>IF(E788=$AP$6,1,"")</f>
        <v/>
      </c>
      <c r="AQ788" s="81">
        <f>IF(E788=$AQ$6,1,"")</f>
        <v/>
      </c>
      <c r="AR788" s="81">
        <f>IF(E788=$AR$6,1,"")</f>
        <v/>
      </c>
      <c r="AS788" s="81" t="n"/>
    </row>
    <row r="789" ht="15.75" customHeight="1" s="80">
      <c r="A789" s="157" t="n"/>
      <c r="B789" s="124" t="n"/>
      <c r="C789" s="125" t="n"/>
      <c r="D789" s="126" t="n"/>
      <c r="E789" s="127" t="n"/>
      <c r="F789" s="128" t="n"/>
      <c r="G789" s="129">
        <f>IF(F789="","",ROUND(F789/60,2))</f>
        <v/>
      </c>
      <c r="H789" s="130" t="n"/>
      <c r="I789" s="131" t="n"/>
      <c r="J789" s="131">
        <f>IF(COUNTIF(B789:E789,"*")=0,"",IF(T789=1,"Invalid Service",IF(AND(V789=1,F789=""),"Add Session Mins",IF(AND(E789&gt;0,H789="",T789=""),"Enter Contract Rate",IF(AND(E789="IEP mtg, prep, rept",F789&gt;0),(G789*H789),IF(AND(E789&gt;0,F789&gt;0,H789&gt;0,I789=""),"Enter Travel",IF(AND(F789&gt;0,I789="Y"),(G789*H789)+$M$10,IF(AND(F789&gt;0,I789="N"),(G789*H789),H789))))))))</f>
        <v/>
      </c>
      <c r="K789" s="132">
        <f>J789</f>
        <v/>
      </c>
      <c r="L789" s="148" t="n"/>
      <c r="M789" s="148" t="n"/>
      <c r="N789" s="148" t="n"/>
      <c r="O789" s="87" t="n"/>
      <c r="P789" s="81" t="n"/>
      <c r="Q789" s="81" t="n"/>
      <c r="R789" s="81" t="n"/>
      <c r="S789" s="81" t="n"/>
      <c r="T789" s="136">
        <f>IF(AND(E789&gt;0,U789=0),1,"")</f>
        <v/>
      </c>
      <c r="U789" s="136">
        <f>SUM(X789:AR789)</f>
        <v/>
      </c>
      <c r="V789" s="136">
        <f>IF(E789=$Q$16,0,SUM(X789:AI789))</f>
        <v/>
      </c>
      <c r="W789" s="136">
        <f>SUM(AK789:AR789)</f>
        <v/>
      </c>
      <c r="X789" s="136">
        <f>IF(E789=$X$6,1,"")</f>
        <v/>
      </c>
      <c r="Y789" s="136">
        <f>IF(E789=$Y$6,1,"")</f>
        <v/>
      </c>
      <c r="Z789" s="136">
        <f>IF(E789=$Z$6,1,"")</f>
        <v/>
      </c>
      <c r="AA789" s="136">
        <f>IF(E789=$AA$6,1,"")</f>
        <v/>
      </c>
      <c r="AB789" s="136">
        <f>IF(E789=$AB$6,1,"")</f>
        <v/>
      </c>
      <c r="AC789" s="136">
        <f>IF(E789=$AC$6,1,"")</f>
        <v/>
      </c>
      <c r="AD789" s="136">
        <f>IF(E789=$AD$6,1,"")</f>
        <v/>
      </c>
      <c r="AE789" s="136">
        <f>IF(E789=$AE$6,1,"")</f>
        <v/>
      </c>
      <c r="AF789" s="136">
        <f>IF(E789=$AF$6,1,"")</f>
        <v/>
      </c>
      <c r="AG789" s="136">
        <f>IF(E789=$AG$6,1,"")</f>
        <v/>
      </c>
      <c r="AH789" s="136">
        <f>IF(E789=$AH$6,1,"")</f>
        <v/>
      </c>
      <c r="AI789" s="136">
        <f>IF(E789=$AI$6,1,"")</f>
        <v/>
      </c>
      <c r="AJ789" s="136">
        <f>IF(E789=$AJ$6,1,"")</f>
        <v/>
      </c>
      <c r="AK789" s="81">
        <f>IF(E789=$AK$6,1,"")</f>
        <v/>
      </c>
      <c r="AL789" s="81">
        <f>IF(E789=$AL$6,1,"")</f>
        <v/>
      </c>
      <c r="AM789" s="81">
        <f>IF(E789=$AM$6,1,"")</f>
        <v/>
      </c>
      <c r="AN789" s="81">
        <f>IF(E789=$AN$6,1,"")</f>
        <v/>
      </c>
      <c r="AO789" s="81">
        <f>IF(E789=$AO$6,1,"")</f>
        <v/>
      </c>
      <c r="AP789" s="81">
        <f>IF(E789=$AP$6,1,"")</f>
        <v/>
      </c>
      <c r="AQ789" s="81">
        <f>IF(E789=$AQ$6,1,"")</f>
        <v/>
      </c>
      <c r="AR789" s="81">
        <f>IF(E789=$AR$6,1,"")</f>
        <v/>
      </c>
      <c r="AS789" s="81" t="n"/>
    </row>
    <row r="790" ht="15.75" customHeight="1" s="80">
      <c r="A790" s="157" t="n"/>
      <c r="B790" s="124" t="n"/>
      <c r="C790" s="125" t="n"/>
      <c r="D790" s="126" t="n"/>
      <c r="E790" s="127" t="n"/>
      <c r="F790" s="128" t="n"/>
      <c r="G790" s="129">
        <f>IF(F790="","",ROUND(F790/60,2))</f>
        <v/>
      </c>
      <c r="H790" s="130" t="n"/>
      <c r="I790" s="131" t="n"/>
      <c r="J790" s="131">
        <f>IF(COUNTIF(B790:E790,"*")=0,"",IF(T790=1,"Invalid Service",IF(AND(V790=1,F790=""),"Add Session Mins",IF(AND(E790&gt;0,H790="",T790=""),"Enter Contract Rate",IF(AND(E790="IEP mtg, prep, rept",F790&gt;0),(G790*H790),IF(AND(E790&gt;0,F790&gt;0,H790&gt;0,I790=""),"Enter Travel",IF(AND(F790&gt;0,I790="Y"),(G790*H790)+$M$10,IF(AND(F790&gt;0,I790="N"),(G790*H790),H790))))))))</f>
        <v/>
      </c>
      <c r="K790" s="132">
        <f>J790</f>
        <v/>
      </c>
      <c r="L790" s="148" t="n"/>
      <c r="M790" s="148" t="n"/>
      <c r="N790" s="148" t="n"/>
      <c r="O790" s="87" t="n"/>
      <c r="P790" s="81" t="n"/>
      <c r="Q790" s="81" t="n"/>
      <c r="R790" s="81" t="n"/>
      <c r="S790" s="81" t="n"/>
      <c r="T790" s="136">
        <f>IF(AND(E790&gt;0,U790=0),1,"")</f>
        <v/>
      </c>
      <c r="U790" s="136">
        <f>SUM(X790:AR790)</f>
        <v/>
      </c>
      <c r="V790" s="136">
        <f>IF(E790=$Q$16,0,SUM(X790:AI790))</f>
        <v/>
      </c>
      <c r="W790" s="136">
        <f>SUM(AK790:AR790)</f>
        <v/>
      </c>
      <c r="X790" s="136">
        <f>IF(E790=$X$6,1,"")</f>
        <v/>
      </c>
      <c r="Y790" s="136">
        <f>IF(E790=$Y$6,1,"")</f>
        <v/>
      </c>
      <c r="Z790" s="136">
        <f>IF(E790=$Z$6,1,"")</f>
        <v/>
      </c>
      <c r="AA790" s="136">
        <f>IF(E790=$AA$6,1,"")</f>
        <v/>
      </c>
      <c r="AB790" s="136">
        <f>IF(E790=$AB$6,1,"")</f>
        <v/>
      </c>
      <c r="AC790" s="136">
        <f>IF(E790=$AC$6,1,"")</f>
        <v/>
      </c>
      <c r="AD790" s="136">
        <f>IF(E790=$AD$6,1,"")</f>
        <v/>
      </c>
      <c r="AE790" s="136">
        <f>IF(E790=$AE$6,1,"")</f>
        <v/>
      </c>
      <c r="AF790" s="136">
        <f>IF(E790=$AF$6,1,"")</f>
        <v/>
      </c>
      <c r="AG790" s="136">
        <f>IF(E790=$AG$6,1,"")</f>
        <v/>
      </c>
      <c r="AH790" s="136">
        <f>IF(E790=$AH$6,1,"")</f>
        <v/>
      </c>
      <c r="AI790" s="136">
        <f>IF(E790=$AI$6,1,"")</f>
        <v/>
      </c>
      <c r="AJ790" s="136">
        <f>IF(E790=$AJ$6,1,"")</f>
        <v/>
      </c>
      <c r="AK790" s="81">
        <f>IF(E790=$AK$6,1,"")</f>
        <v/>
      </c>
      <c r="AL790" s="81">
        <f>IF(E790=$AL$6,1,"")</f>
        <v/>
      </c>
      <c r="AM790" s="81">
        <f>IF(E790=$AM$6,1,"")</f>
        <v/>
      </c>
      <c r="AN790" s="81">
        <f>IF(E790=$AN$6,1,"")</f>
        <v/>
      </c>
      <c r="AO790" s="81">
        <f>IF(E790=$AO$6,1,"")</f>
        <v/>
      </c>
      <c r="AP790" s="81">
        <f>IF(E790=$AP$6,1,"")</f>
        <v/>
      </c>
      <c r="AQ790" s="81">
        <f>IF(E790=$AQ$6,1,"")</f>
        <v/>
      </c>
      <c r="AR790" s="81">
        <f>IF(E790=$AR$6,1,"")</f>
        <v/>
      </c>
      <c r="AS790" s="81" t="n"/>
    </row>
    <row r="791" ht="15.75" customHeight="1" s="80">
      <c r="A791" s="157" t="n"/>
      <c r="B791" s="124" t="n"/>
      <c r="C791" s="125" t="n"/>
      <c r="D791" s="126" t="n"/>
      <c r="E791" s="127" t="n"/>
      <c r="F791" s="128" t="n"/>
      <c r="G791" s="129">
        <f>IF(F791="","",ROUND(F791/60,2))</f>
        <v/>
      </c>
      <c r="H791" s="130" t="n"/>
      <c r="I791" s="131" t="n"/>
      <c r="J791" s="131">
        <f>IF(COUNTIF(B791:E791,"*")=0,"",IF(T791=1,"Invalid Service",IF(AND(V791=1,F791=""),"Add Session Mins",IF(AND(E791&gt;0,H791="",T791=""),"Enter Contract Rate",IF(AND(E791="IEP mtg, prep, rept",F791&gt;0),(G791*H791),IF(AND(E791&gt;0,F791&gt;0,H791&gt;0,I791=""),"Enter Travel",IF(AND(F791&gt;0,I791="Y"),(G791*H791)+$M$10,IF(AND(F791&gt;0,I791="N"),(G791*H791),H791))))))))</f>
        <v/>
      </c>
      <c r="K791" s="132">
        <f>J791</f>
        <v/>
      </c>
      <c r="L791" s="148" t="n"/>
      <c r="M791" s="148" t="n"/>
      <c r="N791" s="148" t="n"/>
      <c r="O791" s="87" t="n"/>
      <c r="P791" s="81" t="n"/>
      <c r="Q791" s="81" t="n"/>
      <c r="R791" s="81" t="n"/>
      <c r="S791" s="81" t="n"/>
      <c r="T791" s="136">
        <f>IF(AND(E791&gt;0,U791=0),1,"")</f>
        <v/>
      </c>
      <c r="U791" s="136">
        <f>SUM(X791:AR791)</f>
        <v/>
      </c>
      <c r="V791" s="136">
        <f>IF(E791=$Q$16,0,SUM(X791:AI791))</f>
        <v/>
      </c>
      <c r="W791" s="136">
        <f>SUM(AK791:AR791)</f>
        <v/>
      </c>
      <c r="X791" s="136">
        <f>IF(E791=$X$6,1,"")</f>
        <v/>
      </c>
      <c r="Y791" s="136">
        <f>IF(E791=$Y$6,1,"")</f>
        <v/>
      </c>
      <c r="Z791" s="136">
        <f>IF(E791=$Z$6,1,"")</f>
        <v/>
      </c>
      <c r="AA791" s="136">
        <f>IF(E791=$AA$6,1,"")</f>
        <v/>
      </c>
      <c r="AB791" s="136">
        <f>IF(E791=$AB$6,1,"")</f>
        <v/>
      </c>
      <c r="AC791" s="136">
        <f>IF(E791=$AC$6,1,"")</f>
        <v/>
      </c>
      <c r="AD791" s="136">
        <f>IF(E791=$AD$6,1,"")</f>
        <v/>
      </c>
      <c r="AE791" s="136">
        <f>IF(E791=$AE$6,1,"")</f>
        <v/>
      </c>
      <c r="AF791" s="136">
        <f>IF(E791=$AF$6,1,"")</f>
        <v/>
      </c>
      <c r="AG791" s="136">
        <f>IF(E791=$AG$6,1,"")</f>
        <v/>
      </c>
      <c r="AH791" s="136">
        <f>IF(E791=$AH$6,1,"")</f>
        <v/>
      </c>
      <c r="AI791" s="136">
        <f>IF(E791=$AI$6,1,"")</f>
        <v/>
      </c>
      <c r="AJ791" s="136">
        <f>IF(E791=$AJ$6,1,"")</f>
        <v/>
      </c>
      <c r="AK791" s="81">
        <f>IF(E791=$AK$6,1,"")</f>
        <v/>
      </c>
      <c r="AL791" s="81">
        <f>IF(E791=$AL$6,1,"")</f>
        <v/>
      </c>
      <c r="AM791" s="81">
        <f>IF(E791=$AM$6,1,"")</f>
        <v/>
      </c>
      <c r="AN791" s="81">
        <f>IF(E791=$AN$6,1,"")</f>
        <v/>
      </c>
      <c r="AO791" s="81">
        <f>IF(E791=$AO$6,1,"")</f>
        <v/>
      </c>
      <c r="AP791" s="81">
        <f>IF(E791=$AP$6,1,"")</f>
        <v/>
      </c>
      <c r="AQ791" s="81">
        <f>IF(E791=$AQ$6,1,"")</f>
        <v/>
      </c>
      <c r="AR791" s="81">
        <f>IF(E791=$AR$6,1,"")</f>
        <v/>
      </c>
      <c r="AS791" s="81" t="n"/>
    </row>
    <row r="792" ht="15.75" customHeight="1" s="80">
      <c r="A792" s="157" t="n"/>
      <c r="B792" s="124" t="n"/>
      <c r="C792" s="125" t="n"/>
      <c r="D792" s="126" t="n"/>
      <c r="E792" s="127" t="n"/>
      <c r="F792" s="128" t="n"/>
      <c r="G792" s="129">
        <f>IF(F792="","",ROUND(F792/60,2))</f>
        <v/>
      </c>
      <c r="H792" s="130" t="n"/>
      <c r="I792" s="131" t="n"/>
      <c r="J792" s="131">
        <f>IF(COUNTIF(B792:E792,"*")=0,"",IF(T792=1,"Invalid Service",IF(AND(V792=1,F792=""),"Add Session Mins",IF(AND(E792&gt;0,H792="",T792=""),"Enter Contract Rate",IF(AND(E792="IEP mtg, prep, rept",F792&gt;0),(G792*H792),IF(AND(E792&gt;0,F792&gt;0,H792&gt;0,I792=""),"Enter Travel",IF(AND(F792&gt;0,I792="Y"),(G792*H792)+$M$10,IF(AND(F792&gt;0,I792="N"),(G792*H792),H792))))))))</f>
        <v/>
      </c>
      <c r="K792" s="132">
        <f>J792</f>
        <v/>
      </c>
      <c r="L792" s="148" t="n"/>
      <c r="M792" s="148" t="n"/>
      <c r="N792" s="148" t="n"/>
      <c r="O792" s="87" t="n"/>
      <c r="P792" s="81" t="n"/>
      <c r="Q792" s="81" t="n"/>
      <c r="R792" s="81" t="n"/>
      <c r="S792" s="81" t="n"/>
      <c r="T792" s="136">
        <f>IF(AND(E792&gt;0,U792=0),1,"")</f>
        <v/>
      </c>
      <c r="U792" s="136">
        <f>SUM(X792:AR792)</f>
        <v/>
      </c>
      <c r="V792" s="136">
        <f>IF(E792=$Q$16,0,SUM(X792:AI792))</f>
        <v/>
      </c>
      <c r="W792" s="136">
        <f>SUM(AK792:AR792)</f>
        <v/>
      </c>
      <c r="X792" s="136">
        <f>IF(E792=$X$6,1,"")</f>
        <v/>
      </c>
      <c r="Y792" s="136">
        <f>IF(E792=$Y$6,1,"")</f>
        <v/>
      </c>
      <c r="Z792" s="136">
        <f>IF(E792=$Z$6,1,"")</f>
        <v/>
      </c>
      <c r="AA792" s="136">
        <f>IF(E792=$AA$6,1,"")</f>
        <v/>
      </c>
      <c r="AB792" s="136">
        <f>IF(E792=$AB$6,1,"")</f>
        <v/>
      </c>
      <c r="AC792" s="136">
        <f>IF(E792=$AC$6,1,"")</f>
        <v/>
      </c>
      <c r="AD792" s="136">
        <f>IF(E792=$AD$6,1,"")</f>
        <v/>
      </c>
      <c r="AE792" s="136">
        <f>IF(E792=$AE$6,1,"")</f>
        <v/>
      </c>
      <c r="AF792" s="136">
        <f>IF(E792=$AF$6,1,"")</f>
        <v/>
      </c>
      <c r="AG792" s="136">
        <f>IF(E792=$AG$6,1,"")</f>
        <v/>
      </c>
      <c r="AH792" s="136">
        <f>IF(E792=$AH$6,1,"")</f>
        <v/>
      </c>
      <c r="AI792" s="136">
        <f>IF(E792=$AI$6,1,"")</f>
        <v/>
      </c>
      <c r="AJ792" s="136">
        <f>IF(E792=$AJ$6,1,"")</f>
        <v/>
      </c>
      <c r="AK792" s="81">
        <f>IF(E792=$AK$6,1,"")</f>
        <v/>
      </c>
      <c r="AL792" s="81">
        <f>IF(E792=$AL$6,1,"")</f>
        <v/>
      </c>
      <c r="AM792" s="81">
        <f>IF(E792=$AM$6,1,"")</f>
        <v/>
      </c>
      <c r="AN792" s="81">
        <f>IF(E792=$AN$6,1,"")</f>
        <v/>
      </c>
      <c r="AO792" s="81">
        <f>IF(E792=$AO$6,1,"")</f>
        <v/>
      </c>
      <c r="AP792" s="81">
        <f>IF(E792=$AP$6,1,"")</f>
        <v/>
      </c>
      <c r="AQ792" s="81">
        <f>IF(E792=$AQ$6,1,"")</f>
        <v/>
      </c>
      <c r="AR792" s="81">
        <f>IF(E792=$AR$6,1,"")</f>
        <v/>
      </c>
      <c r="AS792" s="81" t="n"/>
    </row>
    <row r="793" ht="15.75" customHeight="1" s="80">
      <c r="A793" s="157" t="n"/>
      <c r="B793" s="124" t="n"/>
      <c r="C793" s="125" t="n"/>
      <c r="D793" s="126" t="n"/>
      <c r="E793" s="127" t="n"/>
      <c r="F793" s="128" t="n"/>
      <c r="G793" s="129">
        <f>IF(F793="","",ROUND(F793/60,2))</f>
        <v/>
      </c>
      <c r="H793" s="130" t="n"/>
      <c r="I793" s="131" t="n"/>
      <c r="J793" s="131">
        <f>IF(COUNTIF(B793:E793,"*")=0,"",IF(T793=1,"Invalid Service",IF(AND(V793=1,F793=""),"Add Session Mins",IF(AND(E793&gt;0,H793="",T793=""),"Enter Contract Rate",IF(AND(E793="IEP mtg, prep, rept",F793&gt;0),(G793*H793),IF(AND(E793&gt;0,F793&gt;0,H793&gt;0,I793=""),"Enter Travel",IF(AND(F793&gt;0,I793="Y"),(G793*H793)+$M$10,IF(AND(F793&gt;0,I793="N"),(G793*H793),H793))))))))</f>
        <v/>
      </c>
      <c r="K793" s="132">
        <f>J793</f>
        <v/>
      </c>
      <c r="L793" s="148" t="n"/>
      <c r="M793" s="148" t="n"/>
      <c r="N793" s="148" t="n"/>
      <c r="O793" s="87" t="n"/>
      <c r="P793" s="81" t="n"/>
      <c r="Q793" s="81" t="n"/>
      <c r="R793" s="81" t="n"/>
      <c r="S793" s="81" t="n"/>
      <c r="T793" s="136">
        <f>IF(AND(E793&gt;0,U793=0),1,"")</f>
        <v/>
      </c>
      <c r="U793" s="136">
        <f>SUM(X793:AR793)</f>
        <v/>
      </c>
      <c r="V793" s="136">
        <f>IF(E793=$Q$16,0,SUM(X793:AI793))</f>
        <v/>
      </c>
      <c r="W793" s="136">
        <f>SUM(AK793:AR793)</f>
        <v/>
      </c>
      <c r="X793" s="136">
        <f>IF(E793=$X$6,1,"")</f>
        <v/>
      </c>
      <c r="Y793" s="136">
        <f>IF(E793=$Y$6,1,"")</f>
        <v/>
      </c>
      <c r="Z793" s="136">
        <f>IF(E793=$Z$6,1,"")</f>
        <v/>
      </c>
      <c r="AA793" s="136">
        <f>IF(E793=$AA$6,1,"")</f>
        <v/>
      </c>
      <c r="AB793" s="136">
        <f>IF(E793=$AB$6,1,"")</f>
        <v/>
      </c>
      <c r="AC793" s="136">
        <f>IF(E793=$AC$6,1,"")</f>
        <v/>
      </c>
      <c r="AD793" s="136">
        <f>IF(E793=$AD$6,1,"")</f>
        <v/>
      </c>
      <c r="AE793" s="136">
        <f>IF(E793=$AE$6,1,"")</f>
        <v/>
      </c>
      <c r="AF793" s="136">
        <f>IF(E793=$AF$6,1,"")</f>
        <v/>
      </c>
      <c r="AG793" s="136">
        <f>IF(E793=$AG$6,1,"")</f>
        <v/>
      </c>
      <c r="AH793" s="136">
        <f>IF(E793=$AH$6,1,"")</f>
        <v/>
      </c>
      <c r="AI793" s="136">
        <f>IF(E793=$AI$6,1,"")</f>
        <v/>
      </c>
      <c r="AJ793" s="136">
        <f>IF(E793=$AJ$6,1,"")</f>
        <v/>
      </c>
      <c r="AK793" s="81">
        <f>IF(E793=$AK$6,1,"")</f>
        <v/>
      </c>
      <c r="AL793" s="81">
        <f>IF(E793=$AL$6,1,"")</f>
        <v/>
      </c>
      <c r="AM793" s="81">
        <f>IF(E793=$AM$6,1,"")</f>
        <v/>
      </c>
      <c r="AN793" s="81">
        <f>IF(E793=$AN$6,1,"")</f>
        <v/>
      </c>
      <c r="AO793" s="81">
        <f>IF(E793=$AO$6,1,"")</f>
        <v/>
      </c>
      <c r="AP793" s="81">
        <f>IF(E793=$AP$6,1,"")</f>
        <v/>
      </c>
      <c r="AQ793" s="81">
        <f>IF(E793=$AQ$6,1,"")</f>
        <v/>
      </c>
      <c r="AR793" s="81">
        <f>IF(E793=$AR$6,1,"")</f>
        <v/>
      </c>
      <c r="AS793" s="81" t="n"/>
    </row>
    <row r="794" ht="15.75" customHeight="1" s="80">
      <c r="A794" s="157" t="n"/>
      <c r="B794" s="124" t="n"/>
      <c r="C794" s="125" t="n"/>
      <c r="D794" s="126" t="n"/>
      <c r="E794" s="127" t="n"/>
      <c r="F794" s="128" t="n"/>
      <c r="G794" s="129">
        <f>IF(F794="","",ROUND(F794/60,2))</f>
        <v/>
      </c>
      <c r="H794" s="130" t="n"/>
      <c r="I794" s="131" t="n"/>
      <c r="J794" s="131">
        <f>IF(COUNTIF(B794:E794,"*")=0,"",IF(T794=1,"Invalid Service",IF(AND(V794=1,F794=""),"Add Session Mins",IF(AND(E794&gt;0,H794="",T794=""),"Enter Contract Rate",IF(AND(E794="IEP mtg, prep, rept",F794&gt;0),(G794*H794),IF(AND(E794&gt;0,F794&gt;0,H794&gt;0,I794=""),"Enter Travel",IF(AND(F794&gt;0,I794="Y"),(G794*H794)+$M$10,IF(AND(F794&gt;0,I794="N"),(G794*H794),H794))))))))</f>
        <v/>
      </c>
      <c r="K794" s="132">
        <f>J794</f>
        <v/>
      </c>
      <c r="L794" s="148" t="n"/>
      <c r="M794" s="148" t="n"/>
      <c r="N794" s="148" t="n"/>
      <c r="O794" s="87" t="n"/>
      <c r="P794" s="81" t="n"/>
      <c r="Q794" s="81" t="n"/>
      <c r="R794" s="81" t="n"/>
      <c r="S794" s="81" t="n"/>
      <c r="T794" s="136">
        <f>IF(AND(E794&gt;0,U794=0),1,"")</f>
        <v/>
      </c>
      <c r="U794" s="136">
        <f>SUM(X794:AR794)</f>
        <v/>
      </c>
      <c r="V794" s="136">
        <f>IF(E794=$Q$16,0,SUM(X794:AI794))</f>
        <v/>
      </c>
      <c r="W794" s="136">
        <f>SUM(AK794:AR794)</f>
        <v/>
      </c>
      <c r="X794" s="136">
        <f>IF(E794=$X$6,1,"")</f>
        <v/>
      </c>
      <c r="Y794" s="136">
        <f>IF(E794=$Y$6,1,"")</f>
        <v/>
      </c>
      <c r="Z794" s="136">
        <f>IF(E794=$Z$6,1,"")</f>
        <v/>
      </c>
      <c r="AA794" s="136">
        <f>IF(E794=$AA$6,1,"")</f>
        <v/>
      </c>
      <c r="AB794" s="136">
        <f>IF(E794=$AB$6,1,"")</f>
        <v/>
      </c>
      <c r="AC794" s="136">
        <f>IF(E794=$AC$6,1,"")</f>
        <v/>
      </c>
      <c r="AD794" s="136">
        <f>IF(E794=$AD$6,1,"")</f>
        <v/>
      </c>
      <c r="AE794" s="136">
        <f>IF(E794=$AE$6,1,"")</f>
        <v/>
      </c>
      <c r="AF794" s="136">
        <f>IF(E794=$AF$6,1,"")</f>
        <v/>
      </c>
      <c r="AG794" s="136">
        <f>IF(E794=$AG$6,1,"")</f>
        <v/>
      </c>
      <c r="AH794" s="136">
        <f>IF(E794=$AH$6,1,"")</f>
        <v/>
      </c>
      <c r="AI794" s="136">
        <f>IF(E794=$AI$6,1,"")</f>
        <v/>
      </c>
      <c r="AJ794" s="136">
        <f>IF(E794=$AJ$6,1,"")</f>
        <v/>
      </c>
      <c r="AK794" s="81">
        <f>IF(E794=$AK$6,1,"")</f>
        <v/>
      </c>
      <c r="AL794" s="81">
        <f>IF(E794=$AL$6,1,"")</f>
        <v/>
      </c>
      <c r="AM794" s="81">
        <f>IF(E794=$AM$6,1,"")</f>
        <v/>
      </c>
      <c r="AN794" s="81">
        <f>IF(E794=$AN$6,1,"")</f>
        <v/>
      </c>
      <c r="AO794" s="81">
        <f>IF(E794=$AO$6,1,"")</f>
        <v/>
      </c>
      <c r="AP794" s="81">
        <f>IF(E794=$AP$6,1,"")</f>
        <v/>
      </c>
      <c r="AQ794" s="81">
        <f>IF(E794=$AQ$6,1,"")</f>
        <v/>
      </c>
      <c r="AR794" s="81">
        <f>IF(E794=$AR$6,1,"")</f>
        <v/>
      </c>
      <c r="AS794" s="81" t="n"/>
    </row>
    <row r="795" ht="15.75" customHeight="1" s="80">
      <c r="A795" s="157" t="n"/>
      <c r="B795" s="124" t="n"/>
      <c r="C795" s="125" t="n"/>
      <c r="D795" s="126" t="n"/>
      <c r="E795" s="127" t="n"/>
      <c r="F795" s="128" t="n"/>
      <c r="G795" s="129">
        <f>IF(F795="","",ROUND(F795/60,2))</f>
        <v/>
      </c>
      <c r="H795" s="130" t="n"/>
      <c r="I795" s="131" t="n"/>
      <c r="J795" s="131">
        <f>IF(COUNTIF(B795:E795,"*")=0,"",IF(T795=1,"Invalid Service",IF(AND(V795=1,F795=""),"Add Session Mins",IF(AND(E795&gt;0,H795="",T795=""),"Enter Contract Rate",IF(AND(E795="IEP mtg, prep, rept",F795&gt;0),(G795*H795),IF(AND(E795&gt;0,F795&gt;0,H795&gt;0,I795=""),"Enter Travel",IF(AND(F795&gt;0,I795="Y"),(G795*H795)+$M$10,IF(AND(F795&gt;0,I795="N"),(G795*H795),H795))))))))</f>
        <v/>
      </c>
      <c r="K795" s="132">
        <f>J795</f>
        <v/>
      </c>
      <c r="L795" s="148" t="n"/>
      <c r="M795" s="148" t="n"/>
      <c r="N795" s="148" t="n"/>
      <c r="O795" s="87" t="n"/>
      <c r="P795" s="81" t="n"/>
      <c r="Q795" s="81" t="n"/>
      <c r="R795" s="81" t="n"/>
      <c r="S795" s="81" t="n"/>
      <c r="T795" s="136">
        <f>IF(AND(E795&gt;0,U795=0),1,"")</f>
        <v/>
      </c>
      <c r="U795" s="136">
        <f>SUM(X795:AR795)</f>
        <v/>
      </c>
      <c r="V795" s="136">
        <f>IF(E795=$Q$16,0,SUM(X795:AI795))</f>
        <v/>
      </c>
      <c r="W795" s="136">
        <f>SUM(AK795:AR795)</f>
        <v/>
      </c>
      <c r="X795" s="136">
        <f>IF(E795=$X$6,1,"")</f>
        <v/>
      </c>
      <c r="Y795" s="136">
        <f>IF(E795=$Y$6,1,"")</f>
        <v/>
      </c>
      <c r="Z795" s="136">
        <f>IF(E795=$Z$6,1,"")</f>
        <v/>
      </c>
      <c r="AA795" s="136">
        <f>IF(E795=$AA$6,1,"")</f>
        <v/>
      </c>
      <c r="AB795" s="136">
        <f>IF(E795=$AB$6,1,"")</f>
        <v/>
      </c>
      <c r="AC795" s="136">
        <f>IF(E795=$AC$6,1,"")</f>
        <v/>
      </c>
      <c r="AD795" s="136">
        <f>IF(E795=$AD$6,1,"")</f>
        <v/>
      </c>
      <c r="AE795" s="136">
        <f>IF(E795=$AE$6,1,"")</f>
        <v/>
      </c>
      <c r="AF795" s="136">
        <f>IF(E795=$AF$6,1,"")</f>
        <v/>
      </c>
      <c r="AG795" s="136">
        <f>IF(E795=$AG$6,1,"")</f>
        <v/>
      </c>
      <c r="AH795" s="136">
        <f>IF(E795=$AH$6,1,"")</f>
        <v/>
      </c>
      <c r="AI795" s="136">
        <f>IF(E795=$AI$6,1,"")</f>
        <v/>
      </c>
      <c r="AJ795" s="136">
        <f>IF(E795=$AJ$6,1,"")</f>
        <v/>
      </c>
      <c r="AK795" s="81">
        <f>IF(E795=$AK$6,1,"")</f>
        <v/>
      </c>
      <c r="AL795" s="81">
        <f>IF(E795=$AL$6,1,"")</f>
        <v/>
      </c>
      <c r="AM795" s="81">
        <f>IF(E795=$AM$6,1,"")</f>
        <v/>
      </c>
      <c r="AN795" s="81">
        <f>IF(E795=$AN$6,1,"")</f>
        <v/>
      </c>
      <c r="AO795" s="81">
        <f>IF(E795=$AO$6,1,"")</f>
        <v/>
      </c>
      <c r="AP795" s="81">
        <f>IF(E795=$AP$6,1,"")</f>
        <v/>
      </c>
      <c r="AQ795" s="81">
        <f>IF(E795=$AQ$6,1,"")</f>
        <v/>
      </c>
      <c r="AR795" s="81">
        <f>IF(E795=$AR$6,1,"")</f>
        <v/>
      </c>
      <c r="AS795" s="81" t="n"/>
    </row>
    <row r="796" ht="15.75" customHeight="1" s="80">
      <c r="A796" s="157" t="n"/>
      <c r="B796" s="124" t="n"/>
      <c r="C796" s="125" t="n"/>
      <c r="D796" s="126" t="n"/>
      <c r="E796" s="127" t="n"/>
      <c r="F796" s="128" t="n"/>
      <c r="G796" s="129">
        <f>IF(F796="","",ROUND(F796/60,2))</f>
        <v/>
      </c>
      <c r="H796" s="130" t="n"/>
      <c r="I796" s="131" t="n"/>
      <c r="J796" s="131">
        <f>IF(COUNTIF(B796:E796,"*")=0,"",IF(T796=1,"Invalid Service",IF(AND(V796=1,F796=""),"Add Session Mins",IF(AND(E796&gt;0,H796="",T796=""),"Enter Contract Rate",IF(AND(E796="IEP mtg, prep, rept",F796&gt;0),(G796*H796),IF(AND(E796&gt;0,F796&gt;0,H796&gt;0,I796=""),"Enter Travel",IF(AND(F796&gt;0,I796="Y"),(G796*H796)+$M$10,IF(AND(F796&gt;0,I796="N"),(G796*H796),H796))))))))</f>
        <v/>
      </c>
      <c r="K796" s="132">
        <f>J796</f>
        <v/>
      </c>
      <c r="L796" s="148" t="n"/>
      <c r="M796" s="148" t="n"/>
      <c r="N796" s="148" t="n"/>
      <c r="O796" s="87" t="n"/>
      <c r="P796" s="81" t="n"/>
      <c r="Q796" s="81" t="n"/>
      <c r="R796" s="81" t="n"/>
      <c r="S796" s="81" t="n"/>
      <c r="T796" s="136">
        <f>IF(AND(E796&gt;0,U796=0),1,"")</f>
        <v/>
      </c>
      <c r="U796" s="136">
        <f>SUM(X796:AR796)</f>
        <v/>
      </c>
      <c r="V796" s="136">
        <f>IF(E796=$Q$16,0,SUM(X796:AI796))</f>
        <v/>
      </c>
      <c r="W796" s="136">
        <f>SUM(AK796:AR796)</f>
        <v/>
      </c>
      <c r="X796" s="136">
        <f>IF(E796=$X$6,1,"")</f>
        <v/>
      </c>
      <c r="Y796" s="136">
        <f>IF(E796=$Y$6,1,"")</f>
        <v/>
      </c>
      <c r="Z796" s="136">
        <f>IF(E796=$Z$6,1,"")</f>
        <v/>
      </c>
      <c r="AA796" s="136">
        <f>IF(E796=$AA$6,1,"")</f>
        <v/>
      </c>
      <c r="AB796" s="136">
        <f>IF(E796=$AB$6,1,"")</f>
        <v/>
      </c>
      <c r="AC796" s="136">
        <f>IF(E796=$AC$6,1,"")</f>
        <v/>
      </c>
      <c r="AD796" s="136">
        <f>IF(E796=$AD$6,1,"")</f>
        <v/>
      </c>
      <c r="AE796" s="136">
        <f>IF(E796=$AE$6,1,"")</f>
        <v/>
      </c>
      <c r="AF796" s="136">
        <f>IF(E796=$AF$6,1,"")</f>
        <v/>
      </c>
      <c r="AG796" s="136">
        <f>IF(E796=$AG$6,1,"")</f>
        <v/>
      </c>
      <c r="AH796" s="136">
        <f>IF(E796=$AH$6,1,"")</f>
        <v/>
      </c>
      <c r="AI796" s="136">
        <f>IF(E796=$AI$6,1,"")</f>
        <v/>
      </c>
      <c r="AJ796" s="136">
        <f>IF(E796=$AJ$6,1,"")</f>
        <v/>
      </c>
      <c r="AK796" s="81">
        <f>IF(E796=$AK$6,1,"")</f>
        <v/>
      </c>
      <c r="AL796" s="81">
        <f>IF(E796=$AL$6,1,"")</f>
        <v/>
      </c>
      <c r="AM796" s="81">
        <f>IF(E796=$AM$6,1,"")</f>
        <v/>
      </c>
      <c r="AN796" s="81">
        <f>IF(E796=$AN$6,1,"")</f>
        <v/>
      </c>
      <c r="AO796" s="81">
        <f>IF(E796=$AO$6,1,"")</f>
        <v/>
      </c>
      <c r="AP796" s="81">
        <f>IF(E796=$AP$6,1,"")</f>
        <v/>
      </c>
      <c r="AQ796" s="81">
        <f>IF(E796=$AQ$6,1,"")</f>
        <v/>
      </c>
      <c r="AR796" s="81">
        <f>IF(E796=$AR$6,1,"")</f>
        <v/>
      </c>
      <c r="AS796" s="81" t="n"/>
    </row>
    <row r="797" ht="15.75" customHeight="1" s="80">
      <c r="A797" s="157" t="n"/>
      <c r="B797" s="124" t="n"/>
      <c r="C797" s="125" t="n"/>
      <c r="D797" s="126" t="n"/>
      <c r="E797" s="127" t="n"/>
      <c r="F797" s="128" t="n"/>
      <c r="G797" s="129">
        <f>IF(F797="","",ROUND(F797/60,2))</f>
        <v/>
      </c>
      <c r="H797" s="130" t="n"/>
      <c r="I797" s="131" t="n"/>
      <c r="J797" s="131">
        <f>IF(COUNTIF(B797:E797,"*")=0,"",IF(T797=1,"Invalid Service",IF(AND(V797=1,F797=""),"Add Session Mins",IF(AND(E797&gt;0,H797="",T797=""),"Enter Contract Rate",IF(AND(E797="IEP mtg, prep, rept",F797&gt;0),(G797*H797),IF(AND(E797&gt;0,F797&gt;0,H797&gt;0,I797=""),"Enter Travel",IF(AND(F797&gt;0,I797="Y"),(G797*H797)+$M$10,IF(AND(F797&gt;0,I797="N"),(G797*H797),H797))))))))</f>
        <v/>
      </c>
      <c r="K797" s="132">
        <f>J797</f>
        <v/>
      </c>
      <c r="L797" s="148" t="n"/>
      <c r="M797" s="148" t="n"/>
      <c r="N797" s="148" t="n"/>
      <c r="O797" s="87" t="n"/>
      <c r="P797" s="81" t="n"/>
      <c r="Q797" s="81" t="n"/>
      <c r="R797" s="81" t="n"/>
      <c r="S797" s="81" t="n"/>
      <c r="T797" s="136">
        <f>IF(AND(E797&gt;0,U797=0),1,"")</f>
        <v/>
      </c>
      <c r="U797" s="136">
        <f>SUM(X797:AR797)</f>
        <v/>
      </c>
      <c r="V797" s="136">
        <f>IF(E797=$Q$16,0,SUM(X797:AI797))</f>
        <v/>
      </c>
      <c r="W797" s="136">
        <f>SUM(AK797:AR797)</f>
        <v/>
      </c>
      <c r="X797" s="136">
        <f>IF(E797=$X$6,1,"")</f>
        <v/>
      </c>
      <c r="Y797" s="136">
        <f>IF(E797=$Y$6,1,"")</f>
        <v/>
      </c>
      <c r="Z797" s="136">
        <f>IF(E797=$Z$6,1,"")</f>
        <v/>
      </c>
      <c r="AA797" s="136">
        <f>IF(E797=$AA$6,1,"")</f>
        <v/>
      </c>
      <c r="AB797" s="136">
        <f>IF(E797=$AB$6,1,"")</f>
        <v/>
      </c>
      <c r="AC797" s="136">
        <f>IF(E797=$AC$6,1,"")</f>
        <v/>
      </c>
      <c r="AD797" s="136">
        <f>IF(E797=$AD$6,1,"")</f>
        <v/>
      </c>
      <c r="AE797" s="136">
        <f>IF(E797=$AE$6,1,"")</f>
        <v/>
      </c>
      <c r="AF797" s="136">
        <f>IF(E797=$AF$6,1,"")</f>
        <v/>
      </c>
      <c r="AG797" s="136">
        <f>IF(E797=$AG$6,1,"")</f>
        <v/>
      </c>
      <c r="AH797" s="136">
        <f>IF(E797=$AH$6,1,"")</f>
        <v/>
      </c>
      <c r="AI797" s="136">
        <f>IF(E797=$AI$6,1,"")</f>
        <v/>
      </c>
      <c r="AJ797" s="136">
        <f>IF(E797=$AJ$6,1,"")</f>
        <v/>
      </c>
      <c r="AK797" s="81">
        <f>IF(E797=$AK$6,1,"")</f>
        <v/>
      </c>
      <c r="AL797" s="81">
        <f>IF(E797=$AL$6,1,"")</f>
        <v/>
      </c>
      <c r="AM797" s="81">
        <f>IF(E797=$AM$6,1,"")</f>
        <v/>
      </c>
      <c r="AN797" s="81">
        <f>IF(E797=$AN$6,1,"")</f>
        <v/>
      </c>
      <c r="AO797" s="81">
        <f>IF(E797=$AO$6,1,"")</f>
        <v/>
      </c>
      <c r="AP797" s="81">
        <f>IF(E797=$AP$6,1,"")</f>
        <v/>
      </c>
      <c r="AQ797" s="81">
        <f>IF(E797=$AQ$6,1,"")</f>
        <v/>
      </c>
      <c r="AR797" s="81">
        <f>IF(E797=$AR$6,1,"")</f>
        <v/>
      </c>
      <c r="AS797" s="81" t="n"/>
    </row>
    <row r="798" ht="15.75" customHeight="1" s="80">
      <c r="A798" s="157" t="n"/>
      <c r="B798" s="124" t="n"/>
      <c r="C798" s="125" t="n"/>
      <c r="D798" s="126" t="n"/>
      <c r="E798" s="127" t="n"/>
      <c r="F798" s="128" t="n"/>
      <c r="G798" s="129">
        <f>IF(F798="","",ROUND(F798/60,2))</f>
        <v/>
      </c>
      <c r="H798" s="130" t="n"/>
      <c r="I798" s="131" t="n"/>
      <c r="J798" s="131">
        <f>IF(COUNTIF(B798:E798,"*")=0,"",IF(T798=1,"Invalid Service",IF(AND(V798=1,F798=""),"Add Session Mins",IF(AND(E798&gt;0,H798="",T798=""),"Enter Contract Rate",IF(AND(E798="IEP mtg, prep, rept",F798&gt;0),(G798*H798),IF(AND(E798&gt;0,F798&gt;0,H798&gt;0,I798=""),"Enter Travel",IF(AND(F798&gt;0,I798="Y"),(G798*H798)+$M$10,IF(AND(F798&gt;0,I798="N"),(G798*H798),H798))))))))</f>
        <v/>
      </c>
      <c r="K798" s="132">
        <f>J798</f>
        <v/>
      </c>
      <c r="L798" s="148" t="n"/>
      <c r="M798" s="148" t="n"/>
      <c r="N798" s="148" t="n"/>
      <c r="O798" s="87" t="n"/>
      <c r="P798" s="81" t="n"/>
      <c r="Q798" s="81" t="n"/>
      <c r="R798" s="81" t="n"/>
      <c r="S798" s="81" t="n"/>
      <c r="T798" s="136">
        <f>IF(AND(E798&gt;0,U798=0),1,"")</f>
        <v/>
      </c>
      <c r="U798" s="136">
        <f>SUM(X798:AR798)</f>
        <v/>
      </c>
      <c r="V798" s="136">
        <f>IF(E798=$Q$16,0,SUM(X798:AI798))</f>
        <v/>
      </c>
      <c r="W798" s="136">
        <f>SUM(AK798:AR798)</f>
        <v/>
      </c>
      <c r="X798" s="136">
        <f>IF(E798=$X$6,1,"")</f>
        <v/>
      </c>
      <c r="Y798" s="136">
        <f>IF(E798=$Y$6,1,"")</f>
        <v/>
      </c>
      <c r="Z798" s="136">
        <f>IF(E798=$Z$6,1,"")</f>
        <v/>
      </c>
      <c r="AA798" s="136">
        <f>IF(E798=$AA$6,1,"")</f>
        <v/>
      </c>
      <c r="AB798" s="136">
        <f>IF(E798=$AB$6,1,"")</f>
        <v/>
      </c>
      <c r="AC798" s="136">
        <f>IF(E798=$AC$6,1,"")</f>
        <v/>
      </c>
      <c r="AD798" s="136">
        <f>IF(E798=$AD$6,1,"")</f>
        <v/>
      </c>
      <c r="AE798" s="136">
        <f>IF(E798=$AE$6,1,"")</f>
        <v/>
      </c>
      <c r="AF798" s="136">
        <f>IF(E798=$AF$6,1,"")</f>
        <v/>
      </c>
      <c r="AG798" s="136">
        <f>IF(E798=$AG$6,1,"")</f>
        <v/>
      </c>
      <c r="AH798" s="136">
        <f>IF(E798=$AH$6,1,"")</f>
        <v/>
      </c>
      <c r="AI798" s="136">
        <f>IF(E798=$AI$6,1,"")</f>
        <v/>
      </c>
      <c r="AJ798" s="136">
        <f>IF(E798=$AJ$6,1,"")</f>
        <v/>
      </c>
      <c r="AK798" s="81">
        <f>IF(E798=$AK$6,1,"")</f>
        <v/>
      </c>
      <c r="AL798" s="81">
        <f>IF(E798=$AL$6,1,"")</f>
        <v/>
      </c>
      <c r="AM798" s="81">
        <f>IF(E798=$AM$6,1,"")</f>
        <v/>
      </c>
      <c r="AN798" s="81">
        <f>IF(E798=$AN$6,1,"")</f>
        <v/>
      </c>
      <c r="AO798" s="81">
        <f>IF(E798=$AO$6,1,"")</f>
        <v/>
      </c>
      <c r="AP798" s="81">
        <f>IF(E798=$AP$6,1,"")</f>
        <v/>
      </c>
      <c r="AQ798" s="81">
        <f>IF(E798=$AQ$6,1,"")</f>
        <v/>
      </c>
      <c r="AR798" s="81">
        <f>IF(E798=$AR$6,1,"")</f>
        <v/>
      </c>
      <c r="AS798" s="81" t="n"/>
    </row>
    <row r="799" ht="15.75" customHeight="1" s="80">
      <c r="A799" s="157" t="n"/>
      <c r="B799" s="124" t="n"/>
      <c r="C799" s="125" t="n"/>
      <c r="D799" s="126" t="n"/>
      <c r="E799" s="127" t="n"/>
      <c r="F799" s="128" t="n"/>
      <c r="G799" s="129">
        <f>IF(F799="","",ROUND(F799/60,2))</f>
        <v/>
      </c>
      <c r="H799" s="130" t="n"/>
      <c r="I799" s="131" t="n"/>
      <c r="J799" s="131">
        <f>IF(COUNTIF(B799:E799,"*")=0,"",IF(T799=1,"Invalid Service",IF(AND(V799=1,F799=""),"Add Session Mins",IF(AND(E799&gt;0,H799="",T799=""),"Enter Contract Rate",IF(AND(E799="IEP mtg, prep, rept",F799&gt;0),(G799*H799),IF(AND(E799&gt;0,F799&gt;0,H799&gt;0,I799=""),"Enter Travel",IF(AND(F799&gt;0,I799="Y"),(G799*H799)+$M$10,IF(AND(F799&gt;0,I799="N"),(G799*H799),H799))))))))</f>
        <v/>
      </c>
      <c r="K799" s="132">
        <f>J799</f>
        <v/>
      </c>
      <c r="L799" s="148" t="n"/>
      <c r="M799" s="148" t="n"/>
      <c r="N799" s="148" t="n"/>
      <c r="O799" s="87" t="n"/>
      <c r="P799" s="81" t="n"/>
      <c r="Q799" s="81" t="n"/>
      <c r="R799" s="81" t="n"/>
      <c r="S799" s="81" t="n"/>
      <c r="T799" s="136">
        <f>IF(AND(E799&gt;0,U799=0),1,"")</f>
        <v/>
      </c>
      <c r="U799" s="136">
        <f>SUM(X799:AR799)</f>
        <v/>
      </c>
      <c r="V799" s="136">
        <f>IF(E799=$Q$16,0,SUM(X799:AI799))</f>
        <v/>
      </c>
      <c r="W799" s="136">
        <f>SUM(AK799:AR799)</f>
        <v/>
      </c>
      <c r="X799" s="136">
        <f>IF(E799=$X$6,1,"")</f>
        <v/>
      </c>
      <c r="Y799" s="136">
        <f>IF(E799=$Y$6,1,"")</f>
        <v/>
      </c>
      <c r="Z799" s="136">
        <f>IF(E799=$Z$6,1,"")</f>
        <v/>
      </c>
      <c r="AA799" s="136">
        <f>IF(E799=$AA$6,1,"")</f>
        <v/>
      </c>
      <c r="AB799" s="136">
        <f>IF(E799=$AB$6,1,"")</f>
        <v/>
      </c>
      <c r="AC799" s="136">
        <f>IF(E799=$AC$6,1,"")</f>
        <v/>
      </c>
      <c r="AD799" s="136">
        <f>IF(E799=$AD$6,1,"")</f>
        <v/>
      </c>
      <c r="AE799" s="136">
        <f>IF(E799=$AE$6,1,"")</f>
        <v/>
      </c>
      <c r="AF799" s="136">
        <f>IF(E799=$AF$6,1,"")</f>
        <v/>
      </c>
      <c r="AG799" s="136">
        <f>IF(E799=$AG$6,1,"")</f>
        <v/>
      </c>
      <c r="AH799" s="136">
        <f>IF(E799=$AH$6,1,"")</f>
        <v/>
      </c>
      <c r="AI799" s="136">
        <f>IF(E799=$AI$6,1,"")</f>
        <v/>
      </c>
      <c r="AJ799" s="136">
        <f>IF(E799=$AJ$6,1,"")</f>
        <v/>
      </c>
      <c r="AK799" s="81">
        <f>IF(E799=$AK$6,1,"")</f>
        <v/>
      </c>
      <c r="AL799" s="81">
        <f>IF(E799=$AL$6,1,"")</f>
        <v/>
      </c>
      <c r="AM799" s="81">
        <f>IF(E799=$AM$6,1,"")</f>
        <v/>
      </c>
      <c r="AN799" s="81">
        <f>IF(E799=$AN$6,1,"")</f>
        <v/>
      </c>
      <c r="AO799" s="81">
        <f>IF(E799=$AO$6,1,"")</f>
        <v/>
      </c>
      <c r="AP799" s="81">
        <f>IF(E799=$AP$6,1,"")</f>
        <v/>
      </c>
      <c r="AQ799" s="81">
        <f>IF(E799=$AQ$6,1,"")</f>
        <v/>
      </c>
      <c r="AR799" s="81">
        <f>IF(E799=$AR$6,1,"")</f>
        <v/>
      </c>
      <c r="AS799" s="81" t="n"/>
    </row>
    <row r="800" ht="15.75" customHeight="1" s="80">
      <c r="A800" s="157" t="n"/>
      <c r="B800" s="124" t="n"/>
      <c r="C800" s="125" t="n"/>
      <c r="D800" s="126" t="n"/>
      <c r="E800" s="127" t="n"/>
      <c r="F800" s="128" t="n"/>
      <c r="G800" s="129">
        <f>IF(F800="","",ROUND(F800/60,2))</f>
        <v/>
      </c>
      <c r="H800" s="130" t="n"/>
      <c r="I800" s="131" t="n"/>
      <c r="J800" s="131">
        <f>IF(COUNTIF(B800:E800,"*")=0,"",IF(T800=1,"Invalid Service",IF(AND(V800=1,F800=""),"Add Session Mins",IF(AND(E800&gt;0,H800="",T800=""),"Enter Contract Rate",IF(AND(E800="IEP mtg, prep, rept",F800&gt;0),(G800*H800),IF(AND(E800&gt;0,F800&gt;0,H800&gt;0,I800=""),"Enter Travel",IF(AND(F800&gt;0,I800="Y"),(G800*H800)+$M$10,IF(AND(F800&gt;0,I800="N"),(G800*H800),H800))))))))</f>
        <v/>
      </c>
      <c r="K800" s="132">
        <f>J800</f>
        <v/>
      </c>
      <c r="L800" s="148" t="n"/>
      <c r="M800" s="148" t="n"/>
      <c r="N800" s="148" t="n"/>
      <c r="O800" s="87" t="n"/>
      <c r="P800" s="81" t="n"/>
      <c r="Q800" s="81" t="n"/>
      <c r="R800" s="81" t="n"/>
      <c r="S800" s="81" t="n"/>
      <c r="T800" s="136">
        <f>IF(AND(E800&gt;0,U800=0),1,"")</f>
        <v/>
      </c>
      <c r="U800" s="136">
        <f>SUM(X800:AR800)</f>
        <v/>
      </c>
      <c r="V800" s="136">
        <f>IF(E800=$Q$16,0,SUM(X800:AI800))</f>
        <v/>
      </c>
      <c r="W800" s="136">
        <f>SUM(AK800:AR800)</f>
        <v/>
      </c>
      <c r="X800" s="136">
        <f>IF(E800=$X$6,1,"")</f>
        <v/>
      </c>
      <c r="Y800" s="136">
        <f>IF(E800=$Y$6,1,"")</f>
        <v/>
      </c>
      <c r="Z800" s="136">
        <f>IF(E800=$Z$6,1,"")</f>
        <v/>
      </c>
      <c r="AA800" s="136">
        <f>IF(E800=$AA$6,1,"")</f>
        <v/>
      </c>
      <c r="AB800" s="136">
        <f>IF(E800=$AB$6,1,"")</f>
        <v/>
      </c>
      <c r="AC800" s="136">
        <f>IF(E800=$AC$6,1,"")</f>
        <v/>
      </c>
      <c r="AD800" s="136">
        <f>IF(E800=$AD$6,1,"")</f>
        <v/>
      </c>
      <c r="AE800" s="136">
        <f>IF(E800=$AE$6,1,"")</f>
        <v/>
      </c>
      <c r="AF800" s="136">
        <f>IF(E800=$AF$6,1,"")</f>
        <v/>
      </c>
      <c r="AG800" s="136">
        <f>IF(E800=$AG$6,1,"")</f>
        <v/>
      </c>
      <c r="AH800" s="136">
        <f>IF(E800=$AH$6,1,"")</f>
        <v/>
      </c>
      <c r="AI800" s="136">
        <f>IF(E800=$AI$6,1,"")</f>
        <v/>
      </c>
      <c r="AJ800" s="136">
        <f>IF(E800=$AJ$6,1,"")</f>
        <v/>
      </c>
      <c r="AK800" s="81">
        <f>IF(E800=$AK$6,1,"")</f>
        <v/>
      </c>
      <c r="AL800" s="81">
        <f>IF(E800=$AL$6,1,"")</f>
        <v/>
      </c>
      <c r="AM800" s="81">
        <f>IF(E800=$AM$6,1,"")</f>
        <v/>
      </c>
      <c r="AN800" s="81">
        <f>IF(E800=$AN$6,1,"")</f>
        <v/>
      </c>
      <c r="AO800" s="81">
        <f>IF(E800=$AO$6,1,"")</f>
        <v/>
      </c>
      <c r="AP800" s="81">
        <f>IF(E800=$AP$6,1,"")</f>
        <v/>
      </c>
      <c r="AQ800" s="81">
        <f>IF(E800=$AQ$6,1,"")</f>
        <v/>
      </c>
      <c r="AR800" s="81">
        <f>IF(E800=$AR$6,1,"")</f>
        <v/>
      </c>
      <c r="AS800" s="81" t="n"/>
    </row>
    <row r="801" ht="15.75" customHeight="1" s="80">
      <c r="A801" s="157" t="n"/>
      <c r="B801" s="124" t="n"/>
      <c r="C801" s="125" t="n"/>
      <c r="D801" s="126" t="n"/>
      <c r="E801" s="127" t="n"/>
      <c r="F801" s="128" t="n"/>
      <c r="G801" s="129">
        <f>IF(F801="","",ROUND(F801/60,2))</f>
        <v/>
      </c>
      <c r="H801" s="130" t="n"/>
      <c r="I801" s="131" t="n"/>
      <c r="J801" s="131">
        <f>IF(COUNTIF(B801:E801,"*")=0,"",IF(T801=1,"Invalid Service",IF(AND(V801=1,F801=""),"Add Session Mins",IF(AND(E801&gt;0,H801="",T801=""),"Enter Contract Rate",IF(AND(E801="IEP mtg, prep, rept",F801&gt;0),(G801*H801),IF(AND(E801&gt;0,F801&gt;0,H801&gt;0,I801=""),"Enter Travel",IF(AND(F801&gt;0,I801="Y"),(G801*H801)+$M$10,IF(AND(F801&gt;0,I801="N"),(G801*H801),H801))))))))</f>
        <v/>
      </c>
      <c r="K801" s="132">
        <f>J801</f>
        <v/>
      </c>
      <c r="L801" s="148" t="n"/>
      <c r="M801" s="148" t="n"/>
      <c r="N801" s="148" t="n"/>
      <c r="O801" s="87" t="n"/>
      <c r="P801" s="81" t="n"/>
      <c r="Q801" s="81" t="n"/>
      <c r="R801" s="81" t="n"/>
      <c r="S801" s="81" t="n"/>
      <c r="T801" s="136">
        <f>IF(AND(E801&gt;0,U801=0),1,"")</f>
        <v/>
      </c>
      <c r="U801" s="136">
        <f>SUM(X801:AR801)</f>
        <v/>
      </c>
      <c r="V801" s="136">
        <f>IF(E801=$Q$16,0,SUM(X801:AI801))</f>
        <v/>
      </c>
      <c r="W801" s="136">
        <f>SUM(AK801:AR801)</f>
        <v/>
      </c>
      <c r="X801" s="136">
        <f>IF(E801=$X$6,1,"")</f>
        <v/>
      </c>
      <c r="Y801" s="136">
        <f>IF(E801=$Y$6,1,"")</f>
        <v/>
      </c>
      <c r="Z801" s="136">
        <f>IF(E801=$Z$6,1,"")</f>
        <v/>
      </c>
      <c r="AA801" s="136">
        <f>IF(E801=$AA$6,1,"")</f>
        <v/>
      </c>
      <c r="AB801" s="136">
        <f>IF(E801=$AB$6,1,"")</f>
        <v/>
      </c>
      <c r="AC801" s="136">
        <f>IF(E801=$AC$6,1,"")</f>
        <v/>
      </c>
      <c r="AD801" s="136">
        <f>IF(E801=$AD$6,1,"")</f>
        <v/>
      </c>
      <c r="AE801" s="136">
        <f>IF(E801=$AE$6,1,"")</f>
        <v/>
      </c>
      <c r="AF801" s="136">
        <f>IF(E801=$AF$6,1,"")</f>
        <v/>
      </c>
      <c r="AG801" s="136">
        <f>IF(E801=$AG$6,1,"")</f>
        <v/>
      </c>
      <c r="AH801" s="136">
        <f>IF(E801=$AH$6,1,"")</f>
        <v/>
      </c>
      <c r="AI801" s="136">
        <f>IF(E801=$AI$6,1,"")</f>
        <v/>
      </c>
      <c r="AJ801" s="136">
        <f>IF(E801=$AJ$6,1,"")</f>
        <v/>
      </c>
      <c r="AK801" s="81">
        <f>IF(E801=$AK$6,1,"")</f>
        <v/>
      </c>
      <c r="AL801" s="81">
        <f>IF(E801=$AL$6,1,"")</f>
        <v/>
      </c>
      <c r="AM801" s="81">
        <f>IF(E801=$AM$6,1,"")</f>
        <v/>
      </c>
      <c r="AN801" s="81">
        <f>IF(E801=$AN$6,1,"")</f>
        <v/>
      </c>
      <c r="AO801" s="81">
        <f>IF(E801=$AO$6,1,"")</f>
        <v/>
      </c>
      <c r="AP801" s="81">
        <f>IF(E801=$AP$6,1,"")</f>
        <v/>
      </c>
      <c r="AQ801" s="81">
        <f>IF(E801=$AQ$6,1,"")</f>
        <v/>
      </c>
      <c r="AR801" s="81">
        <f>IF(E801=$AR$6,1,"")</f>
        <v/>
      </c>
      <c r="AS801" s="81" t="n"/>
    </row>
    <row r="802" ht="15.75" customHeight="1" s="80">
      <c r="A802" s="157" t="n"/>
      <c r="B802" s="124" t="n"/>
      <c r="C802" s="125" t="n"/>
      <c r="D802" s="126" t="n"/>
      <c r="E802" s="127" t="n"/>
      <c r="F802" s="128" t="n"/>
      <c r="G802" s="129">
        <f>IF(F802="","",ROUND(F802/60,2))</f>
        <v/>
      </c>
      <c r="H802" s="130" t="n"/>
      <c r="I802" s="131" t="n"/>
      <c r="J802" s="131">
        <f>IF(COUNTIF(B802:E802,"*")=0,"",IF(T802=1,"Invalid Service",IF(AND(V802=1,F802=""),"Add Session Mins",IF(AND(E802&gt;0,H802="",T802=""),"Enter Contract Rate",IF(AND(E802="IEP mtg, prep, rept",F802&gt;0),(G802*H802),IF(AND(E802&gt;0,F802&gt;0,H802&gt;0,I802=""),"Enter Travel",IF(AND(F802&gt;0,I802="Y"),(G802*H802)+$M$10,IF(AND(F802&gt;0,I802="N"),(G802*H802),H802))))))))</f>
        <v/>
      </c>
      <c r="K802" s="132">
        <f>J802</f>
        <v/>
      </c>
      <c r="L802" s="148" t="n"/>
      <c r="M802" s="148" t="n"/>
      <c r="N802" s="148" t="n"/>
      <c r="O802" s="87" t="n"/>
      <c r="P802" s="81" t="n"/>
      <c r="Q802" s="81" t="n"/>
      <c r="R802" s="81" t="n"/>
      <c r="S802" s="81" t="n"/>
      <c r="T802" s="136">
        <f>IF(AND(E802&gt;0,U802=0),1,"")</f>
        <v/>
      </c>
      <c r="U802" s="136">
        <f>SUM(X802:AR802)</f>
        <v/>
      </c>
      <c r="V802" s="136">
        <f>IF(E802=$Q$16,0,SUM(X802:AI802))</f>
        <v/>
      </c>
      <c r="W802" s="136">
        <f>SUM(AK802:AR802)</f>
        <v/>
      </c>
      <c r="X802" s="136">
        <f>IF(E802=$X$6,1,"")</f>
        <v/>
      </c>
      <c r="Y802" s="136">
        <f>IF(E802=$Y$6,1,"")</f>
        <v/>
      </c>
      <c r="Z802" s="136">
        <f>IF(E802=$Z$6,1,"")</f>
        <v/>
      </c>
      <c r="AA802" s="136">
        <f>IF(E802=$AA$6,1,"")</f>
        <v/>
      </c>
      <c r="AB802" s="136">
        <f>IF(E802=$AB$6,1,"")</f>
        <v/>
      </c>
      <c r="AC802" s="136">
        <f>IF(E802=$AC$6,1,"")</f>
        <v/>
      </c>
      <c r="AD802" s="136">
        <f>IF(E802=$AD$6,1,"")</f>
        <v/>
      </c>
      <c r="AE802" s="136">
        <f>IF(E802=$AE$6,1,"")</f>
        <v/>
      </c>
      <c r="AF802" s="136">
        <f>IF(E802=$AF$6,1,"")</f>
        <v/>
      </c>
      <c r="AG802" s="136">
        <f>IF(E802=$AG$6,1,"")</f>
        <v/>
      </c>
      <c r="AH802" s="136">
        <f>IF(E802=$AH$6,1,"")</f>
        <v/>
      </c>
      <c r="AI802" s="136">
        <f>IF(E802=$AI$6,1,"")</f>
        <v/>
      </c>
      <c r="AJ802" s="136">
        <f>IF(E802=$AJ$6,1,"")</f>
        <v/>
      </c>
      <c r="AK802" s="81">
        <f>IF(E802=$AK$6,1,"")</f>
        <v/>
      </c>
      <c r="AL802" s="81">
        <f>IF(E802=$AL$6,1,"")</f>
        <v/>
      </c>
      <c r="AM802" s="81">
        <f>IF(E802=$AM$6,1,"")</f>
        <v/>
      </c>
      <c r="AN802" s="81">
        <f>IF(E802=$AN$6,1,"")</f>
        <v/>
      </c>
      <c r="AO802" s="81">
        <f>IF(E802=$AO$6,1,"")</f>
        <v/>
      </c>
      <c r="AP802" s="81">
        <f>IF(E802=$AP$6,1,"")</f>
        <v/>
      </c>
      <c r="AQ802" s="81">
        <f>IF(E802=$AQ$6,1,"")</f>
        <v/>
      </c>
      <c r="AR802" s="81">
        <f>IF(E802=$AR$6,1,"")</f>
        <v/>
      </c>
      <c r="AS802" s="81" t="n"/>
    </row>
    <row r="803" ht="15.75" customHeight="1" s="80">
      <c r="A803" s="157" t="n"/>
      <c r="B803" s="124" t="n"/>
      <c r="C803" s="125" t="n"/>
      <c r="D803" s="126" t="n"/>
      <c r="E803" s="127" t="n"/>
      <c r="F803" s="128" t="n"/>
      <c r="G803" s="129">
        <f>IF(F803="","",ROUND(F803/60,2))</f>
        <v/>
      </c>
      <c r="H803" s="130" t="n"/>
      <c r="I803" s="131" t="n"/>
      <c r="J803" s="131">
        <f>IF(COUNTIF(B803:E803,"*")=0,"",IF(T803=1,"Invalid Service",IF(AND(V803=1,F803=""),"Add Session Mins",IF(AND(E803&gt;0,H803="",T803=""),"Enter Contract Rate",IF(AND(E803="IEP mtg, prep, rept",F803&gt;0),(G803*H803),IF(AND(E803&gt;0,F803&gt;0,H803&gt;0,I803=""),"Enter Travel",IF(AND(F803&gt;0,I803="Y"),(G803*H803)+$M$10,IF(AND(F803&gt;0,I803="N"),(G803*H803),H803))))))))</f>
        <v/>
      </c>
      <c r="K803" s="132">
        <f>J803</f>
        <v/>
      </c>
      <c r="L803" s="148" t="n"/>
      <c r="M803" s="148" t="n"/>
      <c r="N803" s="148" t="n"/>
      <c r="O803" s="87" t="n"/>
      <c r="P803" s="81" t="n"/>
      <c r="Q803" s="81" t="n"/>
      <c r="R803" s="81" t="n"/>
      <c r="S803" s="81" t="n"/>
      <c r="T803" s="136">
        <f>IF(AND(E803&gt;0,U803=0),1,"")</f>
        <v/>
      </c>
      <c r="U803" s="136">
        <f>SUM(X803:AR803)</f>
        <v/>
      </c>
      <c r="V803" s="136">
        <f>IF(E803=$Q$16,0,SUM(X803:AI803))</f>
        <v/>
      </c>
      <c r="W803" s="136">
        <f>SUM(AK803:AR803)</f>
        <v/>
      </c>
      <c r="X803" s="136">
        <f>IF(E803=$X$6,1,"")</f>
        <v/>
      </c>
      <c r="Y803" s="136">
        <f>IF(E803=$Y$6,1,"")</f>
        <v/>
      </c>
      <c r="Z803" s="136">
        <f>IF(E803=$Z$6,1,"")</f>
        <v/>
      </c>
      <c r="AA803" s="136">
        <f>IF(E803=$AA$6,1,"")</f>
        <v/>
      </c>
      <c r="AB803" s="136">
        <f>IF(E803=$AB$6,1,"")</f>
        <v/>
      </c>
      <c r="AC803" s="136">
        <f>IF(E803=$AC$6,1,"")</f>
        <v/>
      </c>
      <c r="AD803" s="136">
        <f>IF(E803=$AD$6,1,"")</f>
        <v/>
      </c>
      <c r="AE803" s="136">
        <f>IF(E803=$AE$6,1,"")</f>
        <v/>
      </c>
      <c r="AF803" s="136">
        <f>IF(E803=$AF$6,1,"")</f>
        <v/>
      </c>
      <c r="AG803" s="136">
        <f>IF(E803=$AG$6,1,"")</f>
        <v/>
      </c>
      <c r="AH803" s="136">
        <f>IF(E803=$AH$6,1,"")</f>
        <v/>
      </c>
      <c r="AI803" s="136">
        <f>IF(E803=$AI$6,1,"")</f>
        <v/>
      </c>
      <c r="AJ803" s="136">
        <f>IF(E803=$AJ$6,1,"")</f>
        <v/>
      </c>
      <c r="AK803" s="81">
        <f>IF(E803=$AK$6,1,"")</f>
        <v/>
      </c>
      <c r="AL803" s="81">
        <f>IF(E803=$AL$6,1,"")</f>
        <v/>
      </c>
      <c r="AM803" s="81">
        <f>IF(E803=$AM$6,1,"")</f>
        <v/>
      </c>
      <c r="AN803" s="81">
        <f>IF(E803=$AN$6,1,"")</f>
        <v/>
      </c>
      <c r="AO803" s="81">
        <f>IF(E803=$AO$6,1,"")</f>
        <v/>
      </c>
      <c r="AP803" s="81">
        <f>IF(E803=$AP$6,1,"")</f>
        <v/>
      </c>
      <c r="AQ803" s="81">
        <f>IF(E803=$AQ$6,1,"")</f>
        <v/>
      </c>
      <c r="AR803" s="81">
        <f>IF(E803=$AR$6,1,"")</f>
        <v/>
      </c>
      <c r="AS803" s="81" t="n"/>
    </row>
    <row r="804" ht="15.75" customHeight="1" s="80">
      <c r="A804" s="157" t="n"/>
      <c r="B804" s="124" t="n"/>
      <c r="C804" s="125" t="n"/>
      <c r="D804" s="126" t="n"/>
      <c r="E804" s="127" t="n"/>
      <c r="F804" s="128" t="n"/>
      <c r="G804" s="129">
        <f>IF(F804="","",ROUND(F804/60,2))</f>
        <v/>
      </c>
      <c r="H804" s="130" t="n"/>
      <c r="I804" s="131" t="n"/>
      <c r="J804" s="131">
        <f>IF(COUNTIF(B804:E804,"*")=0,"",IF(T804=1,"Invalid Service",IF(AND(V804=1,F804=""),"Add Session Mins",IF(AND(E804&gt;0,H804="",T804=""),"Enter Contract Rate",IF(AND(E804="IEP mtg, prep, rept",F804&gt;0),(G804*H804),IF(AND(E804&gt;0,F804&gt;0,H804&gt;0,I804=""),"Enter Travel",IF(AND(F804&gt;0,I804="Y"),(G804*H804)+$M$10,IF(AND(F804&gt;0,I804="N"),(G804*H804),H804))))))))</f>
        <v/>
      </c>
      <c r="K804" s="132">
        <f>J804</f>
        <v/>
      </c>
      <c r="L804" s="148" t="n"/>
      <c r="M804" s="148" t="n"/>
      <c r="N804" s="148" t="n"/>
      <c r="O804" s="87" t="n"/>
      <c r="P804" s="81" t="n"/>
      <c r="Q804" s="81" t="n"/>
      <c r="R804" s="81" t="n"/>
      <c r="S804" s="81" t="n"/>
      <c r="T804" s="136">
        <f>IF(AND(E804&gt;0,U804=0),1,"")</f>
        <v/>
      </c>
      <c r="U804" s="136">
        <f>SUM(X804:AR804)</f>
        <v/>
      </c>
      <c r="V804" s="136">
        <f>IF(E804=$Q$16,0,SUM(X804:AI804))</f>
        <v/>
      </c>
      <c r="W804" s="136">
        <f>SUM(AK804:AR804)</f>
        <v/>
      </c>
      <c r="X804" s="136">
        <f>IF(E804=$X$6,1,"")</f>
        <v/>
      </c>
      <c r="Y804" s="136">
        <f>IF(E804=$Y$6,1,"")</f>
        <v/>
      </c>
      <c r="Z804" s="136">
        <f>IF(E804=$Z$6,1,"")</f>
        <v/>
      </c>
      <c r="AA804" s="136">
        <f>IF(E804=$AA$6,1,"")</f>
        <v/>
      </c>
      <c r="AB804" s="136">
        <f>IF(E804=$AB$6,1,"")</f>
        <v/>
      </c>
      <c r="AC804" s="136">
        <f>IF(E804=$AC$6,1,"")</f>
        <v/>
      </c>
      <c r="AD804" s="136">
        <f>IF(E804=$AD$6,1,"")</f>
        <v/>
      </c>
      <c r="AE804" s="136">
        <f>IF(E804=$AE$6,1,"")</f>
        <v/>
      </c>
      <c r="AF804" s="136">
        <f>IF(E804=$AF$6,1,"")</f>
        <v/>
      </c>
      <c r="AG804" s="136">
        <f>IF(E804=$AG$6,1,"")</f>
        <v/>
      </c>
      <c r="AH804" s="136">
        <f>IF(E804=$AH$6,1,"")</f>
        <v/>
      </c>
      <c r="AI804" s="136">
        <f>IF(E804=$AI$6,1,"")</f>
        <v/>
      </c>
      <c r="AJ804" s="136">
        <f>IF(E804=$AJ$6,1,"")</f>
        <v/>
      </c>
      <c r="AK804" s="81">
        <f>IF(E804=$AK$6,1,"")</f>
        <v/>
      </c>
      <c r="AL804" s="81">
        <f>IF(E804=$AL$6,1,"")</f>
        <v/>
      </c>
      <c r="AM804" s="81">
        <f>IF(E804=$AM$6,1,"")</f>
        <v/>
      </c>
      <c r="AN804" s="81">
        <f>IF(E804=$AN$6,1,"")</f>
        <v/>
      </c>
      <c r="AO804" s="81">
        <f>IF(E804=$AO$6,1,"")</f>
        <v/>
      </c>
      <c r="AP804" s="81">
        <f>IF(E804=$AP$6,1,"")</f>
        <v/>
      </c>
      <c r="AQ804" s="81">
        <f>IF(E804=$AQ$6,1,"")</f>
        <v/>
      </c>
      <c r="AR804" s="81">
        <f>IF(E804=$AR$6,1,"")</f>
        <v/>
      </c>
      <c r="AS804" s="81" t="n"/>
    </row>
    <row r="805" ht="15.75" customHeight="1" s="80">
      <c r="A805" s="157" t="n"/>
      <c r="B805" s="124" t="n"/>
      <c r="C805" s="125" t="n"/>
      <c r="D805" s="126" t="n"/>
      <c r="E805" s="127" t="n"/>
      <c r="F805" s="128" t="n"/>
      <c r="G805" s="129">
        <f>IF(F805="","",ROUND(F805/60,2))</f>
        <v/>
      </c>
      <c r="H805" s="130" t="n"/>
      <c r="I805" s="131" t="n"/>
      <c r="J805" s="131">
        <f>IF(COUNTIF(B805:E805,"*")=0,"",IF(T805=1,"Invalid Service",IF(AND(V805=1,F805=""),"Add Session Mins",IF(AND(E805&gt;0,H805="",T805=""),"Enter Contract Rate",IF(AND(E805="IEP mtg, prep, rept",F805&gt;0),(G805*H805),IF(AND(E805&gt;0,F805&gt;0,H805&gt;0,I805=""),"Enter Travel",IF(AND(F805&gt;0,I805="Y"),(G805*H805)+$M$10,IF(AND(F805&gt;0,I805="N"),(G805*H805),H805))))))))</f>
        <v/>
      </c>
      <c r="K805" s="132">
        <f>J805</f>
        <v/>
      </c>
      <c r="L805" s="148" t="n"/>
      <c r="M805" s="148" t="n"/>
      <c r="N805" s="148" t="n"/>
      <c r="O805" s="87" t="n"/>
      <c r="P805" s="81" t="n"/>
      <c r="Q805" s="81" t="n"/>
      <c r="R805" s="81" t="n"/>
      <c r="S805" s="81" t="n"/>
      <c r="T805" s="136">
        <f>IF(AND(E805&gt;0,U805=0),1,"")</f>
        <v/>
      </c>
      <c r="U805" s="136">
        <f>SUM(X805:AR805)</f>
        <v/>
      </c>
      <c r="V805" s="136">
        <f>IF(E805=$Q$16,0,SUM(X805:AI805))</f>
        <v/>
      </c>
      <c r="W805" s="136">
        <f>SUM(AK805:AR805)</f>
        <v/>
      </c>
      <c r="X805" s="136">
        <f>IF(E805=$X$6,1,"")</f>
        <v/>
      </c>
      <c r="Y805" s="136">
        <f>IF(E805=$Y$6,1,"")</f>
        <v/>
      </c>
      <c r="Z805" s="136">
        <f>IF(E805=$Z$6,1,"")</f>
        <v/>
      </c>
      <c r="AA805" s="136">
        <f>IF(E805=$AA$6,1,"")</f>
        <v/>
      </c>
      <c r="AB805" s="136">
        <f>IF(E805=$AB$6,1,"")</f>
        <v/>
      </c>
      <c r="AC805" s="136">
        <f>IF(E805=$AC$6,1,"")</f>
        <v/>
      </c>
      <c r="AD805" s="136">
        <f>IF(E805=$AD$6,1,"")</f>
        <v/>
      </c>
      <c r="AE805" s="136">
        <f>IF(E805=$AE$6,1,"")</f>
        <v/>
      </c>
      <c r="AF805" s="136">
        <f>IF(E805=$AF$6,1,"")</f>
        <v/>
      </c>
      <c r="AG805" s="136">
        <f>IF(E805=$AG$6,1,"")</f>
        <v/>
      </c>
      <c r="AH805" s="136">
        <f>IF(E805=$AH$6,1,"")</f>
        <v/>
      </c>
      <c r="AI805" s="136">
        <f>IF(E805=$AI$6,1,"")</f>
        <v/>
      </c>
      <c r="AJ805" s="136">
        <f>IF(E805=$AJ$6,1,"")</f>
        <v/>
      </c>
      <c r="AK805" s="81">
        <f>IF(E805=$AK$6,1,"")</f>
        <v/>
      </c>
      <c r="AL805" s="81">
        <f>IF(E805=$AL$6,1,"")</f>
        <v/>
      </c>
      <c r="AM805" s="81">
        <f>IF(E805=$AM$6,1,"")</f>
        <v/>
      </c>
      <c r="AN805" s="81">
        <f>IF(E805=$AN$6,1,"")</f>
        <v/>
      </c>
      <c r="AO805" s="81">
        <f>IF(E805=$AO$6,1,"")</f>
        <v/>
      </c>
      <c r="AP805" s="81">
        <f>IF(E805=$AP$6,1,"")</f>
        <v/>
      </c>
      <c r="AQ805" s="81">
        <f>IF(E805=$AQ$6,1,"")</f>
        <v/>
      </c>
      <c r="AR805" s="81">
        <f>IF(E805=$AR$6,1,"")</f>
        <v/>
      </c>
      <c r="AS805" s="81" t="n"/>
    </row>
    <row r="806" ht="15.75" customHeight="1" s="80">
      <c r="A806" s="157" t="n"/>
      <c r="B806" s="124" t="n"/>
      <c r="C806" s="125" t="n"/>
      <c r="D806" s="126" t="n"/>
      <c r="E806" s="127" t="n"/>
      <c r="F806" s="128" t="n"/>
      <c r="G806" s="129">
        <f>IF(F806="","",ROUND(F806/60,2))</f>
        <v/>
      </c>
      <c r="H806" s="130" t="n"/>
      <c r="I806" s="131" t="n"/>
      <c r="J806" s="131">
        <f>IF(COUNTIF(B806:E806,"*")=0,"",IF(T806=1,"Invalid Service",IF(AND(V806=1,F806=""),"Add Session Mins",IF(AND(E806&gt;0,H806="",T806=""),"Enter Contract Rate",IF(AND(E806="IEP mtg, prep, rept",F806&gt;0),(G806*H806),IF(AND(E806&gt;0,F806&gt;0,H806&gt;0,I806=""),"Enter Travel",IF(AND(F806&gt;0,I806="Y"),(G806*H806)+$M$10,IF(AND(F806&gt;0,I806="N"),(G806*H806),H806))))))))</f>
        <v/>
      </c>
      <c r="K806" s="132">
        <f>J806</f>
        <v/>
      </c>
      <c r="L806" s="148" t="n"/>
      <c r="M806" s="148" t="n"/>
      <c r="N806" s="148" t="n"/>
      <c r="O806" s="87" t="n"/>
      <c r="P806" s="81" t="n"/>
      <c r="Q806" s="81" t="n"/>
      <c r="R806" s="81" t="n"/>
      <c r="S806" s="81" t="n"/>
      <c r="T806" s="136">
        <f>IF(AND(E806&gt;0,U806=0),1,"")</f>
        <v/>
      </c>
      <c r="U806" s="136">
        <f>SUM(X806:AR806)</f>
        <v/>
      </c>
      <c r="V806" s="136">
        <f>IF(E806=$Q$16,0,SUM(X806:AI806))</f>
        <v/>
      </c>
      <c r="W806" s="136">
        <f>SUM(AK806:AR806)</f>
        <v/>
      </c>
      <c r="X806" s="136">
        <f>IF(E806=$X$6,1,"")</f>
        <v/>
      </c>
      <c r="Y806" s="136">
        <f>IF(E806=$Y$6,1,"")</f>
        <v/>
      </c>
      <c r="Z806" s="136">
        <f>IF(E806=$Z$6,1,"")</f>
        <v/>
      </c>
      <c r="AA806" s="136">
        <f>IF(E806=$AA$6,1,"")</f>
        <v/>
      </c>
      <c r="AB806" s="136">
        <f>IF(E806=$AB$6,1,"")</f>
        <v/>
      </c>
      <c r="AC806" s="136">
        <f>IF(E806=$AC$6,1,"")</f>
        <v/>
      </c>
      <c r="AD806" s="136">
        <f>IF(E806=$AD$6,1,"")</f>
        <v/>
      </c>
      <c r="AE806" s="136">
        <f>IF(E806=$AE$6,1,"")</f>
        <v/>
      </c>
      <c r="AF806" s="136">
        <f>IF(E806=$AF$6,1,"")</f>
        <v/>
      </c>
      <c r="AG806" s="136">
        <f>IF(E806=$AG$6,1,"")</f>
        <v/>
      </c>
      <c r="AH806" s="136">
        <f>IF(E806=$AH$6,1,"")</f>
        <v/>
      </c>
      <c r="AI806" s="136">
        <f>IF(E806=$AI$6,1,"")</f>
        <v/>
      </c>
      <c r="AJ806" s="136">
        <f>IF(E806=$AJ$6,1,"")</f>
        <v/>
      </c>
      <c r="AK806" s="81">
        <f>IF(E806=$AK$6,1,"")</f>
        <v/>
      </c>
      <c r="AL806" s="81">
        <f>IF(E806=$AL$6,1,"")</f>
        <v/>
      </c>
      <c r="AM806" s="81">
        <f>IF(E806=$AM$6,1,"")</f>
        <v/>
      </c>
      <c r="AN806" s="81">
        <f>IF(E806=$AN$6,1,"")</f>
        <v/>
      </c>
      <c r="AO806" s="81">
        <f>IF(E806=$AO$6,1,"")</f>
        <v/>
      </c>
      <c r="AP806" s="81">
        <f>IF(E806=$AP$6,1,"")</f>
        <v/>
      </c>
      <c r="AQ806" s="81">
        <f>IF(E806=$AQ$6,1,"")</f>
        <v/>
      </c>
      <c r="AR806" s="81">
        <f>IF(E806=$AR$6,1,"")</f>
        <v/>
      </c>
      <c r="AS806" s="81" t="n"/>
    </row>
    <row r="807" ht="15.75" customHeight="1" s="80">
      <c r="A807" s="157" t="n"/>
      <c r="B807" s="124" t="n"/>
      <c r="C807" s="125" t="n"/>
      <c r="D807" s="126" t="n"/>
      <c r="E807" s="127" t="n"/>
      <c r="F807" s="128" t="n"/>
      <c r="G807" s="129">
        <f>IF(F807="","",ROUND(F807/60,2))</f>
        <v/>
      </c>
      <c r="H807" s="130" t="n"/>
      <c r="I807" s="131" t="n"/>
      <c r="J807" s="131">
        <f>IF(COUNTIF(B807:E807,"*")=0,"",IF(T807=1,"Invalid Service",IF(AND(V807=1,F807=""),"Add Session Mins",IF(AND(E807&gt;0,H807="",T807=""),"Enter Contract Rate",IF(AND(E807="IEP mtg, prep, rept",F807&gt;0),(G807*H807),IF(AND(E807&gt;0,F807&gt;0,H807&gt;0,I807=""),"Enter Travel",IF(AND(F807&gt;0,I807="Y"),(G807*H807)+$M$10,IF(AND(F807&gt;0,I807="N"),(G807*H807),H807))))))))</f>
        <v/>
      </c>
      <c r="K807" s="132">
        <f>J807</f>
        <v/>
      </c>
      <c r="L807" s="148" t="n"/>
      <c r="M807" s="148" t="n"/>
      <c r="N807" s="148" t="n"/>
      <c r="O807" s="87" t="n"/>
      <c r="P807" s="81" t="n"/>
      <c r="Q807" s="81" t="n"/>
      <c r="R807" s="81" t="n"/>
      <c r="S807" s="81" t="n"/>
      <c r="T807" s="136">
        <f>IF(AND(E807&gt;0,U807=0),1,"")</f>
        <v/>
      </c>
      <c r="U807" s="136">
        <f>SUM(X807:AR807)</f>
        <v/>
      </c>
      <c r="V807" s="136">
        <f>IF(E807=$Q$16,0,SUM(X807:AI807))</f>
        <v/>
      </c>
      <c r="W807" s="136">
        <f>SUM(AK807:AR807)</f>
        <v/>
      </c>
      <c r="X807" s="136">
        <f>IF(E807=$X$6,1,"")</f>
        <v/>
      </c>
      <c r="Y807" s="136">
        <f>IF(E807=$Y$6,1,"")</f>
        <v/>
      </c>
      <c r="Z807" s="136">
        <f>IF(E807=$Z$6,1,"")</f>
        <v/>
      </c>
      <c r="AA807" s="136">
        <f>IF(E807=$AA$6,1,"")</f>
        <v/>
      </c>
      <c r="AB807" s="136">
        <f>IF(E807=$AB$6,1,"")</f>
        <v/>
      </c>
      <c r="AC807" s="136">
        <f>IF(E807=$AC$6,1,"")</f>
        <v/>
      </c>
      <c r="AD807" s="136">
        <f>IF(E807=$AD$6,1,"")</f>
        <v/>
      </c>
      <c r="AE807" s="136">
        <f>IF(E807=$AE$6,1,"")</f>
        <v/>
      </c>
      <c r="AF807" s="136">
        <f>IF(E807=$AF$6,1,"")</f>
        <v/>
      </c>
      <c r="AG807" s="136">
        <f>IF(E807=$AG$6,1,"")</f>
        <v/>
      </c>
      <c r="AH807" s="136">
        <f>IF(E807=$AH$6,1,"")</f>
        <v/>
      </c>
      <c r="AI807" s="136">
        <f>IF(E807=$AI$6,1,"")</f>
        <v/>
      </c>
      <c r="AJ807" s="136">
        <f>IF(E807=$AJ$6,1,"")</f>
        <v/>
      </c>
      <c r="AK807" s="81">
        <f>IF(E807=$AK$6,1,"")</f>
        <v/>
      </c>
      <c r="AL807" s="81">
        <f>IF(E807=$AL$6,1,"")</f>
        <v/>
      </c>
      <c r="AM807" s="81">
        <f>IF(E807=$AM$6,1,"")</f>
        <v/>
      </c>
      <c r="AN807" s="81">
        <f>IF(E807=$AN$6,1,"")</f>
        <v/>
      </c>
      <c r="AO807" s="81">
        <f>IF(E807=$AO$6,1,"")</f>
        <v/>
      </c>
      <c r="AP807" s="81">
        <f>IF(E807=$AP$6,1,"")</f>
        <v/>
      </c>
      <c r="AQ807" s="81">
        <f>IF(E807=$AQ$6,1,"")</f>
        <v/>
      </c>
      <c r="AR807" s="81">
        <f>IF(E807=$AR$6,1,"")</f>
        <v/>
      </c>
      <c r="AS807" s="81" t="n"/>
    </row>
    <row r="808" ht="15.75" customHeight="1" s="80">
      <c r="A808" s="157" t="n"/>
      <c r="B808" s="124" t="n"/>
      <c r="C808" s="125" t="n"/>
      <c r="D808" s="126" t="n"/>
      <c r="E808" s="127" t="n"/>
      <c r="F808" s="128" t="n"/>
      <c r="G808" s="129">
        <f>IF(F808="","",ROUND(F808/60,2))</f>
        <v/>
      </c>
      <c r="H808" s="130" t="n"/>
      <c r="I808" s="131" t="n"/>
      <c r="J808" s="131">
        <f>IF(COUNTIF(B808:E808,"*")=0,"",IF(T808=1,"Invalid Service",IF(AND(V808=1,F808=""),"Add Session Mins",IF(AND(E808&gt;0,H808="",T808=""),"Enter Contract Rate",IF(AND(E808="IEP mtg, prep, rept",F808&gt;0),(G808*H808),IF(AND(E808&gt;0,F808&gt;0,H808&gt;0,I808=""),"Enter Travel",IF(AND(F808&gt;0,I808="Y"),(G808*H808)+$M$10,IF(AND(F808&gt;0,I808="N"),(G808*H808),H808))))))))</f>
        <v/>
      </c>
      <c r="K808" s="132">
        <f>J808</f>
        <v/>
      </c>
      <c r="L808" s="148" t="n"/>
      <c r="M808" s="148" t="n"/>
      <c r="N808" s="148" t="n"/>
      <c r="O808" s="87" t="n"/>
      <c r="P808" s="81" t="n"/>
      <c r="Q808" s="81" t="n"/>
      <c r="R808" s="81" t="n"/>
      <c r="S808" s="81" t="n"/>
      <c r="T808" s="136">
        <f>IF(AND(E808&gt;0,U808=0),1,"")</f>
        <v/>
      </c>
      <c r="U808" s="136">
        <f>SUM(X808:AR808)</f>
        <v/>
      </c>
      <c r="V808" s="136">
        <f>IF(E808=$Q$16,0,SUM(X808:AI808))</f>
        <v/>
      </c>
      <c r="W808" s="136">
        <f>SUM(AK808:AR808)</f>
        <v/>
      </c>
      <c r="X808" s="136">
        <f>IF(E808=$X$6,1,"")</f>
        <v/>
      </c>
      <c r="Y808" s="136">
        <f>IF(E808=$Y$6,1,"")</f>
        <v/>
      </c>
      <c r="Z808" s="136">
        <f>IF(E808=$Z$6,1,"")</f>
        <v/>
      </c>
      <c r="AA808" s="136">
        <f>IF(E808=$AA$6,1,"")</f>
        <v/>
      </c>
      <c r="AB808" s="136">
        <f>IF(E808=$AB$6,1,"")</f>
        <v/>
      </c>
      <c r="AC808" s="136">
        <f>IF(E808=$AC$6,1,"")</f>
        <v/>
      </c>
      <c r="AD808" s="136">
        <f>IF(E808=$AD$6,1,"")</f>
        <v/>
      </c>
      <c r="AE808" s="136">
        <f>IF(E808=$AE$6,1,"")</f>
        <v/>
      </c>
      <c r="AF808" s="136">
        <f>IF(E808=$AF$6,1,"")</f>
        <v/>
      </c>
      <c r="AG808" s="136">
        <f>IF(E808=$AG$6,1,"")</f>
        <v/>
      </c>
      <c r="AH808" s="136">
        <f>IF(E808=$AH$6,1,"")</f>
        <v/>
      </c>
      <c r="AI808" s="136">
        <f>IF(E808=$AI$6,1,"")</f>
        <v/>
      </c>
      <c r="AJ808" s="136">
        <f>IF(E808=$AJ$6,1,"")</f>
        <v/>
      </c>
      <c r="AK808" s="81">
        <f>IF(E808=$AK$6,1,"")</f>
        <v/>
      </c>
      <c r="AL808" s="81">
        <f>IF(E808=$AL$6,1,"")</f>
        <v/>
      </c>
      <c r="AM808" s="81">
        <f>IF(E808=$AM$6,1,"")</f>
        <v/>
      </c>
      <c r="AN808" s="81">
        <f>IF(E808=$AN$6,1,"")</f>
        <v/>
      </c>
      <c r="AO808" s="81">
        <f>IF(E808=$AO$6,1,"")</f>
        <v/>
      </c>
      <c r="AP808" s="81">
        <f>IF(E808=$AP$6,1,"")</f>
        <v/>
      </c>
      <c r="AQ808" s="81">
        <f>IF(E808=$AQ$6,1,"")</f>
        <v/>
      </c>
      <c r="AR808" s="81">
        <f>IF(E808=$AR$6,1,"")</f>
        <v/>
      </c>
      <c r="AS808" s="81" t="n"/>
    </row>
    <row r="809" ht="15.75" customHeight="1" s="80">
      <c r="A809" s="157" t="n"/>
      <c r="B809" s="124" t="n"/>
      <c r="C809" s="125" t="n"/>
      <c r="D809" s="126" t="n"/>
      <c r="E809" s="127" t="n"/>
      <c r="F809" s="128" t="n"/>
      <c r="G809" s="129">
        <f>IF(F809="","",ROUND(F809/60,2))</f>
        <v/>
      </c>
      <c r="H809" s="130" t="n"/>
      <c r="I809" s="131" t="n"/>
      <c r="J809" s="131">
        <f>IF(COUNTIF(B809:E809,"*")=0,"",IF(T809=1,"Invalid Service",IF(AND(V809=1,F809=""),"Add Session Mins",IF(AND(E809&gt;0,H809="",T809=""),"Enter Contract Rate",IF(AND(E809="IEP mtg, prep, rept",F809&gt;0),(G809*H809),IF(AND(E809&gt;0,F809&gt;0,H809&gt;0,I809=""),"Enter Travel",IF(AND(F809&gt;0,I809="Y"),(G809*H809)+$M$10,IF(AND(F809&gt;0,I809="N"),(G809*H809),H809))))))))</f>
        <v/>
      </c>
      <c r="K809" s="132">
        <f>J809</f>
        <v/>
      </c>
      <c r="L809" s="148" t="n"/>
      <c r="M809" s="148" t="n"/>
      <c r="N809" s="148" t="n"/>
      <c r="O809" s="87" t="n"/>
      <c r="P809" s="81" t="n"/>
      <c r="Q809" s="81" t="n"/>
      <c r="R809" s="81" t="n"/>
      <c r="S809" s="81" t="n"/>
      <c r="T809" s="136">
        <f>IF(AND(E809&gt;0,U809=0),1,"")</f>
        <v/>
      </c>
      <c r="U809" s="136">
        <f>SUM(X809:AR809)</f>
        <v/>
      </c>
      <c r="V809" s="136">
        <f>IF(E809=$Q$16,0,SUM(X809:AI809))</f>
        <v/>
      </c>
      <c r="W809" s="136">
        <f>SUM(AK809:AR809)</f>
        <v/>
      </c>
      <c r="X809" s="136">
        <f>IF(E809=$X$6,1,"")</f>
        <v/>
      </c>
      <c r="Y809" s="136">
        <f>IF(E809=$Y$6,1,"")</f>
        <v/>
      </c>
      <c r="Z809" s="136">
        <f>IF(E809=$Z$6,1,"")</f>
        <v/>
      </c>
      <c r="AA809" s="136">
        <f>IF(E809=$AA$6,1,"")</f>
        <v/>
      </c>
      <c r="AB809" s="136">
        <f>IF(E809=$AB$6,1,"")</f>
        <v/>
      </c>
      <c r="AC809" s="136">
        <f>IF(E809=$AC$6,1,"")</f>
        <v/>
      </c>
      <c r="AD809" s="136">
        <f>IF(E809=$AD$6,1,"")</f>
        <v/>
      </c>
      <c r="AE809" s="136">
        <f>IF(E809=$AE$6,1,"")</f>
        <v/>
      </c>
      <c r="AF809" s="136">
        <f>IF(E809=$AF$6,1,"")</f>
        <v/>
      </c>
      <c r="AG809" s="136">
        <f>IF(E809=$AG$6,1,"")</f>
        <v/>
      </c>
      <c r="AH809" s="136">
        <f>IF(E809=$AH$6,1,"")</f>
        <v/>
      </c>
      <c r="AI809" s="136">
        <f>IF(E809=$AI$6,1,"")</f>
        <v/>
      </c>
      <c r="AJ809" s="136">
        <f>IF(E809=$AJ$6,1,"")</f>
        <v/>
      </c>
      <c r="AK809" s="81">
        <f>IF(E809=$AK$6,1,"")</f>
        <v/>
      </c>
      <c r="AL809" s="81">
        <f>IF(E809=$AL$6,1,"")</f>
        <v/>
      </c>
      <c r="AM809" s="81">
        <f>IF(E809=$AM$6,1,"")</f>
        <v/>
      </c>
      <c r="AN809" s="81">
        <f>IF(E809=$AN$6,1,"")</f>
        <v/>
      </c>
      <c r="AO809" s="81">
        <f>IF(E809=$AO$6,1,"")</f>
        <v/>
      </c>
      <c r="AP809" s="81">
        <f>IF(E809=$AP$6,1,"")</f>
        <v/>
      </c>
      <c r="AQ809" s="81">
        <f>IF(E809=$AQ$6,1,"")</f>
        <v/>
      </c>
      <c r="AR809" s="81">
        <f>IF(E809=$AR$6,1,"")</f>
        <v/>
      </c>
      <c r="AS809" s="81" t="n"/>
    </row>
    <row r="810" ht="15.75" customHeight="1" s="80">
      <c r="A810" s="157" t="n"/>
      <c r="B810" s="124" t="n"/>
      <c r="C810" s="125" t="n"/>
      <c r="D810" s="126" t="n"/>
      <c r="E810" s="127" t="n"/>
      <c r="F810" s="128" t="n"/>
      <c r="G810" s="129">
        <f>IF(F810="","",ROUND(F810/60,2))</f>
        <v/>
      </c>
      <c r="H810" s="130" t="n"/>
      <c r="I810" s="131" t="n"/>
      <c r="J810" s="131">
        <f>IF(COUNTIF(B810:E810,"*")=0,"",IF(T810=1,"Invalid Service",IF(AND(V810=1,F810=""),"Add Session Mins",IF(AND(E810&gt;0,H810="",T810=""),"Enter Contract Rate",IF(AND(E810="IEP mtg, prep, rept",F810&gt;0),(G810*H810),IF(AND(E810&gt;0,F810&gt;0,H810&gt;0,I810=""),"Enter Travel",IF(AND(F810&gt;0,I810="Y"),(G810*H810)+$M$10,IF(AND(F810&gt;0,I810="N"),(G810*H810),H810))))))))</f>
        <v/>
      </c>
      <c r="K810" s="132">
        <f>J810</f>
        <v/>
      </c>
      <c r="L810" s="148" t="n"/>
      <c r="M810" s="148" t="n"/>
      <c r="N810" s="148" t="n"/>
      <c r="O810" s="87" t="n"/>
      <c r="P810" s="81" t="n"/>
      <c r="Q810" s="81" t="n"/>
      <c r="R810" s="81" t="n"/>
      <c r="S810" s="81" t="n"/>
      <c r="T810" s="136">
        <f>IF(AND(E810&gt;0,U810=0),1,"")</f>
        <v/>
      </c>
      <c r="U810" s="136">
        <f>SUM(X810:AR810)</f>
        <v/>
      </c>
      <c r="V810" s="136">
        <f>IF(E810=$Q$16,0,SUM(X810:AI810))</f>
        <v/>
      </c>
      <c r="W810" s="136">
        <f>SUM(AK810:AR810)</f>
        <v/>
      </c>
      <c r="X810" s="136">
        <f>IF(E810=$X$6,1,"")</f>
        <v/>
      </c>
      <c r="Y810" s="136">
        <f>IF(E810=$Y$6,1,"")</f>
        <v/>
      </c>
      <c r="Z810" s="136">
        <f>IF(E810=$Z$6,1,"")</f>
        <v/>
      </c>
      <c r="AA810" s="136">
        <f>IF(E810=$AA$6,1,"")</f>
        <v/>
      </c>
      <c r="AB810" s="136">
        <f>IF(E810=$AB$6,1,"")</f>
        <v/>
      </c>
      <c r="AC810" s="136">
        <f>IF(E810=$AC$6,1,"")</f>
        <v/>
      </c>
      <c r="AD810" s="136">
        <f>IF(E810=$AD$6,1,"")</f>
        <v/>
      </c>
      <c r="AE810" s="136">
        <f>IF(E810=$AE$6,1,"")</f>
        <v/>
      </c>
      <c r="AF810" s="136">
        <f>IF(E810=$AF$6,1,"")</f>
        <v/>
      </c>
      <c r="AG810" s="136">
        <f>IF(E810=$AG$6,1,"")</f>
        <v/>
      </c>
      <c r="AH810" s="136">
        <f>IF(E810=$AH$6,1,"")</f>
        <v/>
      </c>
      <c r="AI810" s="136">
        <f>IF(E810=$AI$6,1,"")</f>
        <v/>
      </c>
      <c r="AJ810" s="136">
        <f>IF(E810=$AJ$6,1,"")</f>
        <v/>
      </c>
      <c r="AK810" s="81">
        <f>IF(E810=$AK$6,1,"")</f>
        <v/>
      </c>
      <c r="AL810" s="81">
        <f>IF(E810=$AL$6,1,"")</f>
        <v/>
      </c>
      <c r="AM810" s="81">
        <f>IF(E810=$AM$6,1,"")</f>
        <v/>
      </c>
      <c r="AN810" s="81">
        <f>IF(E810=$AN$6,1,"")</f>
        <v/>
      </c>
      <c r="AO810" s="81">
        <f>IF(E810=$AO$6,1,"")</f>
        <v/>
      </c>
      <c r="AP810" s="81">
        <f>IF(E810=$AP$6,1,"")</f>
        <v/>
      </c>
      <c r="AQ810" s="81">
        <f>IF(E810=$AQ$6,1,"")</f>
        <v/>
      </c>
      <c r="AR810" s="81">
        <f>IF(E810=$AR$6,1,"")</f>
        <v/>
      </c>
      <c r="AS810" s="81" t="n"/>
    </row>
    <row r="811" ht="15.75" customHeight="1" s="80">
      <c r="A811" s="157" t="n"/>
      <c r="B811" s="124" t="n"/>
      <c r="C811" s="125" t="n"/>
      <c r="D811" s="126" t="n"/>
      <c r="E811" s="127" t="n"/>
      <c r="F811" s="128" t="n"/>
      <c r="G811" s="129">
        <f>IF(F811="","",ROUND(F811/60,2))</f>
        <v/>
      </c>
      <c r="H811" s="130" t="n"/>
      <c r="I811" s="131" t="n"/>
      <c r="J811" s="131">
        <f>IF(COUNTIF(B811:E811,"*")=0,"",IF(T811=1,"Invalid Service",IF(AND(V811=1,F811=""),"Add Session Mins",IF(AND(E811&gt;0,H811="",T811=""),"Enter Contract Rate",IF(AND(E811="IEP mtg, prep, rept",F811&gt;0),(G811*H811),IF(AND(E811&gt;0,F811&gt;0,H811&gt;0,I811=""),"Enter Travel",IF(AND(F811&gt;0,I811="Y"),(G811*H811)+$M$10,IF(AND(F811&gt;0,I811="N"),(G811*H811),H811))))))))</f>
        <v/>
      </c>
      <c r="K811" s="132">
        <f>J811</f>
        <v/>
      </c>
      <c r="L811" s="148" t="n"/>
      <c r="M811" s="148" t="n"/>
      <c r="N811" s="148" t="n"/>
      <c r="O811" s="87" t="n"/>
      <c r="P811" s="81" t="n"/>
      <c r="Q811" s="81" t="n"/>
      <c r="R811" s="81" t="n"/>
      <c r="S811" s="81" t="n"/>
      <c r="T811" s="136">
        <f>IF(AND(E811&gt;0,U811=0),1,"")</f>
        <v/>
      </c>
      <c r="U811" s="136">
        <f>SUM(X811:AR811)</f>
        <v/>
      </c>
      <c r="V811" s="136">
        <f>IF(E811=$Q$16,0,SUM(X811:AI811))</f>
        <v/>
      </c>
      <c r="W811" s="136">
        <f>SUM(AK811:AR811)</f>
        <v/>
      </c>
      <c r="X811" s="136">
        <f>IF(E811=$X$6,1,"")</f>
        <v/>
      </c>
      <c r="Y811" s="136">
        <f>IF(E811=$Y$6,1,"")</f>
        <v/>
      </c>
      <c r="Z811" s="136">
        <f>IF(E811=$Z$6,1,"")</f>
        <v/>
      </c>
      <c r="AA811" s="136">
        <f>IF(E811=$AA$6,1,"")</f>
        <v/>
      </c>
      <c r="AB811" s="136">
        <f>IF(E811=$AB$6,1,"")</f>
        <v/>
      </c>
      <c r="AC811" s="136">
        <f>IF(E811=$AC$6,1,"")</f>
        <v/>
      </c>
      <c r="AD811" s="136">
        <f>IF(E811=$AD$6,1,"")</f>
        <v/>
      </c>
      <c r="AE811" s="136">
        <f>IF(E811=$AE$6,1,"")</f>
        <v/>
      </c>
      <c r="AF811" s="136">
        <f>IF(E811=$AF$6,1,"")</f>
        <v/>
      </c>
      <c r="AG811" s="136">
        <f>IF(E811=$AG$6,1,"")</f>
        <v/>
      </c>
      <c r="AH811" s="136">
        <f>IF(E811=$AH$6,1,"")</f>
        <v/>
      </c>
      <c r="AI811" s="136">
        <f>IF(E811=$AI$6,1,"")</f>
        <v/>
      </c>
      <c r="AJ811" s="136">
        <f>IF(E811=$AJ$6,1,"")</f>
        <v/>
      </c>
      <c r="AK811" s="81">
        <f>IF(E811=$AK$6,1,"")</f>
        <v/>
      </c>
      <c r="AL811" s="81">
        <f>IF(E811=$AL$6,1,"")</f>
        <v/>
      </c>
      <c r="AM811" s="81">
        <f>IF(E811=$AM$6,1,"")</f>
        <v/>
      </c>
      <c r="AN811" s="81">
        <f>IF(E811=$AN$6,1,"")</f>
        <v/>
      </c>
      <c r="AO811" s="81">
        <f>IF(E811=$AO$6,1,"")</f>
        <v/>
      </c>
      <c r="AP811" s="81">
        <f>IF(E811=$AP$6,1,"")</f>
        <v/>
      </c>
      <c r="AQ811" s="81">
        <f>IF(E811=$AQ$6,1,"")</f>
        <v/>
      </c>
      <c r="AR811" s="81">
        <f>IF(E811=$AR$6,1,"")</f>
        <v/>
      </c>
      <c r="AS811" s="81" t="n"/>
    </row>
    <row r="812" ht="15.75" customHeight="1" s="80">
      <c r="A812" s="157" t="n"/>
      <c r="B812" s="124" t="n"/>
      <c r="C812" s="125" t="n"/>
      <c r="D812" s="126" t="n"/>
      <c r="E812" s="127" t="n"/>
      <c r="F812" s="128" t="n"/>
      <c r="G812" s="129">
        <f>IF(F812="","",ROUND(F812/60,2))</f>
        <v/>
      </c>
      <c r="H812" s="130" t="n"/>
      <c r="I812" s="131" t="n"/>
      <c r="J812" s="131">
        <f>IF(COUNTIF(B812:E812,"*")=0,"",IF(T812=1,"Invalid Service",IF(AND(V812=1,F812=""),"Add Session Mins",IF(AND(E812&gt;0,H812="",T812=""),"Enter Contract Rate",IF(AND(E812="IEP mtg, prep, rept",F812&gt;0),(G812*H812),IF(AND(E812&gt;0,F812&gt;0,H812&gt;0,I812=""),"Enter Travel",IF(AND(F812&gt;0,I812="Y"),(G812*H812)+$M$10,IF(AND(F812&gt;0,I812="N"),(G812*H812),H812))))))))</f>
        <v/>
      </c>
      <c r="K812" s="132">
        <f>J812</f>
        <v/>
      </c>
      <c r="L812" s="148" t="n"/>
      <c r="M812" s="148" t="n"/>
      <c r="N812" s="148" t="n"/>
      <c r="O812" s="87" t="n"/>
      <c r="P812" s="81" t="n"/>
      <c r="Q812" s="81" t="n"/>
      <c r="R812" s="81" t="n"/>
      <c r="S812" s="81" t="n"/>
      <c r="T812" s="136">
        <f>IF(AND(E812&gt;0,U812=0),1,"")</f>
        <v/>
      </c>
      <c r="U812" s="136">
        <f>SUM(X812:AR812)</f>
        <v/>
      </c>
      <c r="V812" s="136">
        <f>IF(E812=$Q$16,0,SUM(X812:AI812))</f>
        <v/>
      </c>
      <c r="W812" s="136">
        <f>SUM(AK812:AR812)</f>
        <v/>
      </c>
      <c r="X812" s="136">
        <f>IF(E812=$X$6,1,"")</f>
        <v/>
      </c>
      <c r="Y812" s="136">
        <f>IF(E812=$Y$6,1,"")</f>
        <v/>
      </c>
      <c r="Z812" s="136">
        <f>IF(E812=$Z$6,1,"")</f>
        <v/>
      </c>
      <c r="AA812" s="136">
        <f>IF(E812=$AA$6,1,"")</f>
        <v/>
      </c>
      <c r="AB812" s="136">
        <f>IF(E812=$AB$6,1,"")</f>
        <v/>
      </c>
      <c r="AC812" s="136">
        <f>IF(E812=$AC$6,1,"")</f>
        <v/>
      </c>
      <c r="AD812" s="136">
        <f>IF(E812=$AD$6,1,"")</f>
        <v/>
      </c>
      <c r="AE812" s="136">
        <f>IF(E812=$AE$6,1,"")</f>
        <v/>
      </c>
      <c r="AF812" s="136">
        <f>IF(E812=$AF$6,1,"")</f>
        <v/>
      </c>
      <c r="AG812" s="136">
        <f>IF(E812=$AG$6,1,"")</f>
        <v/>
      </c>
      <c r="AH812" s="136">
        <f>IF(E812=$AH$6,1,"")</f>
        <v/>
      </c>
      <c r="AI812" s="136">
        <f>IF(E812=$AI$6,1,"")</f>
        <v/>
      </c>
      <c r="AJ812" s="136">
        <f>IF(E812=$AJ$6,1,"")</f>
        <v/>
      </c>
      <c r="AK812" s="81">
        <f>IF(E812=$AK$6,1,"")</f>
        <v/>
      </c>
      <c r="AL812" s="81">
        <f>IF(E812=$AL$6,1,"")</f>
        <v/>
      </c>
      <c r="AM812" s="81">
        <f>IF(E812=$AM$6,1,"")</f>
        <v/>
      </c>
      <c r="AN812" s="81">
        <f>IF(E812=$AN$6,1,"")</f>
        <v/>
      </c>
      <c r="AO812" s="81">
        <f>IF(E812=$AO$6,1,"")</f>
        <v/>
      </c>
      <c r="AP812" s="81">
        <f>IF(E812=$AP$6,1,"")</f>
        <v/>
      </c>
      <c r="AQ812" s="81">
        <f>IF(E812=$AQ$6,1,"")</f>
        <v/>
      </c>
      <c r="AR812" s="81">
        <f>IF(E812=$AR$6,1,"")</f>
        <v/>
      </c>
      <c r="AS812" s="81" t="n"/>
    </row>
    <row r="813" ht="15.75" customHeight="1" s="80">
      <c r="A813" s="157" t="n"/>
      <c r="B813" s="124" t="n"/>
      <c r="C813" s="125" t="n"/>
      <c r="D813" s="126" t="n"/>
      <c r="E813" s="127" t="n"/>
      <c r="F813" s="128" t="n"/>
      <c r="G813" s="129">
        <f>IF(F813="","",ROUND(F813/60,2))</f>
        <v/>
      </c>
      <c r="H813" s="130" t="n"/>
      <c r="I813" s="131" t="n"/>
      <c r="J813" s="131">
        <f>IF(COUNTIF(B813:E813,"*")=0,"",IF(T813=1,"Invalid Service",IF(AND(V813=1,F813=""),"Add Session Mins",IF(AND(E813&gt;0,H813="",T813=""),"Enter Contract Rate",IF(AND(E813="IEP mtg, prep, rept",F813&gt;0),(G813*H813),IF(AND(E813&gt;0,F813&gt;0,H813&gt;0,I813=""),"Enter Travel",IF(AND(F813&gt;0,I813="Y"),(G813*H813)+$M$10,IF(AND(F813&gt;0,I813="N"),(G813*H813),H813))))))))</f>
        <v/>
      </c>
      <c r="K813" s="132">
        <f>J813</f>
        <v/>
      </c>
      <c r="L813" s="148" t="n"/>
      <c r="M813" s="148" t="n"/>
      <c r="N813" s="148" t="n"/>
      <c r="O813" s="87" t="n"/>
      <c r="P813" s="81" t="n"/>
      <c r="Q813" s="81" t="n"/>
      <c r="R813" s="81" t="n"/>
      <c r="S813" s="81" t="n"/>
      <c r="T813" s="136">
        <f>IF(AND(E813&gt;0,U813=0),1,"")</f>
        <v/>
      </c>
      <c r="U813" s="136">
        <f>SUM(X813:AR813)</f>
        <v/>
      </c>
      <c r="V813" s="136">
        <f>IF(E813=$Q$16,0,SUM(X813:AI813))</f>
        <v/>
      </c>
      <c r="W813" s="136">
        <f>SUM(AK813:AR813)</f>
        <v/>
      </c>
      <c r="X813" s="136">
        <f>IF(E813=$X$6,1,"")</f>
        <v/>
      </c>
      <c r="Y813" s="136">
        <f>IF(E813=$Y$6,1,"")</f>
        <v/>
      </c>
      <c r="Z813" s="136">
        <f>IF(E813=$Z$6,1,"")</f>
        <v/>
      </c>
      <c r="AA813" s="136">
        <f>IF(E813=$AA$6,1,"")</f>
        <v/>
      </c>
      <c r="AB813" s="136">
        <f>IF(E813=$AB$6,1,"")</f>
        <v/>
      </c>
      <c r="AC813" s="136">
        <f>IF(E813=$AC$6,1,"")</f>
        <v/>
      </c>
      <c r="AD813" s="136">
        <f>IF(E813=$AD$6,1,"")</f>
        <v/>
      </c>
      <c r="AE813" s="136">
        <f>IF(E813=$AE$6,1,"")</f>
        <v/>
      </c>
      <c r="AF813" s="136">
        <f>IF(E813=$AF$6,1,"")</f>
        <v/>
      </c>
      <c r="AG813" s="136">
        <f>IF(E813=$AG$6,1,"")</f>
        <v/>
      </c>
      <c r="AH813" s="136">
        <f>IF(E813=$AH$6,1,"")</f>
        <v/>
      </c>
      <c r="AI813" s="136">
        <f>IF(E813=$AI$6,1,"")</f>
        <v/>
      </c>
      <c r="AJ813" s="136">
        <f>IF(E813=$AJ$6,1,"")</f>
        <v/>
      </c>
      <c r="AK813" s="81">
        <f>IF(E813=$AK$6,1,"")</f>
        <v/>
      </c>
      <c r="AL813" s="81">
        <f>IF(E813=$AL$6,1,"")</f>
        <v/>
      </c>
      <c r="AM813" s="81">
        <f>IF(E813=$AM$6,1,"")</f>
        <v/>
      </c>
      <c r="AN813" s="81">
        <f>IF(E813=$AN$6,1,"")</f>
        <v/>
      </c>
      <c r="AO813" s="81">
        <f>IF(E813=$AO$6,1,"")</f>
        <v/>
      </c>
      <c r="AP813" s="81">
        <f>IF(E813=$AP$6,1,"")</f>
        <v/>
      </c>
      <c r="AQ813" s="81">
        <f>IF(E813=$AQ$6,1,"")</f>
        <v/>
      </c>
      <c r="AR813" s="81">
        <f>IF(E813=$AR$6,1,"")</f>
        <v/>
      </c>
      <c r="AS813" s="81" t="n"/>
    </row>
    <row r="814" ht="15.75" customHeight="1" s="80">
      <c r="A814" s="157" t="n"/>
      <c r="B814" s="124" t="n"/>
      <c r="C814" s="125" t="n"/>
      <c r="D814" s="126" t="n"/>
      <c r="E814" s="127" t="n"/>
      <c r="F814" s="128" t="n"/>
      <c r="G814" s="129">
        <f>IF(F814="","",ROUND(F814/60,2))</f>
        <v/>
      </c>
      <c r="H814" s="130" t="n"/>
      <c r="I814" s="131" t="n"/>
      <c r="J814" s="131">
        <f>IF(COUNTIF(B814:E814,"*")=0,"",IF(T814=1,"Invalid Service",IF(AND(V814=1,F814=""),"Add Session Mins",IF(AND(E814&gt;0,H814="",T814=""),"Enter Contract Rate",IF(AND(E814="IEP mtg, prep, rept",F814&gt;0),(G814*H814),IF(AND(E814&gt;0,F814&gt;0,H814&gt;0,I814=""),"Enter Travel",IF(AND(F814&gt;0,I814="Y"),(G814*H814)+$M$10,IF(AND(F814&gt;0,I814="N"),(G814*H814),H814))))))))</f>
        <v/>
      </c>
      <c r="K814" s="132">
        <f>J814</f>
        <v/>
      </c>
      <c r="L814" s="148" t="n"/>
      <c r="M814" s="148" t="n"/>
      <c r="N814" s="148" t="n"/>
      <c r="O814" s="87" t="n"/>
      <c r="P814" s="81" t="n"/>
      <c r="Q814" s="81" t="n"/>
      <c r="R814" s="81" t="n"/>
      <c r="S814" s="81" t="n"/>
      <c r="T814" s="136">
        <f>IF(AND(E814&gt;0,U814=0),1,"")</f>
        <v/>
      </c>
      <c r="U814" s="136">
        <f>SUM(X814:AR814)</f>
        <v/>
      </c>
      <c r="V814" s="136">
        <f>IF(E814=$Q$16,0,SUM(X814:AI814))</f>
        <v/>
      </c>
      <c r="W814" s="136">
        <f>SUM(AK814:AR814)</f>
        <v/>
      </c>
      <c r="X814" s="136">
        <f>IF(E814=$X$6,1,"")</f>
        <v/>
      </c>
      <c r="Y814" s="136">
        <f>IF(E814=$Y$6,1,"")</f>
        <v/>
      </c>
      <c r="Z814" s="136">
        <f>IF(E814=$Z$6,1,"")</f>
        <v/>
      </c>
      <c r="AA814" s="136">
        <f>IF(E814=$AA$6,1,"")</f>
        <v/>
      </c>
      <c r="AB814" s="136">
        <f>IF(E814=$AB$6,1,"")</f>
        <v/>
      </c>
      <c r="AC814" s="136">
        <f>IF(E814=$AC$6,1,"")</f>
        <v/>
      </c>
      <c r="AD814" s="136">
        <f>IF(E814=$AD$6,1,"")</f>
        <v/>
      </c>
      <c r="AE814" s="136">
        <f>IF(E814=$AE$6,1,"")</f>
        <v/>
      </c>
      <c r="AF814" s="136">
        <f>IF(E814=$AF$6,1,"")</f>
        <v/>
      </c>
      <c r="AG814" s="136">
        <f>IF(E814=$AG$6,1,"")</f>
        <v/>
      </c>
      <c r="AH814" s="136">
        <f>IF(E814=$AH$6,1,"")</f>
        <v/>
      </c>
      <c r="AI814" s="136">
        <f>IF(E814=$AI$6,1,"")</f>
        <v/>
      </c>
      <c r="AJ814" s="136">
        <f>IF(E814=$AJ$6,1,"")</f>
        <v/>
      </c>
      <c r="AK814" s="81">
        <f>IF(E814=$AK$6,1,"")</f>
        <v/>
      </c>
      <c r="AL814" s="81">
        <f>IF(E814=$AL$6,1,"")</f>
        <v/>
      </c>
      <c r="AM814" s="81">
        <f>IF(E814=$AM$6,1,"")</f>
        <v/>
      </c>
      <c r="AN814" s="81">
        <f>IF(E814=$AN$6,1,"")</f>
        <v/>
      </c>
      <c r="AO814" s="81">
        <f>IF(E814=$AO$6,1,"")</f>
        <v/>
      </c>
      <c r="AP814" s="81">
        <f>IF(E814=$AP$6,1,"")</f>
        <v/>
      </c>
      <c r="AQ814" s="81">
        <f>IF(E814=$AQ$6,1,"")</f>
        <v/>
      </c>
      <c r="AR814" s="81">
        <f>IF(E814=$AR$6,1,"")</f>
        <v/>
      </c>
      <c r="AS814" s="81" t="n"/>
    </row>
    <row r="815" ht="15.75" customHeight="1" s="80">
      <c r="A815" s="157" t="n"/>
      <c r="B815" s="124" t="n"/>
      <c r="C815" s="125" t="n"/>
      <c r="D815" s="126" t="n"/>
      <c r="E815" s="127" t="n"/>
      <c r="F815" s="128" t="n"/>
      <c r="G815" s="129">
        <f>IF(F815="","",ROUND(F815/60,2))</f>
        <v/>
      </c>
      <c r="H815" s="130" t="n"/>
      <c r="I815" s="131" t="n"/>
      <c r="J815" s="131">
        <f>IF(COUNTIF(B815:E815,"*")=0,"",IF(T815=1,"Invalid Service",IF(AND(V815=1,F815=""),"Add Session Mins",IF(AND(E815&gt;0,H815="",T815=""),"Enter Contract Rate",IF(AND(E815="IEP mtg, prep, rept",F815&gt;0),(G815*H815),IF(AND(E815&gt;0,F815&gt;0,H815&gt;0,I815=""),"Enter Travel",IF(AND(F815&gt;0,I815="Y"),(G815*H815)+$M$10,IF(AND(F815&gt;0,I815="N"),(G815*H815),H815))))))))</f>
        <v/>
      </c>
      <c r="K815" s="132">
        <f>J815</f>
        <v/>
      </c>
      <c r="L815" s="148" t="n"/>
      <c r="M815" s="148" t="n"/>
      <c r="N815" s="148" t="n"/>
      <c r="O815" s="87" t="n"/>
      <c r="P815" s="81" t="n"/>
      <c r="Q815" s="81" t="n"/>
      <c r="R815" s="81" t="n"/>
      <c r="S815" s="81" t="n"/>
      <c r="T815" s="136">
        <f>IF(AND(E815&gt;0,U815=0),1,"")</f>
        <v/>
      </c>
      <c r="U815" s="136">
        <f>SUM(X815:AR815)</f>
        <v/>
      </c>
      <c r="V815" s="136">
        <f>IF(E815=$Q$16,0,SUM(X815:AI815))</f>
        <v/>
      </c>
      <c r="W815" s="136">
        <f>SUM(AK815:AR815)</f>
        <v/>
      </c>
      <c r="X815" s="136">
        <f>IF(E815=$X$6,1,"")</f>
        <v/>
      </c>
      <c r="Y815" s="136">
        <f>IF(E815=$Y$6,1,"")</f>
        <v/>
      </c>
      <c r="Z815" s="136">
        <f>IF(E815=$Z$6,1,"")</f>
        <v/>
      </c>
      <c r="AA815" s="136">
        <f>IF(E815=$AA$6,1,"")</f>
        <v/>
      </c>
      <c r="AB815" s="136">
        <f>IF(E815=$AB$6,1,"")</f>
        <v/>
      </c>
      <c r="AC815" s="136">
        <f>IF(E815=$AC$6,1,"")</f>
        <v/>
      </c>
      <c r="AD815" s="136">
        <f>IF(E815=$AD$6,1,"")</f>
        <v/>
      </c>
      <c r="AE815" s="136">
        <f>IF(E815=$AE$6,1,"")</f>
        <v/>
      </c>
      <c r="AF815" s="136">
        <f>IF(E815=$AF$6,1,"")</f>
        <v/>
      </c>
      <c r="AG815" s="136">
        <f>IF(E815=$AG$6,1,"")</f>
        <v/>
      </c>
      <c r="AH815" s="136">
        <f>IF(E815=$AH$6,1,"")</f>
        <v/>
      </c>
      <c r="AI815" s="136">
        <f>IF(E815=$AI$6,1,"")</f>
        <v/>
      </c>
      <c r="AJ815" s="136">
        <f>IF(E815=$AJ$6,1,"")</f>
        <v/>
      </c>
      <c r="AK815" s="81">
        <f>IF(E815=$AK$6,1,"")</f>
        <v/>
      </c>
      <c r="AL815" s="81">
        <f>IF(E815=$AL$6,1,"")</f>
        <v/>
      </c>
      <c r="AM815" s="81">
        <f>IF(E815=$AM$6,1,"")</f>
        <v/>
      </c>
      <c r="AN815" s="81">
        <f>IF(E815=$AN$6,1,"")</f>
        <v/>
      </c>
      <c r="AO815" s="81">
        <f>IF(E815=$AO$6,1,"")</f>
        <v/>
      </c>
      <c r="AP815" s="81">
        <f>IF(E815=$AP$6,1,"")</f>
        <v/>
      </c>
      <c r="AQ815" s="81">
        <f>IF(E815=$AQ$6,1,"")</f>
        <v/>
      </c>
      <c r="AR815" s="81">
        <f>IF(E815=$AR$6,1,"")</f>
        <v/>
      </c>
      <c r="AS815" s="81" t="n"/>
    </row>
    <row r="816" ht="15.75" customHeight="1" s="80">
      <c r="A816" s="157" t="n"/>
      <c r="B816" s="124" t="n"/>
      <c r="C816" s="125" t="n"/>
      <c r="D816" s="126" t="n"/>
      <c r="E816" s="127" t="n"/>
      <c r="F816" s="128" t="n"/>
      <c r="G816" s="129">
        <f>IF(F816="","",ROUND(F816/60,2))</f>
        <v/>
      </c>
      <c r="H816" s="130" t="n"/>
      <c r="I816" s="131" t="n"/>
      <c r="J816" s="131">
        <f>IF(COUNTIF(B816:E816,"*")=0,"",IF(T816=1,"Invalid Service",IF(AND(V816=1,F816=""),"Add Session Mins",IF(AND(E816&gt;0,H816="",T816=""),"Enter Contract Rate",IF(AND(E816="IEP mtg, prep, rept",F816&gt;0),(G816*H816),IF(AND(E816&gt;0,F816&gt;0,H816&gt;0,I816=""),"Enter Travel",IF(AND(F816&gt;0,I816="Y"),(G816*H816)+$M$10,IF(AND(F816&gt;0,I816="N"),(G816*H816),H816))))))))</f>
        <v/>
      </c>
      <c r="K816" s="132">
        <f>J816</f>
        <v/>
      </c>
      <c r="L816" s="148" t="n"/>
      <c r="M816" s="148" t="n"/>
      <c r="N816" s="148" t="n"/>
      <c r="O816" s="87" t="n"/>
      <c r="P816" s="81" t="n"/>
      <c r="Q816" s="81" t="n"/>
      <c r="R816" s="81" t="n"/>
      <c r="S816" s="81" t="n"/>
      <c r="T816" s="136">
        <f>IF(AND(E816&gt;0,U816=0),1,"")</f>
        <v/>
      </c>
      <c r="U816" s="136">
        <f>SUM(X816:AR816)</f>
        <v/>
      </c>
      <c r="V816" s="136">
        <f>IF(E816=$Q$16,0,SUM(X816:AI816))</f>
        <v/>
      </c>
      <c r="W816" s="136">
        <f>SUM(AK816:AR816)</f>
        <v/>
      </c>
      <c r="X816" s="136">
        <f>IF(E816=$X$6,1,"")</f>
        <v/>
      </c>
      <c r="Y816" s="136">
        <f>IF(E816=$Y$6,1,"")</f>
        <v/>
      </c>
      <c r="Z816" s="136">
        <f>IF(E816=$Z$6,1,"")</f>
        <v/>
      </c>
      <c r="AA816" s="136">
        <f>IF(E816=$AA$6,1,"")</f>
        <v/>
      </c>
      <c r="AB816" s="136">
        <f>IF(E816=$AB$6,1,"")</f>
        <v/>
      </c>
      <c r="AC816" s="136">
        <f>IF(E816=$AC$6,1,"")</f>
        <v/>
      </c>
      <c r="AD816" s="136">
        <f>IF(E816=$AD$6,1,"")</f>
        <v/>
      </c>
      <c r="AE816" s="136">
        <f>IF(E816=$AE$6,1,"")</f>
        <v/>
      </c>
      <c r="AF816" s="136">
        <f>IF(E816=$AF$6,1,"")</f>
        <v/>
      </c>
      <c r="AG816" s="136">
        <f>IF(E816=$AG$6,1,"")</f>
        <v/>
      </c>
      <c r="AH816" s="136">
        <f>IF(E816=$AH$6,1,"")</f>
        <v/>
      </c>
      <c r="AI816" s="136">
        <f>IF(E816=$AI$6,1,"")</f>
        <v/>
      </c>
      <c r="AJ816" s="136">
        <f>IF(E816=$AJ$6,1,"")</f>
        <v/>
      </c>
      <c r="AK816" s="81">
        <f>IF(E816=$AK$6,1,"")</f>
        <v/>
      </c>
      <c r="AL816" s="81">
        <f>IF(E816=$AL$6,1,"")</f>
        <v/>
      </c>
      <c r="AM816" s="81">
        <f>IF(E816=$AM$6,1,"")</f>
        <v/>
      </c>
      <c r="AN816" s="81">
        <f>IF(E816=$AN$6,1,"")</f>
        <v/>
      </c>
      <c r="AO816" s="81">
        <f>IF(E816=$AO$6,1,"")</f>
        <v/>
      </c>
      <c r="AP816" s="81">
        <f>IF(E816=$AP$6,1,"")</f>
        <v/>
      </c>
      <c r="AQ816" s="81">
        <f>IF(E816=$AQ$6,1,"")</f>
        <v/>
      </c>
      <c r="AR816" s="81">
        <f>IF(E816=$AR$6,1,"")</f>
        <v/>
      </c>
      <c r="AS816" s="81" t="n"/>
    </row>
    <row r="817" ht="15.75" customHeight="1" s="80">
      <c r="A817" s="157" t="n"/>
      <c r="B817" s="124" t="n"/>
      <c r="C817" s="125" t="n"/>
      <c r="D817" s="126" t="n"/>
      <c r="E817" s="127" t="n"/>
      <c r="F817" s="128" t="n"/>
      <c r="G817" s="129">
        <f>IF(F817="","",ROUND(F817/60,2))</f>
        <v/>
      </c>
      <c r="H817" s="130" t="n"/>
      <c r="I817" s="131" t="n"/>
      <c r="J817" s="131">
        <f>IF(COUNTIF(B817:E817,"*")=0,"",IF(T817=1,"Invalid Service",IF(AND(V817=1,F817=""),"Add Session Mins",IF(AND(E817&gt;0,H817="",T817=""),"Enter Contract Rate",IF(AND(E817="IEP mtg, prep, rept",F817&gt;0),(G817*H817),IF(AND(E817&gt;0,F817&gt;0,H817&gt;0,I817=""),"Enter Travel",IF(AND(F817&gt;0,I817="Y"),(G817*H817)+$M$10,IF(AND(F817&gt;0,I817="N"),(G817*H817),H817))))))))</f>
        <v/>
      </c>
      <c r="K817" s="132">
        <f>J817</f>
        <v/>
      </c>
      <c r="L817" s="148" t="n"/>
      <c r="M817" s="148" t="n"/>
      <c r="N817" s="148" t="n"/>
      <c r="O817" s="87" t="n"/>
      <c r="P817" s="81" t="n"/>
      <c r="Q817" s="81" t="n"/>
      <c r="R817" s="81" t="n"/>
      <c r="S817" s="81" t="n"/>
      <c r="T817" s="136">
        <f>IF(AND(E817&gt;0,U817=0),1,"")</f>
        <v/>
      </c>
      <c r="U817" s="136">
        <f>SUM(X817:AR817)</f>
        <v/>
      </c>
      <c r="V817" s="136">
        <f>IF(E817=$Q$16,0,SUM(X817:AI817))</f>
        <v/>
      </c>
      <c r="W817" s="136">
        <f>SUM(AK817:AR817)</f>
        <v/>
      </c>
      <c r="X817" s="136">
        <f>IF(E817=$X$6,1,"")</f>
        <v/>
      </c>
      <c r="Y817" s="136">
        <f>IF(E817=$Y$6,1,"")</f>
        <v/>
      </c>
      <c r="Z817" s="136">
        <f>IF(E817=$Z$6,1,"")</f>
        <v/>
      </c>
      <c r="AA817" s="136">
        <f>IF(E817=$AA$6,1,"")</f>
        <v/>
      </c>
      <c r="AB817" s="136">
        <f>IF(E817=$AB$6,1,"")</f>
        <v/>
      </c>
      <c r="AC817" s="136">
        <f>IF(E817=$AC$6,1,"")</f>
        <v/>
      </c>
      <c r="AD817" s="136">
        <f>IF(E817=$AD$6,1,"")</f>
        <v/>
      </c>
      <c r="AE817" s="136">
        <f>IF(E817=$AE$6,1,"")</f>
        <v/>
      </c>
      <c r="AF817" s="136">
        <f>IF(E817=$AF$6,1,"")</f>
        <v/>
      </c>
      <c r="AG817" s="136">
        <f>IF(E817=$AG$6,1,"")</f>
        <v/>
      </c>
      <c r="AH817" s="136">
        <f>IF(E817=$AH$6,1,"")</f>
        <v/>
      </c>
      <c r="AI817" s="136">
        <f>IF(E817=$AI$6,1,"")</f>
        <v/>
      </c>
      <c r="AJ817" s="136">
        <f>IF(E817=$AJ$6,1,"")</f>
        <v/>
      </c>
      <c r="AK817" s="81">
        <f>IF(E817=$AK$6,1,"")</f>
        <v/>
      </c>
      <c r="AL817" s="81">
        <f>IF(E817=$AL$6,1,"")</f>
        <v/>
      </c>
      <c r="AM817" s="81">
        <f>IF(E817=$AM$6,1,"")</f>
        <v/>
      </c>
      <c r="AN817" s="81">
        <f>IF(E817=$AN$6,1,"")</f>
        <v/>
      </c>
      <c r="AO817" s="81">
        <f>IF(E817=$AO$6,1,"")</f>
        <v/>
      </c>
      <c r="AP817" s="81">
        <f>IF(E817=$AP$6,1,"")</f>
        <v/>
      </c>
      <c r="AQ817" s="81">
        <f>IF(E817=$AQ$6,1,"")</f>
        <v/>
      </c>
      <c r="AR817" s="81">
        <f>IF(E817=$AR$6,1,"")</f>
        <v/>
      </c>
      <c r="AS817" s="81" t="n"/>
    </row>
    <row r="818" ht="15.75" customHeight="1" s="80">
      <c r="A818" s="157" t="n"/>
      <c r="B818" s="124" t="n"/>
      <c r="C818" s="125" t="n"/>
      <c r="D818" s="126" t="n"/>
      <c r="E818" s="127" t="n"/>
      <c r="F818" s="128" t="n"/>
      <c r="G818" s="129">
        <f>IF(F818="","",ROUND(F818/60,2))</f>
        <v/>
      </c>
      <c r="H818" s="130" t="n"/>
      <c r="I818" s="131" t="n"/>
      <c r="J818" s="131">
        <f>IF(COUNTIF(B818:E818,"*")=0,"",IF(T818=1,"Invalid Service",IF(AND(V818=1,F818=""),"Add Session Mins",IF(AND(E818&gt;0,H818="",T818=""),"Enter Contract Rate",IF(AND(E818="IEP mtg, prep, rept",F818&gt;0),(G818*H818),IF(AND(E818&gt;0,F818&gt;0,H818&gt;0,I818=""),"Enter Travel",IF(AND(F818&gt;0,I818="Y"),(G818*H818)+$M$10,IF(AND(F818&gt;0,I818="N"),(G818*H818),H818))))))))</f>
        <v/>
      </c>
      <c r="K818" s="132">
        <f>J818</f>
        <v/>
      </c>
      <c r="L818" s="148" t="n"/>
      <c r="M818" s="148" t="n"/>
      <c r="N818" s="148" t="n"/>
      <c r="O818" s="87" t="n"/>
      <c r="P818" s="81" t="n"/>
      <c r="Q818" s="81" t="n"/>
      <c r="R818" s="81" t="n"/>
      <c r="S818" s="81" t="n"/>
      <c r="T818" s="136">
        <f>IF(AND(E818&gt;0,U818=0),1,"")</f>
        <v/>
      </c>
      <c r="U818" s="136">
        <f>SUM(X818:AR818)</f>
        <v/>
      </c>
      <c r="V818" s="136">
        <f>IF(E818=$Q$16,0,SUM(X818:AI818))</f>
        <v/>
      </c>
      <c r="W818" s="136">
        <f>SUM(AK818:AR818)</f>
        <v/>
      </c>
      <c r="X818" s="136">
        <f>IF(E818=$X$6,1,"")</f>
        <v/>
      </c>
      <c r="Y818" s="136">
        <f>IF(E818=$Y$6,1,"")</f>
        <v/>
      </c>
      <c r="Z818" s="136">
        <f>IF(E818=$Z$6,1,"")</f>
        <v/>
      </c>
      <c r="AA818" s="136">
        <f>IF(E818=$AA$6,1,"")</f>
        <v/>
      </c>
      <c r="AB818" s="136">
        <f>IF(E818=$AB$6,1,"")</f>
        <v/>
      </c>
      <c r="AC818" s="136">
        <f>IF(E818=$AC$6,1,"")</f>
        <v/>
      </c>
      <c r="AD818" s="136">
        <f>IF(E818=$AD$6,1,"")</f>
        <v/>
      </c>
      <c r="AE818" s="136">
        <f>IF(E818=$AE$6,1,"")</f>
        <v/>
      </c>
      <c r="AF818" s="136">
        <f>IF(E818=$AF$6,1,"")</f>
        <v/>
      </c>
      <c r="AG818" s="136">
        <f>IF(E818=$AG$6,1,"")</f>
        <v/>
      </c>
      <c r="AH818" s="136">
        <f>IF(E818=$AH$6,1,"")</f>
        <v/>
      </c>
      <c r="AI818" s="136">
        <f>IF(E818=$AI$6,1,"")</f>
        <v/>
      </c>
      <c r="AJ818" s="136">
        <f>IF(E818=$AJ$6,1,"")</f>
        <v/>
      </c>
      <c r="AK818" s="81">
        <f>IF(E818=$AK$6,1,"")</f>
        <v/>
      </c>
      <c r="AL818" s="81">
        <f>IF(E818=$AL$6,1,"")</f>
        <v/>
      </c>
      <c r="AM818" s="81">
        <f>IF(E818=$AM$6,1,"")</f>
        <v/>
      </c>
      <c r="AN818" s="81">
        <f>IF(E818=$AN$6,1,"")</f>
        <v/>
      </c>
      <c r="AO818" s="81">
        <f>IF(E818=$AO$6,1,"")</f>
        <v/>
      </c>
      <c r="AP818" s="81">
        <f>IF(E818=$AP$6,1,"")</f>
        <v/>
      </c>
      <c r="AQ818" s="81">
        <f>IF(E818=$AQ$6,1,"")</f>
        <v/>
      </c>
      <c r="AR818" s="81">
        <f>IF(E818=$AR$6,1,"")</f>
        <v/>
      </c>
      <c r="AS818" s="81" t="n"/>
    </row>
    <row r="819" ht="15.75" customHeight="1" s="80">
      <c r="A819" s="157" t="n"/>
      <c r="B819" s="124" t="n"/>
      <c r="C819" s="125" t="n"/>
      <c r="D819" s="126" t="n"/>
      <c r="E819" s="127" t="n"/>
      <c r="F819" s="128" t="n"/>
      <c r="G819" s="129">
        <f>IF(F819="","",ROUND(F819/60,2))</f>
        <v/>
      </c>
      <c r="H819" s="130" t="n"/>
      <c r="I819" s="131" t="n"/>
      <c r="J819" s="131">
        <f>IF(COUNTIF(B819:E819,"*")=0,"",IF(T819=1,"Invalid Service",IF(AND(V819=1,F819=""),"Add Session Mins",IF(AND(E819&gt;0,H819="",T819=""),"Enter Contract Rate",IF(AND(E819="IEP mtg, prep, rept",F819&gt;0),(G819*H819),IF(AND(E819&gt;0,F819&gt;0,H819&gt;0,I819=""),"Enter Travel",IF(AND(F819&gt;0,I819="Y"),(G819*H819)+$M$10,IF(AND(F819&gt;0,I819="N"),(G819*H819),H819))))))))</f>
        <v/>
      </c>
      <c r="K819" s="132">
        <f>J819</f>
        <v/>
      </c>
      <c r="L819" s="148" t="n"/>
      <c r="M819" s="148" t="n"/>
      <c r="N819" s="148" t="n"/>
      <c r="O819" s="87" t="n"/>
      <c r="P819" s="81" t="n"/>
      <c r="Q819" s="81" t="n"/>
      <c r="R819" s="81" t="n"/>
      <c r="S819" s="81" t="n"/>
      <c r="T819" s="136">
        <f>IF(AND(E819&gt;0,U819=0),1,"")</f>
        <v/>
      </c>
      <c r="U819" s="136">
        <f>SUM(X819:AR819)</f>
        <v/>
      </c>
      <c r="V819" s="136">
        <f>IF(E819=$Q$16,0,SUM(X819:AI819))</f>
        <v/>
      </c>
      <c r="W819" s="136">
        <f>SUM(AK819:AR819)</f>
        <v/>
      </c>
      <c r="X819" s="136">
        <f>IF(E819=$X$6,1,"")</f>
        <v/>
      </c>
      <c r="Y819" s="136">
        <f>IF(E819=$Y$6,1,"")</f>
        <v/>
      </c>
      <c r="Z819" s="136">
        <f>IF(E819=$Z$6,1,"")</f>
        <v/>
      </c>
      <c r="AA819" s="136">
        <f>IF(E819=$AA$6,1,"")</f>
        <v/>
      </c>
      <c r="AB819" s="136">
        <f>IF(E819=$AB$6,1,"")</f>
        <v/>
      </c>
      <c r="AC819" s="136">
        <f>IF(E819=$AC$6,1,"")</f>
        <v/>
      </c>
      <c r="AD819" s="136">
        <f>IF(E819=$AD$6,1,"")</f>
        <v/>
      </c>
      <c r="AE819" s="136">
        <f>IF(E819=$AE$6,1,"")</f>
        <v/>
      </c>
      <c r="AF819" s="136">
        <f>IF(E819=$AF$6,1,"")</f>
        <v/>
      </c>
      <c r="AG819" s="136">
        <f>IF(E819=$AG$6,1,"")</f>
        <v/>
      </c>
      <c r="AH819" s="136">
        <f>IF(E819=$AH$6,1,"")</f>
        <v/>
      </c>
      <c r="AI819" s="136">
        <f>IF(E819=$AI$6,1,"")</f>
        <v/>
      </c>
      <c r="AJ819" s="136">
        <f>IF(E819=$AJ$6,1,"")</f>
        <v/>
      </c>
      <c r="AK819" s="81">
        <f>IF(E819=$AK$6,1,"")</f>
        <v/>
      </c>
      <c r="AL819" s="81">
        <f>IF(E819=$AL$6,1,"")</f>
        <v/>
      </c>
      <c r="AM819" s="81">
        <f>IF(E819=$AM$6,1,"")</f>
        <v/>
      </c>
      <c r="AN819" s="81">
        <f>IF(E819=$AN$6,1,"")</f>
        <v/>
      </c>
      <c r="AO819" s="81">
        <f>IF(E819=$AO$6,1,"")</f>
        <v/>
      </c>
      <c r="AP819" s="81">
        <f>IF(E819=$AP$6,1,"")</f>
        <v/>
      </c>
      <c r="AQ819" s="81">
        <f>IF(E819=$AQ$6,1,"")</f>
        <v/>
      </c>
      <c r="AR819" s="81">
        <f>IF(E819=$AR$6,1,"")</f>
        <v/>
      </c>
      <c r="AS819" s="81" t="n"/>
    </row>
    <row r="820" ht="15.75" customHeight="1" s="80">
      <c r="A820" s="157" t="n"/>
      <c r="B820" s="124" t="n"/>
      <c r="C820" s="125" t="n"/>
      <c r="D820" s="126" t="n"/>
      <c r="E820" s="127" t="n"/>
      <c r="F820" s="128" t="n"/>
      <c r="G820" s="129">
        <f>IF(F820="","",ROUND(F820/60,2))</f>
        <v/>
      </c>
      <c r="H820" s="130" t="n"/>
      <c r="I820" s="131" t="n"/>
      <c r="J820" s="131">
        <f>IF(COUNTIF(B820:E820,"*")=0,"",IF(T820=1,"Invalid Service",IF(AND(V820=1,F820=""),"Add Session Mins",IF(AND(E820&gt;0,H820="",T820=""),"Enter Contract Rate",IF(AND(E820="IEP mtg, prep, rept",F820&gt;0),(G820*H820),IF(AND(E820&gt;0,F820&gt;0,H820&gt;0,I820=""),"Enter Travel",IF(AND(F820&gt;0,I820="Y"),(G820*H820)+$M$10,IF(AND(F820&gt;0,I820="N"),(G820*H820),H820))))))))</f>
        <v/>
      </c>
      <c r="K820" s="132">
        <f>J820</f>
        <v/>
      </c>
      <c r="L820" s="148" t="n"/>
      <c r="M820" s="148" t="n"/>
      <c r="N820" s="148" t="n"/>
      <c r="O820" s="87" t="n"/>
      <c r="P820" s="81" t="n"/>
      <c r="Q820" s="81" t="n"/>
      <c r="R820" s="81" t="n"/>
      <c r="S820" s="81" t="n"/>
      <c r="T820" s="136">
        <f>IF(AND(E820&gt;0,U820=0),1,"")</f>
        <v/>
      </c>
      <c r="U820" s="136">
        <f>SUM(X820:AR820)</f>
        <v/>
      </c>
      <c r="V820" s="136">
        <f>IF(E820=$Q$16,0,SUM(X820:AI820))</f>
        <v/>
      </c>
      <c r="W820" s="136">
        <f>SUM(AK820:AR820)</f>
        <v/>
      </c>
      <c r="X820" s="136">
        <f>IF(E820=$X$6,1,"")</f>
        <v/>
      </c>
      <c r="Y820" s="136">
        <f>IF(E820=$Y$6,1,"")</f>
        <v/>
      </c>
      <c r="Z820" s="136">
        <f>IF(E820=$Z$6,1,"")</f>
        <v/>
      </c>
      <c r="AA820" s="136">
        <f>IF(E820=$AA$6,1,"")</f>
        <v/>
      </c>
      <c r="AB820" s="136">
        <f>IF(E820=$AB$6,1,"")</f>
        <v/>
      </c>
      <c r="AC820" s="136">
        <f>IF(E820=$AC$6,1,"")</f>
        <v/>
      </c>
      <c r="AD820" s="136">
        <f>IF(E820=$AD$6,1,"")</f>
        <v/>
      </c>
      <c r="AE820" s="136">
        <f>IF(E820=$AE$6,1,"")</f>
        <v/>
      </c>
      <c r="AF820" s="136">
        <f>IF(E820=$AF$6,1,"")</f>
        <v/>
      </c>
      <c r="AG820" s="136">
        <f>IF(E820=$AG$6,1,"")</f>
        <v/>
      </c>
      <c r="AH820" s="136">
        <f>IF(E820=$AH$6,1,"")</f>
        <v/>
      </c>
      <c r="AI820" s="136">
        <f>IF(E820=$AI$6,1,"")</f>
        <v/>
      </c>
      <c r="AJ820" s="136">
        <f>IF(E820=$AJ$6,1,"")</f>
        <v/>
      </c>
      <c r="AK820" s="81">
        <f>IF(E820=$AK$6,1,"")</f>
        <v/>
      </c>
      <c r="AL820" s="81">
        <f>IF(E820=$AL$6,1,"")</f>
        <v/>
      </c>
      <c r="AM820" s="81">
        <f>IF(E820=$AM$6,1,"")</f>
        <v/>
      </c>
      <c r="AN820" s="81">
        <f>IF(E820=$AN$6,1,"")</f>
        <v/>
      </c>
      <c r="AO820" s="81">
        <f>IF(E820=$AO$6,1,"")</f>
        <v/>
      </c>
      <c r="AP820" s="81">
        <f>IF(E820=$AP$6,1,"")</f>
        <v/>
      </c>
      <c r="AQ820" s="81">
        <f>IF(E820=$AQ$6,1,"")</f>
        <v/>
      </c>
      <c r="AR820" s="81">
        <f>IF(E820=$AR$6,1,"")</f>
        <v/>
      </c>
      <c r="AS820" s="81" t="n"/>
    </row>
    <row r="821" ht="15.75" customHeight="1" s="80">
      <c r="A821" s="157" t="n"/>
      <c r="B821" s="124" t="n"/>
      <c r="C821" s="125" t="n"/>
      <c r="D821" s="126" t="n"/>
      <c r="E821" s="127" t="n"/>
      <c r="F821" s="128" t="n"/>
      <c r="G821" s="129">
        <f>IF(F821="","",ROUND(F821/60,2))</f>
        <v/>
      </c>
      <c r="H821" s="130" t="n"/>
      <c r="I821" s="131" t="n"/>
      <c r="J821" s="131">
        <f>IF(COUNTIF(B821:E821,"*")=0,"",IF(T821=1,"Invalid Service",IF(AND(V821=1,F821=""),"Add Session Mins",IF(AND(E821&gt;0,H821="",T821=""),"Enter Contract Rate",IF(AND(E821="IEP mtg, prep, rept",F821&gt;0),(G821*H821),IF(AND(E821&gt;0,F821&gt;0,H821&gt;0,I821=""),"Enter Travel",IF(AND(F821&gt;0,I821="Y"),(G821*H821)+$M$10,IF(AND(F821&gt;0,I821="N"),(G821*H821),H821))))))))</f>
        <v/>
      </c>
      <c r="K821" s="132">
        <f>J821</f>
        <v/>
      </c>
      <c r="L821" s="148" t="n"/>
      <c r="M821" s="148" t="n"/>
      <c r="N821" s="148" t="n"/>
      <c r="O821" s="87" t="n"/>
      <c r="P821" s="81" t="n"/>
      <c r="Q821" s="81" t="n"/>
      <c r="R821" s="81" t="n"/>
      <c r="S821" s="81" t="n"/>
      <c r="T821" s="136">
        <f>IF(AND(E821&gt;0,U821=0),1,"")</f>
        <v/>
      </c>
      <c r="U821" s="136">
        <f>SUM(X821:AR821)</f>
        <v/>
      </c>
      <c r="V821" s="136">
        <f>IF(E821=$Q$16,0,SUM(X821:AI821))</f>
        <v/>
      </c>
      <c r="W821" s="136">
        <f>SUM(AK821:AR821)</f>
        <v/>
      </c>
      <c r="X821" s="136">
        <f>IF(E821=$X$6,1,"")</f>
        <v/>
      </c>
      <c r="Y821" s="136">
        <f>IF(E821=$Y$6,1,"")</f>
        <v/>
      </c>
      <c r="Z821" s="136">
        <f>IF(E821=$Z$6,1,"")</f>
        <v/>
      </c>
      <c r="AA821" s="136">
        <f>IF(E821=$AA$6,1,"")</f>
        <v/>
      </c>
      <c r="AB821" s="136">
        <f>IF(E821=$AB$6,1,"")</f>
        <v/>
      </c>
      <c r="AC821" s="136">
        <f>IF(E821=$AC$6,1,"")</f>
        <v/>
      </c>
      <c r="AD821" s="136">
        <f>IF(E821=$AD$6,1,"")</f>
        <v/>
      </c>
      <c r="AE821" s="136">
        <f>IF(E821=$AE$6,1,"")</f>
        <v/>
      </c>
      <c r="AF821" s="136">
        <f>IF(E821=$AF$6,1,"")</f>
        <v/>
      </c>
      <c r="AG821" s="136">
        <f>IF(E821=$AG$6,1,"")</f>
        <v/>
      </c>
      <c r="AH821" s="136">
        <f>IF(E821=$AH$6,1,"")</f>
        <v/>
      </c>
      <c r="AI821" s="136">
        <f>IF(E821=$AI$6,1,"")</f>
        <v/>
      </c>
      <c r="AJ821" s="136">
        <f>IF(E821=$AJ$6,1,"")</f>
        <v/>
      </c>
      <c r="AK821" s="81">
        <f>IF(E821=$AK$6,1,"")</f>
        <v/>
      </c>
      <c r="AL821" s="81">
        <f>IF(E821=$AL$6,1,"")</f>
        <v/>
      </c>
      <c r="AM821" s="81">
        <f>IF(E821=$AM$6,1,"")</f>
        <v/>
      </c>
      <c r="AN821" s="81">
        <f>IF(E821=$AN$6,1,"")</f>
        <v/>
      </c>
      <c r="AO821" s="81">
        <f>IF(E821=$AO$6,1,"")</f>
        <v/>
      </c>
      <c r="AP821" s="81">
        <f>IF(E821=$AP$6,1,"")</f>
        <v/>
      </c>
      <c r="AQ821" s="81">
        <f>IF(E821=$AQ$6,1,"")</f>
        <v/>
      </c>
      <c r="AR821" s="81">
        <f>IF(E821=$AR$6,1,"")</f>
        <v/>
      </c>
      <c r="AS821" s="81" t="n"/>
    </row>
    <row r="822" ht="15.75" customHeight="1" s="80">
      <c r="A822" s="157" t="n"/>
      <c r="B822" s="124" t="n"/>
      <c r="C822" s="125" t="n"/>
      <c r="D822" s="126" t="n"/>
      <c r="E822" s="127" t="n"/>
      <c r="F822" s="128" t="n"/>
      <c r="G822" s="129">
        <f>IF(F822="","",ROUND(F822/60,2))</f>
        <v/>
      </c>
      <c r="H822" s="130" t="n"/>
      <c r="I822" s="131" t="n"/>
      <c r="J822" s="131">
        <f>IF(COUNTIF(B822:E822,"*")=0,"",IF(T822=1,"Invalid Service",IF(AND(V822=1,F822=""),"Add Session Mins",IF(AND(E822&gt;0,H822="",T822=""),"Enter Contract Rate",IF(AND(E822="IEP mtg, prep, rept",F822&gt;0),(G822*H822),IF(AND(E822&gt;0,F822&gt;0,H822&gt;0,I822=""),"Enter Travel",IF(AND(F822&gt;0,I822="Y"),(G822*H822)+$M$10,IF(AND(F822&gt;0,I822="N"),(G822*H822),H822))))))))</f>
        <v/>
      </c>
      <c r="K822" s="132">
        <f>J822</f>
        <v/>
      </c>
      <c r="L822" s="148" t="n"/>
      <c r="M822" s="148" t="n"/>
      <c r="N822" s="148" t="n"/>
      <c r="O822" s="87" t="n"/>
      <c r="P822" s="81" t="n"/>
      <c r="Q822" s="81" t="n"/>
      <c r="R822" s="81" t="n"/>
      <c r="S822" s="81" t="n"/>
      <c r="T822" s="136">
        <f>IF(AND(E822&gt;0,U822=0),1,"")</f>
        <v/>
      </c>
      <c r="U822" s="136">
        <f>SUM(X822:AR822)</f>
        <v/>
      </c>
      <c r="V822" s="136">
        <f>IF(E822=$Q$16,0,SUM(X822:AI822))</f>
        <v/>
      </c>
      <c r="W822" s="136">
        <f>SUM(AK822:AR822)</f>
        <v/>
      </c>
      <c r="X822" s="136">
        <f>IF(E822=$X$6,1,"")</f>
        <v/>
      </c>
      <c r="Y822" s="136">
        <f>IF(E822=$Y$6,1,"")</f>
        <v/>
      </c>
      <c r="Z822" s="136">
        <f>IF(E822=$Z$6,1,"")</f>
        <v/>
      </c>
      <c r="AA822" s="136">
        <f>IF(E822=$AA$6,1,"")</f>
        <v/>
      </c>
      <c r="AB822" s="136">
        <f>IF(E822=$AB$6,1,"")</f>
        <v/>
      </c>
      <c r="AC822" s="136">
        <f>IF(E822=$AC$6,1,"")</f>
        <v/>
      </c>
      <c r="AD822" s="136">
        <f>IF(E822=$AD$6,1,"")</f>
        <v/>
      </c>
      <c r="AE822" s="136">
        <f>IF(E822=$AE$6,1,"")</f>
        <v/>
      </c>
      <c r="AF822" s="136">
        <f>IF(E822=$AF$6,1,"")</f>
        <v/>
      </c>
      <c r="AG822" s="136">
        <f>IF(E822=$AG$6,1,"")</f>
        <v/>
      </c>
      <c r="AH822" s="136">
        <f>IF(E822=$AH$6,1,"")</f>
        <v/>
      </c>
      <c r="AI822" s="136">
        <f>IF(E822=$AI$6,1,"")</f>
        <v/>
      </c>
      <c r="AJ822" s="136">
        <f>IF(E822=$AJ$6,1,"")</f>
        <v/>
      </c>
      <c r="AK822" s="81">
        <f>IF(E822=$AK$6,1,"")</f>
        <v/>
      </c>
      <c r="AL822" s="81">
        <f>IF(E822=$AL$6,1,"")</f>
        <v/>
      </c>
      <c r="AM822" s="81">
        <f>IF(E822=$AM$6,1,"")</f>
        <v/>
      </c>
      <c r="AN822" s="81">
        <f>IF(E822=$AN$6,1,"")</f>
        <v/>
      </c>
      <c r="AO822" s="81">
        <f>IF(E822=$AO$6,1,"")</f>
        <v/>
      </c>
      <c r="AP822" s="81">
        <f>IF(E822=$AP$6,1,"")</f>
        <v/>
      </c>
      <c r="AQ822" s="81">
        <f>IF(E822=$AQ$6,1,"")</f>
        <v/>
      </c>
      <c r="AR822" s="81">
        <f>IF(E822=$AR$6,1,"")</f>
        <v/>
      </c>
      <c r="AS822" s="81" t="n"/>
    </row>
    <row r="823" ht="15.75" customHeight="1" s="80">
      <c r="A823" s="157" t="n"/>
      <c r="B823" s="124" t="n"/>
      <c r="C823" s="125" t="n"/>
      <c r="D823" s="126" t="n"/>
      <c r="E823" s="127" t="n"/>
      <c r="F823" s="128" t="n"/>
      <c r="G823" s="129">
        <f>IF(F823="","",ROUND(F823/60,2))</f>
        <v/>
      </c>
      <c r="H823" s="130" t="n"/>
      <c r="I823" s="131" t="n"/>
      <c r="J823" s="131">
        <f>IF(COUNTIF(B823:E823,"*")=0,"",IF(T823=1,"Invalid Service",IF(AND(V823=1,F823=""),"Add Session Mins",IF(AND(E823&gt;0,H823="",T823=""),"Enter Contract Rate",IF(AND(E823="IEP mtg, prep, rept",F823&gt;0),(G823*H823),IF(AND(E823&gt;0,F823&gt;0,H823&gt;0,I823=""),"Enter Travel",IF(AND(F823&gt;0,I823="Y"),(G823*H823)+$M$10,IF(AND(F823&gt;0,I823="N"),(G823*H823),H823))))))))</f>
        <v/>
      </c>
      <c r="K823" s="132">
        <f>J823</f>
        <v/>
      </c>
      <c r="L823" s="148" t="n"/>
      <c r="M823" s="148" t="n"/>
      <c r="N823" s="148" t="n"/>
      <c r="O823" s="87" t="n"/>
      <c r="P823" s="81" t="n"/>
      <c r="Q823" s="81" t="n"/>
      <c r="R823" s="81" t="n"/>
      <c r="S823" s="81" t="n"/>
      <c r="T823" s="136">
        <f>IF(AND(E823&gt;0,U823=0),1,"")</f>
        <v/>
      </c>
      <c r="U823" s="136">
        <f>SUM(X823:AR823)</f>
        <v/>
      </c>
      <c r="V823" s="136">
        <f>IF(E823=$Q$16,0,SUM(X823:AI823))</f>
        <v/>
      </c>
      <c r="W823" s="136">
        <f>SUM(AK823:AR823)</f>
        <v/>
      </c>
      <c r="X823" s="136">
        <f>IF(E823=$X$6,1,"")</f>
        <v/>
      </c>
      <c r="Y823" s="136">
        <f>IF(E823=$Y$6,1,"")</f>
        <v/>
      </c>
      <c r="Z823" s="136">
        <f>IF(E823=$Z$6,1,"")</f>
        <v/>
      </c>
      <c r="AA823" s="136">
        <f>IF(E823=$AA$6,1,"")</f>
        <v/>
      </c>
      <c r="AB823" s="136">
        <f>IF(E823=$AB$6,1,"")</f>
        <v/>
      </c>
      <c r="AC823" s="136">
        <f>IF(E823=$AC$6,1,"")</f>
        <v/>
      </c>
      <c r="AD823" s="136">
        <f>IF(E823=$AD$6,1,"")</f>
        <v/>
      </c>
      <c r="AE823" s="136">
        <f>IF(E823=$AE$6,1,"")</f>
        <v/>
      </c>
      <c r="AF823" s="136">
        <f>IF(E823=$AF$6,1,"")</f>
        <v/>
      </c>
      <c r="AG823" s="136">
        <f>IF(E823=$AG$6,1,"")</f>
        <v/>
      </c>
      <c r="AH823" s="136">
        <f>IF(E823=$AH$6,1,"")</f>
        <v/>
      </c>
      <c r="AI823" s="136">
        <f>IF(E823=$AI$6,1,"")</f>
        <v/>
      </c>
      <c r="AJ823" s="136">
        <f>IF(E823=$AJ$6,1,"")</f>
        <v/>
      </c>
      <c r="AK823" s="81">
        <f>IF(E823=$AK$6,1,"")</f>
        <v/>
      </c>
      <c r="AL823" s="81">
        <f>IF(E823=$AL$6,1,"")</f>
        <v/>
      </c>
      <c r="AM823" s="81">
        <f>IF(E823=$AM$6,1,"")</f>
        <v/>
      </c>
      <c r="AN823" s="81">
        <f>IF(E823=$AN$6,1,"")</f>
        <v/>
      </c>
      <c r="AO823" s="81">
        <f>IF(E823=$AO$6,1,"")</f>
        <v/>
      </c>
      <c r="AP823" s="81">
        <f>IF(E823=$AP$6,1,"")</f>
        <v/>
      </c>
      <c r="AQ823" s="81">
        <f>IF(E823=$AQ$6,1,"")</f>
        <v/>
      </c>
      <c r="AR823" s="81">
        <f>IF(E823=$AR$6,1,"")</f>
        <v/>
      </c>
      <c r="AS823" s="81" t="n"/>
    </row>
    <row r="824" ht="15.75" customHeight="1" s="80">
      <c r="A824" s="157" t="n"/>
      <c r="B824" s="124" t="n"/>
      <c r="C824" s="125" t="n"/>
      <c r="D824" s="126" t="n"/>
      <c r="E824" s="127" t="n"/>
      <c r="F824" s="128" t="n"/>
      <c r="G824" s="129">
        <f>IF(F824="","",ROUND(F824/60,2))</f>
        <v/>
      </c>
      <c r="H824" s="130" t="n"/>
      <c r="I824" s="131" t="n"/>
      <c r="J824" s="131">
        <f>IF(COUNTIF(B824:E824,"*")=0,"",IF(T824=1,"Invalid Service",IF(AND(V824=1,F824=""),"Add Session Mins",IF(AND(E824&gt;0,H824="",T824=""),"Enter Contract Rate",IF(AND(E824="IEP mtg, prep, rept",F824&gt;0),(G824*H824),IF(AND(E824&gt;0,F824&gt;0,H824&gt;0,I824=""),"Enter Travel",IF(AND(F824&gt;0,I824="Y"),(G824*H824)+$M$10,IF(AND(F824&gt;0,I824="N"),(G824*H824),H824))))))))</f>
        <v/>
      </c>
      <c r="K824" s="132">
        <f>J824</f>
        <v/>
      </c>
      <c r="L824" s="148" t="n"/>
      <c r="M824" s="148" t="n"/>
      <c r="N824" s="148" t="n"/>
      <c r="O824" s="87" t="n"/>
      <c r="P824" s="81" t="n"/>
      <c r="Q824" s="81" t="n"/>
      <c r="R824" s="81" t="n"/>
      <c r="S824" s="81" t="n"/>
      <c r="T824" s="136">
        <f>IF(AND(E824&gt;0,U824=0),1,"")</f>
        <v/>
      </c>
      <c r="U824" s="136">
        <f>SUM(X824:AR824)</f>
        <v/>
      </c>
      <c r="V824" s="136">
        <f>IF(E824=$Q$16,0,SUM(X824:AI824))</f>
        <v/>
      </c>
      <c r="W824" s="136">
        <f>SUM(AK824:AR824)</f>
        <v/>
      </c>
      <c r="X824" s="136">
        <f>IF(E824=$X$6,1,"")</f>
        <v/>
      </c>
      <c r="Y824" s="136">
        <f>IF(E824=$Y$6,1,"")</f>
        <v/>
      </c>
      <c r="Z824" s="136">
        <f>IF(E824=$Z$6,1,"")</f>
        <v/>
      </c>
      <c r="AA824" s="136">
        <f>IF(E824=$AA$6,1,"")</f>
        <v/>
      </c>
      <c r="AB824" s="136">
        <f>IF(E824=$AB$6,1,"")</f>
        <v/>
      </c>
      <c r="AC824" s="136">
        <f>IF(E824=$AC$6,1,"")</f>
        <v/>
      </c>
      <c r="AD824" s="136">
        <f>IF(E824=$AD$6,1,"")</f>
        <v/>
      </c>
      <c r="AE824" s="136">
        <f>IF(E824=$AE$6,1,"")</f>
        <v/>
      </c>
      <c r="AF824" s="136">
        <f>IF(E824=$AF$6,1,"")</f>
        <v/>
      </c>
      <c r="AG824" s="136">
        <f>IF(E824=$AG$6,1,"")</f>
        <v/>
      </c>
      <c r="AH824" s="136">
        <f>IF(E824=$AH$6,1,"")</f>
        <v/>
      </c>
      <c r="AI824" s="136">
        <f>IF(E824=$AI$6,1,"")</f>
        <v/>
      </c>
      <c r="AJ824" s="136">
        <f>IF(E824=$AJ$6,1,"")</f>
        <v/>
      </c>
      <c r="AK824" s="81">
        <f>IF(E824=$AK$6,1,"")</f>
        <v/>
      </c>
      <c r="AL824" s="81">
        <f>IF(E824=$AL$6,1,"")</f>
        <v/>
      </c>
      <c r="AM824" s="81">
        <f>IF(E824=$AM$6,1,"")</f>
        <v/>
      </c>
      <c r="AN824" s="81">
        <f>IF(E824=$AN$6,1,"")</f>
        <v/>
      </c>
      <c r="AO824" s="81">
        <f>IF(E824=$AO$6,1,"")</f>
        <v/>
      </c>
      <c r="AP824" s="81">
        <f>IF(E824=$AP$6,1,"")</f>
        <v/>
      </c>
      <c r="AQ824" s="81">
        <f>IF(E824=$AQ$6,1,"")</f>
        <v/>
      </c>
      <c r="AR824" s="81">
        <f>IF(E824=$AR$6,1,"")</f>
        <v/>
      </c>
      <c r="AS824" s="81" t="n"/>
    </row>
    <row r="825" ht="15.75" customHeight="1" s="80">
      <c r="A825" s="157" t="n"/>
      <c r="B825" s="124" t="n"/>
      <c r="C825" s="125" t="n"/>
      <c r="D825" s="126" t="n"/>
      <c r="E825" s="127" t="n"/>
      <c r="F825" s="128" t="n"/>
      <c r="G825" s="129">
        <f>IF(F825="","",ROUND(F825/60,2))</f>
        <v/>
      </c>
      <c r="H825" s="130" t="n"/>
      <c r="I825" s="131" t="n"/>
      <c r="J825" s="131">
        <f>IF(COUNTIF(B825:E825,"*")=0,"",IF(T825=1,"Invalid Service",IF(AND(V825=1,F825=""),"Add Session Mins",IF(AND(E825&gt;0,H825="",T825=""),"Enter Contract Rate",IF(AND(E825="IEP mtg, prep, rept",F825&gt;0),(G825*H825),IF(AND(E825&gt;0,F825&gt;0,H825&gt;0,I825=""),"Enter Travel",IF(AND(F825&gt;0,I825="Y"),(G825*H825)+$M$10,IF(AND(F825&gt;0,I825="N"),(G825*H825),H825))))))))</f>
        <v/>
      </c>
      <c r="K825" s="132">
        <f>J825</f>
        <v/>
      </c>
      <c r="L825" s="148" t="n"/>
      <c r="M825" s="148" t="n"/>
      <c r="N825" s="148" t="n"/>
      <c r="O825" s="87" t="n"/>
      <c r="P825" s="81" t="n"/>
      <c r="Q825" s="81" t="n"/>
      <c r="R825" s="81" t="n"/>
      <c r="S825" s="81" t="n"/>
      <c r="T825" s="136">
        <f>IF(AND(E825&gt;0,U825=0),1,"")</f>
        <v/>
      </c>
      <c r="U825" s="136">
        <f>SUM(X825:AR825)</f>
        <v/>
      </c>
      <c r="V825" s="136">
        <f>IF(E825=$Q$16,0,SUM(X825:AI825))</f>
        <v/>
      </c>
      <c r="W825" s="136">
        <f>SUM(AK825:AR825)</f>
        <v/>
      </c>
      <c r="X825" s="136">
        <f>IF(E825=$X$6,1,"")</f>
        <v/>
      </c>
      <c r="Y825" s="136">
        <f>IF(E825=$Y$6,1,"")</f>
        <v/>
      </c>
      <c r="Z825" s="136">
        <f>IF(E825=$Z$6,1,"")</f>
        <v/>
      </c>
      <c r="AA825" s="136">
        <f>IF(E825=$AA$6,1,"")</f>
        <v/>
      </c>
      <c r="AB825" s="136">
        <f>IF(E825=$AB$6,1,"")</f>
        <v/>
      </c>
      <c r="AC825" s="136">
        <f>IF(E825=$AC$6,1,"")</f>
        <v/>
      </c>
      <c r="AD825" s="136">
        <f>IF(E825=$AD$6,1,"")</f>
        <v/>
      </c>
      <c r="AE825" s="136">
        <f>IF(E825=$AE$6,1,"")</f>
        <v/>
      </c>
      <c r="AF825" s="136">
        <f>IF(E825=$AF$6,1,"")</f>
        <v/>
      </c>
      <c r="AG825" s="136">
        <f>IF(E825=$AG$6,1,"")</f>
        <v/>
      </c>
      <c r="AH825" s="136">
        <f>IF(E825=$AH$6,1,"")</f>
        <v/>
      </c>
      <c r="AI825" s="136">
        <f>IF(E825=$AI$6,1,"")</f>
        <v/>
      </c>
      <c r="AJ825" s="136">
        <f>IF(E825=$AJ$6,1,"")</f>
        <v/>
      </c>
      <c r="AK825" s="81">
        <f>IF(E825=$AK$6,1,"")</f>
        <v/>
      </c>
      <c r="AL825" s="81">
        <f>IF(E825=$AL$6,1,"")</f>
        <v/>
      </c>
      <c r="AM825" s="81">
        <f>IF(E825=$AM$6,1,"")</f>
        <v/>
      </c>
      <c r="AN825" s="81">
        <f>IF(E825=$AN$6,1,"")</f>
        <v/>
      </c>
      <c r="AO825" s="81">
        <f>IF(E825=$AO$6,1,"")</f>
        <v/>
      </c>
      <c r="AP825" s="81">
        <f>IF(E825=$AP$6,1,"")</f>
        <v/>
      </c>
      <c r="AQ825" s="81">
        <f>IF(E825=$AQ$6,1,"")</f>
        <v/>
      </c>
      <c r="AR825" s="81">
        <f>IF(E825=$AR$6,1,"")</f>
        <v/>
      </c>
      <c r="AS825" s="81" t="n"/>
    </row>
    <row r="826" ht="15.75" customHeight="1" s="80">
      <c r="A826" s="157" t="n"/>
      <c r="B826" s="124" t="n"/>
      <c r="C826" s="125" t="n"/>
      <c r="D826" s="126" t="n"/>
      <c r="E826" s="127" t="n"/>
      <c r="F826" s="128" t="n"/>
      <c r="G826" s="129">
        <f>IF(F826="","",ROUND(F826/60,2))</f>
        <v/>
      </c>
      <c r="H826" s="130" t="n"/>
      <c r="I826" s="131" t="n"/>
      <c r="J826" s="131">
        <f>IF(COUNTIF(B826:E826,"*")=0,"",IF(T826=1,"Invalid Service",IF(AND(V826=1,F826=""),"Add Session Mins",IF(AND(E826&gt;0,H826="",T826=""),"Enter Contract Rate",IF(AND(E826="IEP mtg, prep, rept",F826&gt;0),(G826*H826),IF(AND(E826&gt;0,F826&gt;0,H826&gt;0,I826=""),"Enter Travel",IF(AND(F826&gt;0,I826="Y"),(G826*H826)+$M$10,IF(AND(F826&gt;0,I826="N"),(G826*H826),H826))))))))</f>
        <v/>
      </c>
      <c r="K826" s="132">
        <f>J826</f>
        <v/>
      </c>
      <c r="L826" s="148" t="n"/>
      <c r="M826" s="148" t="n"/>
      <c r="N826" s="148" t="n"/>
      <c r="O826" s="87" t="n"/>
      <c r="P826" s="81" t="n"/>
      <c r="Q826" s="81" t="n"/>
      <c r="R826" s="81" t="n"/>
      <c r="S826" s="81" t="n"/>
      <c r="T826" s="136">
        <f>IF(AND(E826&gt;0,U826=0),1,"")</f>
        <v/>
      </c>
      <c r="U826" s="136">
        <f>SUM(X826:AR826)</f>
        <v/>
      </c>
      <c r="V826" s="136">
        <f>IF(E826=$Q$16,0,SUM(X826:AI826))</f>
        <v/>
      </c>
      <c r="W826" s="136">
        <f>SUM(AK826:AR826)</f>
        <v/>
      </c>
      <c r="X826" s="136">
        <f>IF(E826=$X$6,1,"")</f>
        <v/>
      </c>
      <c r="Y826" s="136">
        <f>IF(E826=$Y$6,1,"")</f>
        <v/>
      </c>
      <c r="Z826" s="136">
        <f>IF(E826=$Z$6,1,"")</f>
        <v/>
      </c>
      <c r="AA826" s="136">
        <f>IF(E826=$AA$6,1,"")</f>
        <v/>
      </c>
      <c r="AB826" s="136">
        <f>IF(E826=$AB$6,1,"")</f>
        <v/>
      </c>
      <c r="AC826" s="136">
        <f>IF(E826=$AC$6,1,"")</f>
        <v/>
      </c>
      <c r="AD826" s="136">
        <f>IF(E826=$AD$6,1,"")</f>
        <v/>
      </c>
      <c r="AE826" s="136">
        <f>IF(E826=$AE$6,1,"")</f>
        <v/>
      </c>
      <c r="AF826" s="136">
        <f>IF(E826=$AF$6,1,"")</f>
        <v/>
      </c>
      <c r="AG826" s="136">
        <f>IF(E826=$AG$6,1,"")</f>
        <v/>
      </c>
      <c r="AH826" s="136">
        <f>IF(E826=$AH$6,1,"")</f>
        <v/>
      </c>
      <c r="AI826" s="136">
        <f>IF(E826=$AI$6,1,"")</f>
        <v/>
      </c>
      <c r="AJ826" s="136">
        <f>IF(E826=$AJ$6,1,"")</f>
        <v/>
      </c>
      <c r="AK826" s="81">
        <f>IF(E826=$AK$6,1,"")</f>
        <v/>
      </c>
      <c r="AL826" s="81">
        <f>IF(E826=$AL$6,1,"")</f>
        <v/>
      </c>
      <c r="AM826" s="81">
        <f>IF(E826=$AM$6,1,"")</f>
        <v/>
      </c>
      <c r="AN826" s="81">
        <f>IF(E826=$AN$6,1,"")</f>
        <v/>
      </c>
      <c r="AO826" s="81">
        <f>IF(E826=$AO$6,1,"")</f>
        <v/>
      </c>
      <c r="AP826" s="81">
        <f>IF(E826=$AP$6,1,"")</f>
        <v/>
      </c>
      <c r="AQ826" s="81">
        <f>IF(E826=$AQ$6,1,"")</f>
        <v/>
      </c>
      <c r="AR826" s="81">
        <f>IF(E826=$AR$6,1,"")</f>
        <v/>
      </c>
      <c r="AS826" s="81" t="n"/>
    </row>
    <row r="827" ht="15.75" customHeight="1" s="80">
      <c r="A827" s="157" t="n"/>
      <c r="B827" s="124" t="n"/>
      <c r="C827" s="125" t="n"/>
      <c r="D827" s="126" t="n"/>
      <c r="E827" s="127" t="n"/>
      <c r="F827" s="128" t="n"/>
      <c r="G827" s="129">
        <f>IF(F827="","",ROUND(F827/60,2))</f>
        <v/>
      </c>
      <c r="H827" s="130" t="n"/>
      <c r="I827" s="131" t="n"/>
      <c r="J827" s="131">
        <f>IF(COUNTIF(B827:E827,"*")=0,"",IF(T827=1,"Invalid Service",IF(AND(V827=1,F827=""),"Add Session Mins",IF(AND(E827&gt;0,H827="",T827=""),"Enter Contract Rate",IF(AND(E827="IEP mtg, prep, rept",F827&gt;0),(G827*H827),IF(AND(E827&gt;0,F827&gt;0,H827&gt;0,I827=""),"Enter Travel",IF(AND(F827&gt;0,I827="Y"),(G827*H827)+$M$10,IF(AND(F827&gt;0,I827="N"),(G827*H827),H827))))))))</f>
        <v/>
      </c>
      <c r="K827" s="132">
        <f>J827</f>
        <v/>
      </c>
      <c r="L827" s="148" t="n"/>
      <c r="M827" s="148" t="n"/>
      <c r="N827" s="148" t="n"/>
      <c r="O827" s="87" t="n"/>
      <c r="P827" s="81" t="n"/>
      <c r="Q827" s="81" t="n"/>
      <c r="R827" s="81" t="n"/>
      <c r="S827" s="81" t="n"/>
      <c r="T827" s="136">
        <f>IF(AND(E827&gt;0,U827=0),1,"")</f>
        <v/>
      </c>
      <c r="U827" s="136">
        <f>SUM(X827:AR827)</f>
        <v/>
      </c>
      <c r="V827" s="136">
        <f>IF(E827=$Q$16,0,SUM(X827:AI827))</f>
        <v/>
      </c>
      <c r="W827" s="136">
        <f>SUM(AK827:AR827)</f>
        <v/>
      </c>
      <c r="X827" s="136">
        <f>IF(E827=$X$6,1,"")</f>
        <v/>
      </c>
      <c r="Y827" s="136">
        <f>IF(E827=$Y$6,1,"")</f>
        <v/>
      </c>
      <c r="Z827" s="136">
        <f>IF(E827=$Z$6,1,"")</f>
        <v/>
      </c>
      <c r="AA827" s="136">
        <f>IF(E827=$AA$6,1,"")</f>
        <v/>
      </c>
      <c r="AB827" s="136">
        <f>IF(E827=$AB$6,1,"")</f>
        <v/>
      </c>
      <c r="AC827" s="136">
        <f>IF(E827=$AC$6,1,"")</f>
        <v/>
      </c>
      <c r="AD827" s="136">
        <f>IF(E827=$AD$6,1,"")</f>
        <v/>
      </c>
      <c r="AE827" s="136">
        <f>IF(E827=$AE$6,1,"")</f>
        <v/>
      </c>
      <c r="AF827" s="136">
        <f>IF(E827=$AF$6,1,"")</f>
        <v/>
      </c>
      <c r="AG827" s="136">
        <f>IF(E827=$AG$6,1,"")</f>
        <v/>
      </c>
      <c r="AH827" s="136">
        <f>IF(E827=$AH$6,1,"")</f>
        <v/>
      </c>
      <c r="AI827" s="136">
        <f>IF(E827=$AI$6,1,"")</f>
        <v/>
      </c>
      <c r="AJ827" s="136">
        <f>IF(E827=$AJ$6,1,"")</f>
        <v/>
      </c>
      <c r="AK827" s="81">
        <f>IF(E827=$AK$6,1,"")</f>
        <v/>
      </c>
      <c r="AL827" s="81">
        <f>IF(E827=$AL$6,1,"")</f>
        <v/>
      </c>
      <c r="AM827" s="81">
        <f>IF(E827=$AM$6,1,"")</f>
        <v/>
      </c>
      <c r="AN827" s="81">
        <f>IF(E827=$AN$6,1,"")</f>
        <v/>
      </c>
      <c r="AO827" s="81">
        <f>IF(E827=$AO$6,1,"")</f>
        <v/>
      </c>
      <c r="AP827" s="81">
        <f>IF(E827=$AP$6,1,"")</f>
        <v/>
      </c>
      <c r="AQ827" s="81">
        <f>IF(E827=$AQ$6,1,"")</f>
        <v/>
      </c>
      <c r="AR827" s="81">
        <f>IF(E827=$AR$6,1,"")</f>
        <v/>
      </c>
      <c r="AS827" s="81" t="n"/>
    </row>
    <row r="828" ht="15.75" customHeight="1" s="80">
      <c r="A828" s="157" t="n"/>
      <c r="B828" s="124" t="n"/>
      <c r="C828" s="125" t="n"/>
      <c r="D828" s="126" t="n"/>
      <c r="E828" s="127" t="n"/>
      <c r="F828" s="128" t="n"/>
      <c r="G828" s="129">
        <f>IF(F828="","",ROUND(F828/60,2))</f>
        <v/>
      </c>
      <c r="H828" s="130" t="n"/>
      <c r="I828" s="131" t="n"/>
      <c r="J828" s="131">
        <f>IF(COUNTIF(B828:E828,"*")=0,"",IF(T828=1,"Invalid Service",IF(AND(V828=1,F828=""),"Add Session Mins",IF(AND(E828&gt;0,H828="",T828=""),"Enter Contract Rate",IF(AND(E828="IEP mtg, prep, rept",F828&gt;0),(G828*H828),IF(AND(E828&gt;0,F828&gt;0,H828&gt;0,I828=""),"Enter Travel",IF(AND(F828&gt;0,I828="Y"),(G828*H828)+$M$10,IF(AND(F828&gt;0,I828="N"),(G828*H828),H828))))))))</f>
        <v/>
      </c>
      <c r="K828" s="132">
        <f>J828</f>
        <v/>
      </c>
      <c r="L828" s="148" t="n"/>
      <c r="M828" s="148" t="n"/>
      <c r="N828" s="148" t="n"/>
      <c r="O828" s="87" t="n"/>
      <c r="P828" s="81" t="n"/>
      <c r="Q828" s="81" t="n"/>
      <c r="R828" s="81" t="n"/>
      <c r="S828" s="81" t="n"/>
      <c r="T828" s="136">
        <f>IF(AND(E828&gt;0,U828=0),1,"")</f>
        <v/>
      </c>
      <c r="U828" s="136">
        <f>SUM(X828:AR828)</f>
        <v/>
      </c>
      <c r="V828" s="136">
        <f>IF(E828=$Q$16,0,SUM(X828:AI828))</f>
        <v/>
      </c>
      <c r="W828" s="136">
        <f>SUM(AK828:AR828)</f>
        <v/>
      </c>
      <c r="X828" s="136">
        <f>IF(E828=$X$6,1,"")</f>
        <v/>
      </c>
      <c r="Y828" s="136">
        <f>IF(E828=$Y$6,1,"")</f>
        <v/>
      </c>
      <c r="Z828" s="136">
        <f>IF(E828=$Z$6,1,"")</f>
        <v/>
      </c>
      <c r="AA828" s="136">
        <f>IF(E828=$AA$6,1,"")</f>
        <v/>
      </c>
      <c r="AB828" s="136">
        <f>IF(E828=$AB$6,1,"")</f>
        <v/>
      </c>
      <c r="AC828" s="136">
        <f>IF(E828=$AC$6,1,"")</f>
        <v/>
      </c>
      <c r="AD828" s="136">
        <f>IF(E828=$AD$6,1,"")</f>
        <v/>
      </c>
      <c r="AE828" s="136">
        <f>IF(E828=$AE$6,1,"")</f>
        <v/>
      </c>
      <c r="AF828" s="136">
        <f>IF(E828=$AF$6,1,"")</f>
        <v/>
      </c>
      <c r="AG828" s="136">
        <f>IF(E828=$AG$6,1,"")</f>
        <v/>
      </c>
      <c r="AH828" s="136">
        <f>IF(E828=$AH$6,1,"")</f>
        <v/>
      </c>
      <c r="AI828" s="136">
        <f>IF(E828=$AI$6,1,"")</f>
        <v/>
      </c>
      <c r="AJ828" s="136">
        <f>IF(E828=$AJ$6,1,"")</f>
        <v/>
      </c>
      <c r="AK828" s="81">
        <f>IF(E828=$AK$6,1,"")</f>
        <v/>
      </c>
      <c r="AL828" s="81">
        <f>IF(E828=$AL$6,1,"")</f>
        <v/>
      </c>
      <c r="AM828" s="81">
        <f>IF(E828=$AM$6,1,"")</f>
        <v/>
      </c>
      <c r="AN828" s="81">
        <f>IF(E828=$AN$6,1,"")</f>
        <v/>
      </c>
      <c r="AO828" s="81">
        <f>IF(E828=$AO$6,1,"")</f>
        <v/>
      </c>
      <c r="AP828" s="81">
        <f>IF(E828=$AP$6,1,"")</f>
        <v/>
      </c>
      <c r="AQ828" s="81">
        <f>IF(E828=$AQ$6,1,"")</f>
        <v/>
      </c>
      <c r="AR828" s="81">
        <f>IF(E828=$AR$6,1,"")</f>
        <v/>
      </c>
      <c r="AS828" s="81" t="n"/>
    </row>
    <row r="829" ht="15.75" customHeight="1" s="80">
      <c r="A829" s="157" t="n"/>
      <c r="B829" s="124" t="n"/>
      <c r="C829" s="125" t="n"/>
      <c r="D829" s="126" t="n"/>
      <c r="E829" s="127" t="n"/>
      <c r="F829" s="128" t="n"/>
      <c r="G829" s="129">
        <f>IF(F829="","",ROUND(F829/60,2))</f>
        <v/>
      </c>
      <c r="H829" s="130" t="n"/>
      <c r="I829" s="131" t="n"/>
      <c r="J829" s="131">
        <f>IF(COUNTIF(B829:E829,"*")=0,"",IF(T829=1,"Invalid Service",IF(AND(V829=1,F829=""),"Add Session Mins",IF(AND(E829&gt;0,H829="",T829=""),"Enter Contract Rate",IF(AND(E829="IEP mtg, prep, rept",F829&gt;0),(G829*H829),IF(AND(E829&gt;0,F829&gt;0,H829&gt;0,I829=""),"Enter Travel",IF(AND(F829&gt;0,I829="Y"),(G829*H829)+$M$10,IF(AND(F829&gt;0,I829="N"),(G829*H829),H829))))))))</f>
        <v/>
      </c>
      <c r="K829" s="132">
        <f>J829</f>
        <v/>
      </c>
      <c r="L829" s="148" t="n"/>
      <c r="M829" s="148" t="n"/>
      <c r="N829" s="148" t="n"/>
      <c r="O829" s="87" t="n"/>
      <c r="P829" s="81" t="n"/>
      <c r="Q829" s="81" t="n"/>
      <c r="R829" s="81" t="n"/>
      <c r="S829" s="81" t="n"/>
      <c r="T829" s="136">
        <f>IF(AND(E829&gt;0,U829=0),1,"")</f>
        <v/>
      </c>
      <c r="U829" s="136">
        <f>SUM(X829:AR829)</f>
        <v/>
      </c>
      <c r="V829" s="136">
        <f>IF(E829=$Q$16,0,SUM(X829:AI829))</f>
        <v/>
      </c>
      <c r="W829" s="136">
        <f>SUM(AK829:AR829)</f>
        <v/>
      </c>
      <c r="X829" s="136">
        <f>IF(E829=$X$6,1,"")</f>
        <v/>
      </c>
      <c r="Y829" s="136">
        <f>IF(E829=$Y$6,1,"")</f>
        <v/>
      </c>
      <c r="Z829" s="136">
        <f>IF(E829=$Z$6,1,"")</f>
        <v/>
      </c>
      <c r="AA829" s="136">
        <f>IF(E829=$AA$6,1,"")</f>
        <v/>
      </c>
      <c r="AB829" s="136">
        <f>IF(E829=$AB$6,1,"")</f>
        <v/>
      </c>
      <c r="AC829" s="136">
        <f>IF(E829=$AC$6,1,"")</f>
        <v/>
      </c>
      <c r="AD829" s="136">
        <f>IF(E829=$AD$6,1,"")</f>
        <v/>
      </c>
      <c r="AE829" s="136">
        <f>IF(E829=$AE$6,1,"")</f>
        <v/>
      </c>
      <c r="AF829" s="136">
        <f>IF(E829=$AF$6,1,"")</f>
        <v/>
      </c>
      <c r="AG829" s="136">
        <f>IF(E829=$AG$6,1,"")</f>
        <v/>
      </c>
      <c r="AH829" s="136">
        <f>IF(E829=$AH$6,1,"")</f>
        <v/>
      </c>
      <c r="AI829" s="136">
        <f>IF(E829=$AI$6,1,"")</f>
        <v/>
      </c>
      <c r="AJ829" s="136">
        <f>IF(E829=$AJ$6,1,"")</f>
        <v/>
      </c>
      <c r="AK829" s="81">
        <f>IF(E829=$AK$6,1,"")</f>
        <v/>
      </c>
      <c r="AL829" s="81">
        <f>IF(E829=$AL$6,1,"")</f>
        <v/>
      </c>
      <c r="AM829" s="81">
        <f>IF(E829=$AM$6,1,"")</f>
        <v/>
      </c>
      <c r="AN829" s="81">
        <f>IF(E829=$AN$6,1,"")</f>
        <v/>
      </c>
      <c r="AO829" s="81">
        <f>IF(E829=$AO$6,1,"")</f>
        <v/>
      </c>
      <c r="AP829" s="81">
        <f>IF(E829=$AP$6,1,"")</f>
        <v/>
      </c>
      <c r="AQ829" s="81">
        <f>IF(E829=$AQ$6,1,"")</f>
        <v/>
      </c>
      <c r="AR829" s="81">
        <f>IF(E829=$AR$6,1,"")</f>
        <v/>
      </c>
      <c r="AS829" s="81" t="n"/>
    </row>
    <row r="830" ht="15.75" customHeight="1" s="80">
      <c r="A830" s="157" t="n"/>
      <c r="B830" s="124" t="n"/>
      <c r="C830" s="125" t="n"/>
      <c r="D830" s="126" t="n"/>
      <c r="E830" s="127" t="n"/>
      <c r="F830" s="128" t="n"/>
      <c r="G830" s="129">
        <f>IF(F830="","",ROUND(F830/60,2))</f>
        <v/>
      </c>
      <c r="H830" s="130" t="n"/>
      <c r="I830" s="131" t="n"/>
      <c r="J830" s="131">
        <f>IF(COUNTIF(B830:E830,"*")=0,"",IF(T830=1,"Invalid Service",IF(AND(V830=1,F830=""),"Add Session Mins",IF(AND(E830&gt;0,H830="",T830=""),"Enter Contract Rate",IF(AND(E830="IEP mtg, prep, rept",F830&gt;0),(G830*H830),IF(AND(E830&gt;0,F830&gt;0,H830&gt;0,I830=""),"Enter Travel",IF(AND(F830&gt;0,I830="Y"),(G830*H830)+$M$10,IF(AND(F830&gt;0,I830="N"),(G830*H830),H830))))))))</f>
        <v/>
      </c>
      <c r="K830" s="132">
        <f>J830</f>
        <v/>
      </c>
      <c r="L830" s="148" t="n"/>
      <c r="M830" s="148" t="n"/>
      <c r="N830" s="148" t="n"/>
      <c r="O830" s="87" t="n"/>
      <c r="P830" s="81" t="n"/>
      <c r="Q830" s="81" t="n"/>
      <c r="R830" s="81" t="n"/>
      <c r="S830" s="81" t="n"/>
      <c r="T830" s="136">
        <f>IF(AND(E830&gt;0,U830=0),1,"")</f>
        <v/>
      </c>
      <c r="U830" s="136">
        <f>SUM(X830:AR830)</f>
        <v/>
      </c>
      <c r="V830" s="136">
        <f>IF(E830=$Q$16,0,SUM(X830:AI830))</f>
        <v/>
      </c>
      <c r="W830" s="136">
        <f>SUM(AK830:AR830)</f>
        <v/>
      </c>
      <c r="X830" s="136">
        <f>IF(E830=$X$6,1,"")</f>
        <v/>
      </c>
      <c r="Y830" s="136">
        <f>IF(E830=$Y$6,1,"")</f>
        <v/>
      </c>
      <c r="Z830" s="136">
        <f>IF(E830=$Z$6,1,"")</f>
        <v/>
      </c>
      <c r="AA830" s="136">
        <f>IF(E830=$AA$6,1,"")</f>
        <v/>
      </c>
      <c r="AB830" s="136">
        <f>IF(E830=$AB$6,1,"")</f>
        <v/>
      </c>
      <c r="AC830" s="136">
        <f>IF(E830=$AC$6,1,"")</f>
        <v/>
      </c>
      <c r="AD830" s="136">
        <f>IF(E830=$AD$6,1,"")</f>
        <v/>
      </c>
      <c r="AE830" s="136">
        <f>IF(E830=$AE$6,1,"")</f>
        <v/>
      </c>
      <c r="AF830" s="136">
        <f>IF(E830=$AF$6,1,"")</f>
        <v/>
      </c>
      <c r="AG830" s="136">
        <f>IF(E830=$AG$6,1,"")</f>
        <v/>
      </c>
      <c r="AH830" s="136">
        <f>IF(E830=$AH$6,1,"")</f>
        <v/>
      </c>
      <c r="AI830" s="136">
        <f>IF(E830=$AI$6,1,"")</f>
        <v/>
      </c>
      <c r="AJ830" s="136">
        <f>IF(E830=$AJ$6,1,"")</f>
        <v/>
      </c>
      <c r="AK830" s="81">
        <f>IF(E830=$AK$6,1,"")</f>
        <v/>
      </c>
      <c r="AL830" s="81">
        <f>IF(E830=$AL$6,1,"")</f>
        <v/>
      </c>
      <c r="AM830" s="81">
        <f>IF(E830=$AM$6,1,"")</f>
        <v/>
      </c>
      <c r="AN830" s="81">
        <f>IF(E830=$AN$6,1,"")</f>
        <v/>
      </c>
      <c r="AO830" s="81">
        <f>IF(E830=$AO$6,1,"")</f>
        <v/>
      </c>
      <c r="AP830" s="81">
        <f>IF(E830=$AP$6,1,"")</f>
        <v/>
      </c>
      <c r="AQ830" s="81">
        <f>IF(E830=$AQ$6,1,"")</f>
        <v/>
      </c>
      <c r="AR830" s="81">
        <f>IF(E830=$AR$6,1,"")</f>
        <v/>
      </c>
      <c r="AS830" s="81" t="n"/>
    </row>
    <row r="831" ht="15.75" customHeight="1" s="80">
      <c r="A831" s="157" t="n"/>
      <c r="B831" s="124" t="n"/>
      <c r="C831" s="125" t="n"/>
      <c r="D831" s="126" t="n"/>
      <c r="E831" s="127" t="n"/>
      <c r="F831" s="128" t="n"/>
      <c r="G831" s="129">
        <f>IF(F831="","",ROUND(F831/60,2))</f>
        <v/>
      </c>
      <c r="H831" s="130" t="n"/>
      <c r="I831" s="131" t="n"/>
      <c r="J831" s="131">
        <f>IF(COUNTIF(B831:E831,"*")=0,"",IF(T831=1,"Invalid Service",IF(AND(V831=1,F831=""),"Add Session Mins",IF(AND(E831&gt;0,H831="",T831=""),"Enter Contract Rate",IF(AND(E831="IEP mtg, prep, rept",F831&gt;0),(G831*H831),IF(AND(E831&gt;0,F831&gt;0,H831&gt;0,I831=""),"Enter Travel",IF(AND(F831&gt;0,I831="Y"),(G831*H831)+$M$10,IF(AND(F831&gt;0,I831="N"),(G831*H831),H831))))))))</f>
        <v/>
      </c>
      <c r="K831" s="132">
        <f>J831</f>
        <v/>
      </c>
      <c r="L831" s="148" t="n"/>
      <c r="M831" s="148" t="n"/>
      <c r="N831" s="148" t="n"/>
      <c r="O831" s="87" t="n"/>
      <c r="P831" s="81" t="n"/>
      <c r="Q831" s="81" t="n"/>
      <c r="R831" s="81" t="n"/>
      <c r="S831" s="81" t="n"/>
      <c r="T831" s="136">
        <f>IF(AND(E831&gt;0,U831=0),1,"")</f>
        <v/>
      </c>
      <c r="U831" s="136">
        <f>SUM(X831:AR831)</f>
        <v/>
      </c>
      <c r="V831" s="136">
        <f>IF(E831=$Q$16,0,SUM(X831:AI831))</f>
        <v/>
      </c>
      <c r="W831" s="136">
        <f>SUM(AK831:AR831)</f>
        <v/>
      </c>
      <c r="X831" s="136">
        <f>IF(E831=$X$6,1,"")</f>
        <v/>
      </c>
      <c r="Y831" s="136">
        <f>IF(E831=$Y$6,1,"")</f>
        <v/>
      </c>
      <c r="Z831" s="136">
        <f>IF(E831=$Z$6,1,"")</f>
        <v/>
      </c>
      <c r="AA831" s="136">
        <f>IF(E831=$AA$6,1,"")</f>
        <v/>
      </c>
      <c r="AB831" s="136">
        <f>IF(E831=$AB$6,1,"")</f>
        <v/>
      </c>
      <c r="AC831" s="136">
        <f>IF(E831=$AC$6,1,"")</f>
        <v/>
      </c>
      <c r="AD831" s="136">
        <f>IF(E831=$AD$6,1,"")</f>
        <v/>
      </c>
      <c r="AE831" s="136">
        <f>IF(E831=$AE$6,1,"")</f>
        <v/>
      </c>
      <c r="AF831" s="136">
        <f>IF(E831=$AF$6,1,"")</f>
        <v/>
      </c>
      <c r="AG831" s="136">
        <f>IF(E831=$AG$6,1,"")</f>
        <v/>
      </c>
      <c r="AH831" s="136">
        <f>IF(E831=$AH$6,1,"")</f>
        <v/>
      </c>
      <c r="AI831" s="136">
        <f>IF(E831=$AI$6,1,"")</f>
        <v/>
      </c>
      <c r="AJ831" s="136">
        <f>IF(E831=$AJ$6,1,"")</f>
        <v/>
      </c>
      <c r="AK831" s="81">
        <f>IF(E831=$AK$6,1,"")</f>
        <v/>
      </c>
      <c r="AL831" s="81">
        <f>IF(E831=$AL$6,1,"")</f>
        <v/>
      </c>
      <c r="AM831" s="81">
        <f>IF(E831=$AM$6,1,"")</f>
        <v/>
      </c>
      <c r="AN831" s="81">
        <f>IF(E831=$AN$6,1,"")</f>
        <v/>
      </c>
      <c r="AO831" s="81">
        <f>IF(E831=$AO$6,1,"")</f>
        <v/>
      </c>
      <c r="AP831" s="81">
        <f>IF(E831=$AP$6,1,"")</f>
        <v/>
      </c>
      <c r="AQ831" s="81">
        <f>IF(E831=$AQ$6,1,"")</f>
        <v/>
      </c>
      <c r="AR831" s="81">
        <f>IF(E831=$AR$6,1,"")</f>
        <v/>
      </c>
      <c r="AS831" s="81" t="n"/>
    </row>
    <row r="832" ht="15.75" customHeight="1" s="80">
      <c r="A832" s="157" t="n"/>
      <c r="B832" s="124" t="n"/>
      <c r="C832" s="125" t="n"/>
      <c r="D832" s="126" t="n"/>
      <c r="E832" s="127" t="n"/>
      <c r="F832" s="128" t="n"/>
      <c r="G832" s="129">
        <f>IF(F832="","",ROUND(F832/60,2))</f>
        <v/>
      </c>
      <c r="H832" s="130" t="n"/>
      <c r="I832" s="131" t="n"/>
      <c r="J832" s="131">
        <f>IF(COUNTIF(B832:E832,"*")=0,"",IF(T832=1,"Invalid Service",IF(AND(V832=1,F832=""),"Add Session Mins",IF(AND(E832&gt;0,H832="",T832=""),"Enter Contract Rate",IF(AND(E832="IEP mtg, prep, rept",F832&gt;0),(G832*H832),IF(AND(E832&gt;0,F832&gt;0,H832&gt;0,I832=""),"Enter Travel",IF(AND(F832&gt;0,I832="Y"),(G832*H832)+$M$10,IF(AND(F832&gt;0,I832="N"),(G832*H832),H832))))))))</f>
        <v/>
      </c>
      <c r="K832" s="132">
        <f>J832</f>
        <v/>
      </c>
      <c r="L832" s="148" t="n"/>
      <c r="M832" s="148" t="n"/>
      <c r="N832" s="148" t="n"/>
      <c r="O832" s="87" t="n"/>
      <c r="P832" s="81" t="n"/>
      <c r="Q832" s="81" t="n"/>
      <c r="R832" s="81" t="n"/>
      <c r="S832" s="81" t="n"/>
      <c r="T832" s="136">
        <f>IF(AND(E832&gt;0,U832=0),1,"")</f>
        <v/>
      </c>
      <c r="U832" s="136">
        <f>SUM(X832:AR832)</f>
        <v/>
      </c>
      <c r="V832" s="136">
        <f>IF(E832=$Q$16,0,SUM(X832:AI832))</f>
        <v/>
      </c>
      <c r="W832" s="136">
        <f>SUM(AK832:AR832)</f>
        <v/>
      </c>
      <c r="X832" s="136">
        <f>IF(E832=$X$6,1,"")</f>
        <v/>
      </c>
      <c r="Y832" s="136">
        <f>IF(E832=$Y$6,1,"")</f>
        <v/>
      </c>
      <c r="Z832" s="136">
        <f>IF(E832=$Z$6,1,"")</f>
        <v/>
      </c>
      <c r="AA832" s="136">
        <f>IF(E832=$AA$6,1,"")</f>
        <v/>
      </c>
      <c r="AB832" s="136">
        <f>IF(E832=$AB$6,1,"")</f>
        <v/>
      </c>
      <c r="AC832" s="136">
        <f>IF(E832=$AC$6,1,"")</f>
        <v/>
      </c>
      <c r="AD832" s="136">
        <f>IF(E832=$AD$6,1,"")</f>
        <v/>
      </c>
      <c r="AE832" s="136">
        <f>IF(E832=$AE$6,1,"")</f>
        <v/>
      </c>
      <c r="AF832" s="136">
        <f>IF(E832=$AF$6,1,"")</f>
        <v/>
      </c>
      <c r="AG832" s="136">
        <f>IF(E832=$AG$6,1,"")</f>
        <v/>
      </c>
      <c r="AH832" s="136">
        <f>IF(E832=$AH$6,1,"")</f>
        <v/>
      </c>
      <c r="AI832" s="136">
        <f>IF(E832=$AI$6,1,"")</f>
        <v/>
      </c>
      <c r="AJ832" s="136">
        <f>IF(E832=$AJ$6,1,"")</f>
        <v/>
      </c>
      <c r="AK832" s="81">
        <f>IF(E832=$AK$6,1,"")</f>
        <v/>
      </c>
      <c r="AL832" s="81">
        <f>IF(E832=$AL$6,1,"")</f>
        <v/>
      </c>
      <c r="AM832" s="81">
        <f>IF(E832=$AM$6,1,"")</f>
        <v/>
      </c>
      <c r="AN832" s="81">
        <f>IF(E832=$AN$6,1,"")</f>
        <v/>
      </c>
      <c r="AO832" s="81">
        <f>IF(E832=$AO$6,1,"")</f>
        <v/>
      </c>
      <c r="AP832" s="81">
        <f>IF(E832=$AP$6,1,"")</f>
        <v/>
      </c>
      <c r="AQ832" s="81">
        <f>IF(E832=$AQ$6,1,"")</f>
        <v/>
      </c>
      <c r="AR832" s="81">
        <f>IF(E832=$AR$6,1,"")</f>
        <v/>
      </c>
      <c r="AS832" s="81" t="n"/>
    </row>
    <row r="833" ht="15.75" customHeight="1" s="80">
      <c r="A833" s="157" t="n"/>
      <c r="B833" s="124" t="n"/>
      <c r="C833" s="125" t="n"/>
      <c r="D833" s="126" t="n"/>
      <c r="E833" s="127" t="n"/>
      <c r="F833" s="128" t="n"/>
      <c r="G833" s="129">
        <f>IF(F833="","",ROUND(F833/60,2))</f>
        <v/>
      </c>
      <c r="H833" s="130" t="n"/>
      <c r="I833" s="131" t="n"/>
      <c r="J833" s="131">
        <f>IF(COUNTIF(B833:E833,"*")=0,"",IF(T833=1,"Invalid Service",IF(AND(V833=1,F833=""),"Add Session Mins",IF(AND(E833&gt;0,H833="",T833=""),"Enter Contract Rate",IF(AND(E833="IEP mtg, prep, rept",F833&gt;0),(G833*H833),IF(AND(E833&gt;0,F833&gt;0,H833&gt;0,I833=""),"Enter Travel",IF(AND(F833&gt;0,I833="Y"),(G833*H833)+$M$10,IF(AND(F833&gt;0,I833="N"),(G833*H833),H833))))))))</f>
        <v/>
      </c>
      <c r="K833" s="132">
        <f>J833</f>
        <v/>
      </c>
      <c r="L833" s="148" t="n"/>
      <c r="M833" s="148" t="n"/>
      <c r="N833" s="148" t="n"/>
      <c r="O833" s="87" t="n"/>
      <c r="P833" s="81" t="n"/>
      <c r="Q833" s="81" t="n"/>
      <c r="R833" s="81" t="n"/>
      <c r="S833" s="81" t="n"/>
      <c r="T833" s="136">
        <f>IF(AND(E833&gt;0,U833=0),1,"")</f>
        <v/>
      </c>
      <c r="U833" s="136">
        <f>SUM(X833:AR833)</f>
        <v/>
      </c>
      <c r="V833" s="136">
        <f>IF(E833=$Q$16,0,SUM(X833:AI833))</f>
        <v/>
      </c>
      <c r="W833" s="136">
        <f>SUM(AK833:AR833)</f>
        <v/>
      </c>
      <c r="X833" s="136">
        <f>IF(E833=$X$6,1,"")</f>
        <v/>
      </c>
      <c r="Y833" s="136">
        <f>IF(E833=$Y$6,1,"")</f>
        <v/>
      </c>
      <c r="Z833" s="136">
        <f>IF(E833=$Z$6,1,"")</f>
        <v/>
      </c>
      <c r="AA833" s="136">
        <f>IF(E833=$AA$6,1,"")</f>
        <v/>
      </c>
      <c r="AB833" s="136">
        <f>IF(E833=$AB$6,1,"")</f>
        <v/>
      </c>
      <c r="AC833" s="136">
        <f>IF(E833=$AC$6,1,"")</f>
        <v/>
      </c>
      <c r="AD833" s="136">
        <f>IF(E833=$AD$6,1,"")</f>
        <v/>
      </c>
      <c r="AE833" s="136">
        <f>IF(E833=$AE$6,1,"")</f>
        <v/>
      </c>
      <c r="AF833" s="136">
        <f>IF(E833=$AF$6,1,"")</f>
        <v/>
      </c>
      <c r="AG833" s="136">
        <f>IF(E833=$AG$6,1,"")</f>
        <v/>
      </c>
      <c r="AH833" s="136">
        <f>IF(E833=$AH$6,1,"")</f>
        <v/>
      </c>
      <c r="AI833" s="136">
        <f>IF(E833=$AI$6,1,"")</f>
        <v/>
      </c>
      <c r="AJ833" s="136">
        <f>IF(E833=$AJ$6,1,"")</f>
        <v/>
      </c>
      <c r="AK833" s="81">
        <f>IF(E833=$AK$6,1,"")</f>
        <v/>
      </c>
      <c r="AL833" s="81">
        <f>IF(E833=$AL$6,1,"")</f>
        <v/>
      </c>
      <c r="AM833" s="81">
        <f>IF(E833=$AM$6,1,"")</f>
        <v/>
      </c>
      <c r="AN833" s="81">
        <f>IF(E833=$AN$6,1,"")</f>
        <v/>
      </c>
      <c r="AO833" s="81">
        <f>IF(E833=$AO$6,1,"")</f>
        <v/>
      </c>
      <c r="AP833" s="81">
        <f>IF(E833=$AP$6,1,"")</f>
        <v/>
      </c>
      <c r="AQ833" s="81">
        <f>IF(E833=$AQ$6,1,"")</f>
        <v/>
      </c>
      <c r="AR833" s="81">
        <f>IF(E833=$AR$6,1,"")</f>
        <v/>
      </c>
      <c r="AS833" s="81" t="n"/>
    </row>
    <row r="834" ht="15.75" customHeight="1" s="80">
      <c r="A834" s="157" t="n"/>
      <c r="B834" s="124" t="n"/>
      <c r="C834" s="125" t="n"/>
      <c r="D834" s="126" t="n"/>
      <c r="E834" s="127" t="n"/>
      <c r="F834" s="128" t="n"/>
      <c r="G834" s="129">
        <f>IF(F834="","",ROUND(F834/60,2))</f>
        <v/>
      </c>
      <c r="H834" s="130" t="n"/>
      <c r="I834" s="131" t="n"/>
      <c r="J834" s="131">
        <f>IF(COUNTIF(B834:E834,"*")=0,"",IF(T834=1,"Invalid Service",IF(AND(V834=1,F834=""),"Add Session Mins",IF(AND(E834&gt;0,H834="",T834=""),"Enter Contract Rate",IF(AND(E834="IEP mtg, prep, rept",F834&gt;0),(G834*H834),IF(AND(E834&gt;0,F834&gt;0,H834&gt;0,I834=""),"Enter Travel",IF(AND(F834&gt;0,I834="Y"),(G834*H834)+$M$10,IF(AND(F834&gt;0,I834="N"),(G834*H834),H834))))))))</f>
        <v/>
      </c>
      <c r="K834" s="132">
        <f>J834</f>
        <v/>
      </c>
      <c r="L834" s="148" t="n"/>
      <c r="M834" s="148" t="n"/>
      <c r="N834" s="148" t="n"/>
      <c r="O834" s="87" t="n"/>
      <c r="P834" s="81" t="n"/>
      <c r="Q834" s="81" t="n"/>
      <c r="R834" s="81" t="n"/>
      <c r="S834" s="81" t="n"/>
      <c r="T834" s="136">
        <f>IF(AND(E834&gt;0,U834=0),1,"")</f>
        <v/>
      </c>
      <c r="U834" s="136">
        <f>SUM(X834:AR834)</f>
        <v/>
      </c>
      <c r="V834" s="136">
        <f>IF(E834=$Q$16,0,SUM(X834:AI834))</f>
        <v/>
      </c>
      <c r="W834" s="136">
        <f>SUM(AK834:AR834)</f>
        <v/>
      </c>
      <c r="X834" s="136">
        <f>IF(E834=$X$6,1,"")</f>
        <v/>
      </c>
      <c r="Y834" s="136">
        <f>IF(E834=$Y$6,1,"")</f>
        <v/>
      </c>
      <c r="Z834" s="136">
        <f>IF(E834=$Z$6,1,"")</f>
        <v/>
      </c>
      <c r="AA834" s="136">
        <f>IF(E834=$AA$6,1,"")</f>
        <v/>
      </c>
      <c r="AB834" s="136">
        <f>IF(E834=$AB$6,1,"")</f>
        <v/>
      </c>
      <c r="AC834" s="136">
        <f>IF(E834=$AC$6,1,"")</f>
        <v/>
      </c>
      <c r="AD834" s="136">
        <f>IF(E834=$AD$6,1,"")</f>
        <v/>
      </c>
      <c r="AE834" s="136">
        <f>IF(E834=$AE$6,1,"")</f>
        <v/>
      </c>
      <c r="AF834" s="136">
        <f>IF(E834=$AF$6,1,"")</f>
        <v/>
      </c>
      <c r="AG834" s="136">
        <f>IF(E834=$AG$6,1,"")</f>
        <v/>
      </c>
      <c r="AH834" s="136">
        <f>IF(E834=$AH$6,1,"")</f>
        <v/>
      </c>
      <c r="AI834" s="136">
        <f>IF(E834=$AI$6,1,"")</f>
        <v/>
      </c>
      <c r="AJ834" s="136">
        <f>IF(E834=$AJ$6,1,"")</f>
        <v/>
      </c>
      <c r="AK834" s="81">
        <f>IF(E834=$AK$6,1,"")</f>
        <v/>
      </c>
      <c r="AL834" s="81">
        <f>IF(E834=$AL$6,1,"")</f>
        <v/>
      </c>
      <c r="AM834" s="81">
        <f>IF(E834=$AM$6,1,"")</f>
        <v/>
      </c>
      <c r="AN834" s="81">
        <f>IF(E834=$AN$6,1,"")</f>
        <v/>
      </c>
      <c r="AO834" s="81">
        <f>IF(E834=$AO$6,1,"")</f>
        <v/>
      </c>
      <c r="AP834" s="81">
        <f>IF(E834=$AP$6,1,"")</f>
        <v/>
      </c>
      <c r="AQ834" s="81">
        <f>IF(E834=$AQ$6,1,"")</f>
        <v/>
      </c>
      <c r="AR834" s="81">
        <f>IF(E834=$AR$6,1,"")</f>
        <v/>
      </c>
      <c r="AS834" s="81" t="n"/>
    </row>
    <row r="835" ht="15.75" customHeight="1" s="80">
      <c r="A835" s="157" t="n"/>
      <c r="B835" s="124" t="n"/>
      <c r="C835" s="125" t="n"/>
      <c r="D835" s="126" t="n"/>
      <c r="E835" s="127" t="n"/>
      <c r="F835" s="128" t="n"/>
      <c r="G835" s="129">
        <f>IF(F835="","",ROUND(F835/60,2))</f>
        <v/>
      </c>
      <c r="H835" s="130" t="n"/>
      <c r="I835" s="131" t="n"/>
      <c r="J835" s="131">
        <f>IF(COUNTIF(B835:E835,"*")=0,"",IF(T835=1,"Invalid Service",IF(AND(V835=1,F835=""),"Add Session Mins",IF(AND(E835&gt;0,H835="",T835=""),"Enter Contract Rate",IF(AND(E835="IEP mtg, prep, rept",F835&gt;0),(G835*H835),IF(AND(E835&gt;0,F835&gt;0,H835&gt;0,I835=""),"Enter Travel",IF(AND(F835&gt;0,I835="Y"),(G835*H835)+$M$10,IF(AND(F835&gt;0,I835="N"),(G835*H835),H835))))))))</f>
        <v/>
      </c>
      <c r="K835" s="132">
        <f>J835</f>
        <v/>
      </c>
      <c r="L835" s="148" t="n"/>
      <c r="M835" s="148" t="n"/>
      <c r="N835" s="148" t="n"/>
      <c r="O835" s="87" t="n"/>
      <c r="P835" s="81" t="n"/>
      <c r="Q835" s="81" t="n"/>
      <c r="R835" s="81" t="n"/>
      <c r="S835" s="81" t="n"/>
      <c r="T835" s="136">
        <f>IF(AND(E835&gt;0,U835=0),1,"")</f>
        <v/>
      </c>
      <c r="U835" s="136">
        <f>SUM(X835:AR835)</f>
        <v/>
      </c>
      <c r="V835" s="136">
        <f>IF(E835=$Q$16,0,SUM(X835:AI835))</f>
        <v/>
      </c>
      <c r="W835" s="136">
        <f>SUM(AK835:AR835)</f>
        <v/>
      </c>
      <c r="X835" s="136">
        <f>IF(E835=$X$6,1,"")</f>
        <v/>
      </c>
      <c r="Y835" s="136">
        <f>IF(E835=$Y$6,1,"")</f>
        <v/>
      </c>
      <c r="Z835" s="136">
        <f>IF(E835=$Z$6,1,"")</f>
        <v/>
      </c>
      <c r="AA835" s="136">
        <f>IF(E835=$AA$6,1,"")</f>
        <v/>
      </c>
      <c r="AB835" s="136">
        <f>IF(E835=$AB$6,1,"")</f>
        <v/>
      </c>
      <c r="AC835" s="136">
        <f>IF(E835=$AC$6,1,"")</f>
        <v/>
      </c>
      <c r="AD835" s="136">
        <f>IF(E835=$AD$6,1,"")</f>
        <v/>
      </c>
      <c r="AE835" s="136">
        <f>IF(E835=$AE$6,1,"")</f>
        <v/>
      </c>
      <c r="AF835" s="136">
        <f>IF(E835=$AF$6,1,"")</f>
        <v/>
      </c>
      <c r="AG835" s="136">
        <f>IF(E835=$AG$6,1,"")</f>
        <v/>
      </c>
      <c r="AH835" s="136">
        <f>IF(E835=$AH$6,1,"")</f>
        <v/>
      </c>
      <c r="AI835" s="136">
        <f>IF(E835=$AI$6,1,"")</f>
        <v/>
      </c>
      <c r="AJ835" s="136">
        <f>IF(E835=$AJ$6,1,"")</f>
        <v/>
      </c>
      <c r="AK835" s="81">
        <f>IF(E835=$AK$6,1,"")</f>
        <v/>
      </c>
      <c r="AL835" s="81">
        <f>IF(E835=$AL$6,1,"")</f>
        <v/>
      </c>
      <c r="AM835" s="81">
        <f>IF(E835=$AM$6,1,"")</f>
        <v/>
      </c>
      <c r="AN835" s="81">
        <f>IF(E835=$AN$6,1,"")</f>
        <v/>
      </c>
      <c r="AO835" s="81">
        <f>IF(E835=$AO$6,1,"")</f>
        <v/>
      </c>
      <c r="AP835" s="81">
        <f>IF(E835=$AP$6,1,"")</f>
        <v/>
      </c>
      <c r="AQ835" s="81">
        <f>IF(E835=$AQ$6,1,"")</f>
        <v/>
      </c>
      <c r="AR835" s="81">
        <f>IF(E835=$AR$6,1,"")</f>
        <v/>
      </c>
      <c r="AS835" s="81" t="n"/>
    </row>
    <row r="836" ht="15.75" customHeight="1" s="80">
      <c r="A836" s="157" t="n"/>
      <c r="B836" s="124" t="n"/>
      <c r="C836" s="125" t="n"/>
      <c r="D836" s="126" t="n"/>
      <c r="E836" s="127" t="n"/>
      <c r="F836" s="128" t="n"/>
      <c r="G836" s="129">
        <f>IF(F836="","",ROUND(F836/60,2))</f>
        <v/>
      </c>
      <c r="H836" s="130" t="n"/>
      <c r="I836" s="131" t="n"/>
      <c r="J836" s="131">
        <f>IF(COUNTIF(B836:E836,"*")=0,"",IF(T836=1,"Invalid Service",IF(AND(V836=1,F836=""),"Add Session Mins",IF(AND(E836&gt;0,H836="",T836=""),"Enter Contract Rate",IF(AND(E836="IEP mtg, prep, rept",F836&gt;0),(G836*H836),IF(AND(E836&gt;0,F836&gt;0,H836&gt;0,I836=""),"Enter Travel",IF(AND(F836&gt;0,I836="Y"),(G836*H836)+$M$10,IF(AND(F836&gt;0,I836="N"),(G836*H836),H836))))))))</f>
        <v/>
      </c>
      <c r="K836" s="132">
        <f>J836</f>
        <v/>
      </c>
      <c r="L836" s="148" t="n"/>
      <c r="M836" s="148" t="n"/>
      <c r="N836" s="148" t="n"/>
      <c r="O836" s="87" t="n"/>
      <c r="P836" s="81" t="n"/>
      <c r="Q836" s="81" t="n"/>
      <c r="R836" s="81" t="n"/>
      <c r="S836" s="81" t="n"/>
      <c r="T836" s="136">
        <f>IF(AND(E836&gt;0,U836=0),1,"")</f>
        <v/>
      </c>
      <c r="U836" s="136">
        <f>SUM(X836:AR836)</f>
        <v/>
      </c>
      <c r="V836" s="136">
        <f>IF(E836=$Q$16,0,SUM(X836:AI836))</f>
        <v/>
      </c>
      <c r="W836" s="136">
        <f>SUM(AK836:AR836)</f>
        <v/>
      </c>
      <c r="X836" s="136">
        <f>IF(E836=$X$6,1,"")</f>
        <v/>
      </c>
      <c r="Y836" s="136">
        <f>IF(E836=$Y$6,1,"")</f>
        <v/>
      </c>
      <c r="Z836" s="136">
        <f>IF(E836=$Z$6,1,"")</f>
        <v/>
      </c>
      <c r="AA836" s="136">
        <f>IF(E836=$AA$6,1,"")</f>
        <v/>
      </c>
      <c r="AB836" s="136">
        <f>IF(E836=$AB$6,1,"")</f>
        <v/>
      </c>
      <c r="AC836" s="136">
        <f>IF(E836=$AC$6,1,"")</f>
        <v/>
      </c>
      <c r="AD836" s="136">
        <f>IF(E836=$AD$6,1,"")</f>
        <v/>
      </c>
      <c r="AE836" s="136">
        <f>IF(E836=$AE$6,1,"")</f>
        <v/>
      </c>
      <c r="AF836" s="136">
        <f>IF(E836=$AF$6,1,"")</f>
        <v/>
      </c>
      <c r="AG836" s="136">
        <f>IF(E836=$AG$6,1,"")</f>
        <v/>
      </c>
      <c r="AH836" s="136">
        <f>IF(E836=$AH$6,1,"")</f>
        <v/>
      </c>
      <c r="AI836" s="136">
        <f>IF(E836=$AI$6,1,"")</f>
        <v/>
      </c>
      <c r="AJ836" s="136">
        <f>IF(E836=$AJ$6,1,"")</f>
        <v/>
      </c>
      <c r="AK836" s="81">
        <f>IF(E836=$AK$6,1,"")</f>
        <v/>
      </c>
      <c r="AL836" s="81">
        <f>IF(E836=$AL$6,1,"")</f>
        <v/>
      </c>
      <c r="AM836" s="81">
        <f>IF(E836=$AM$6,1,"")</f>
        <v/>
      </c>
      <c r="AN836" s="81">
        <f>IF(E836=$AN$6,1,"")</f>
        <v/>
      </c>
      <c r="AO836" s="81">
        <f>IF(E836=$AO$6,1,"")</f>
        <v/>
      </c>
      <c r="AP836" s="81">
        <f>IF(E836=$AP$6,1,"")</f>
        <v/>
      </c>
      <c r="AQ836" s="81">
        <f>IF(E836=$AQ$6,1,"")</f>
        <v/>
      </c>
      <c r="AR836" s="81">
        <f>IF(E836=$AR$6,1,"")</f>
        <v/>
      </c>
      <c r="AS836" s="81" t="n"/>
    </row>
    <row r="837" ht="15.75" customHeight="1" s="80">
      <c r="A837" s="157" t="n"/>
      <c r="B837" s="124" t="n"/>
      <c r="C837" s="125" t="n"/>
      <c r="D837" s="126" t="n"/>
      <c r="E837" s="127" t="n"/>
      <c r="F837" s="128" t="n"/>
      <c r="G837" s="129">
        <f>IF(F837="","",ROUND(F837/60,2))</f>
        <v/>
      </c>
      <c r="H837" s="130" t="n"/>
      <c r="I837" s="131" t="n"/>
      <c r="J837" s="131">
        <f>IF(COUNTIF(B837:E837,"*")=0,"",IF(T837=1,"Invalid Service",IF(AND(V837=1,F837=""),"Add Session Mins",IF(AND(E837&gt;0,H837="",T837=""),"Enter Contract Rate",IF(AND(E837="IEP mtg, prep, rept",F837&gt;0),(G837*H837),IF(AND(E837&gt;0,F837&gt;0,H837&gt;0,I837=""),"Enter Travel",IF(AND(F837&gt;0,I837="Y"),(G837*H837)+$M$10,IF(AND(F837&gt;0,I837="N"),(G837*H837),H837))))))))</f>
        <v/>
      </c>
      <c r="K837" s="132">
        <f>J837</f>
        <v/>
      </c>
      <c r="L837" s="148" t="n"/>
      <c r="M837" s="148" t="n"/>
      <c r="N837" s="148" t="n"/>
      <c r="O837" s="87" t="n"/>
      <c r="P837" s="81" t="n"/>
      <c r="Q837" s="81" t="n"/>
      <c r="R837" s="81" t="n"/>
      <c r="S837" s="81" t="n"/>
      <c r="T837" s="136">
        <f>IF(AND(E837&gt;0,U837=0),1,"")</f>
        <v/>
      </c>
      <c r="U837" s="136">
        <f>SUM(X837:AR837)</f>
        <v/>
      </c>
      <c r="V837" s="136">
        <f>IF(E837=$Q$16,0,SUM(X837:AI837))</f>
        <v/>
      </c>
      <c r="W837" s="136">
        <f>SUM(AK837:AR837)</f>
        <v/>
      </c>
      <c r="X837" s="136">
        <f>IF(E837=$X$6,1,"")</f>
        <v/>
      </c>
      <c r="Y837" s="136">
        <f>IF(E837=$Y$6,1,"")</f>
        <v/>
      </c>
      <c r="Z837" s="136">
        <f>IF(E837=$Z$6,1,"")</f>
        <v/>
      </c>
      <c r="AA837" s="136">
        <f>IF(E837=$AA$6,1,"")</f>
        <v/>
      </c>
      <c r="AB837" s="136">
        <f>IF(E837=$AB$6,1,"")</f>
        <v/>
      </c>
      <c r="AC837" s="136">
        <f>IF(E837=$AC$6,1,"")</f>
        <v/>
      </c>
      <c r="AD837" s="136">
        <f>IF(E837=$AD$6,1,"")</f>
        <v/>
      </c>
      <c r="AE837" s="136">
        <f>IF(E837=$AE$6,1,"")</f>
        <v/>
      </c>
      <c r="AF837" s="136">
        <f>IF(E837=$AF$6,1,"")</f>
        <v/>
      </c>
      <c r="AG837" s="136">
        <f>IF(E837=$AG$6,1,"")</f>
        <v/>
      </c>
      <c r="AH837" s="136">
        <f>IF(E837=$AH$6,1,"")</f>
        <v/>
      </c>
      <c r="AI837" s="136">
        <f>IF(E837=$AI$6,1,"")</f>
        <v/>
      </c>
      <c r="AJ837" s="136">
        <f>IF(E837=$AJ$6,1,"")</f>
        <v/>
      </c>
      <c r="AK837" s="81">
        <f>IF(E837=$AK$6,1,"")</f>
        <v/>
      </c>
      <c r="AL837" s="81">
        <f>IF(E837=$AL$6,1,"")</f>
        <v/>
      </c>
      <c r="AM837" s="81">
        <f>IF(E837=$AM$6,1,"")</f>
        <v/>
      </c>
      <c r="AN837" s="81">
        <f>IF(E837=$AN$6,1,"")</f>
        <v/>
      </c>
      <c r="AO837" s="81">
        <f>IF(E837=$AO$6,1,"")</f>
        <v/>
      </c>
      <c r="AP837" s="81">
        <f>IF(E837=$AP$6,1,"")</f>
        <v/>
      </c>
      <c r="AQ837" s="81">
        <f>IF(E837=$AQ$6,1,"")</f>
        <v/>
      </c>
      <c r="AR837" s="81">
        <f>IF(E837=$AR$6,1,"")</f>
        <v/>
      </c>
      <c r="AS837" s="81" t="n"/>
    </row>
    <row r="838" ht="15.75" customHeight="1" s="80">
      <c r="A838" s="157" t="n"/>
      <c r="B838" s="124" t="n"/>
      <c r="C838" s="125" t="n"/>
      <c r="D838" s="126" t="n"/>
      <c r="E838" s="127" t="n"/>
      <c r="F838" s="128" t="n"/>
      <c r="G838" s="129">
        <f>IF(F838="","",ROUND(F838/60,2))</f>
        <v/>
      </c>
      <c r="H838" s="130" t="n"/>
      <c r="I838" s="131" t="n"/>
      <c r="J838" s="131">
        <f>IF(COUNTIF(B838:E838,"*")=0,"",IF(T838=1,"Invalid Service",IF(AND(V838=1,F838=""),"Add Session Mins",IF(AND(E838&gt;0,H838="",T838=""),"Enter Contract Rate",IF(AND(E838="IEP mtg, prep, rept",F838&gt;0),(G838*H838),IF(AND(E838&gt;0,F838&gt;0,H838&gt;0,I838=""),"Enter Travel",IF(AND(F838&gt;0,I838="Y"),(G838*H838)+$M$10,IF(AND(F838&gt;0,I838="N"),(G838*H838),H838))))))))</f>
        <v/>
      </c>
      <c r="K838" s="132">
        <f>J838</f>
        <v/>
      </c>
      <c r="L838" s="148" t="n"/>
      <c r="M838" s="148" t="n"/>
      <c r="N838" s="148" t="n"/>
      <c r="O838" s="87" t="n"/>
      <c r="P838" s="81" t="n"/>
      <c r="Q838" s="81" t="n"/>
      <c r="R838" s="81" t="n"/>
      <c r="S838" s="81" t="n"/>
      <c r="T838" s="136">
        <f>IF(AND(E838&gt;0,U838=0),1,"")</f>
        <v/>
      </c>
      <c r="U838" s="136">
        <f>SUM(X838:AR838)</f>
        <v/>
      </c>
      <c r="V838" s="136">
        <f>IF(E838=$Q$16,0,SUM(X838:AI838))</f>
        <v/>
      </c>
      <c r="W838" s="136">
        <f>SUM(AK838:AR838)</f>
        <v/>
      </c>
      <c r="X838" s="136">
        <f>IF(E838=$X$6,1,"")</f>
        <v/>
      </c>
      <c r="Y838" s="136">
        <f>IF(E838=$Y$6,1,"")</f>
        <v/>
      </c>
      <c r="Z838" s="136">
        <f>IF(E838=$Z$6,1,"")</f>
        <v/>
      </c>
      <c r="AA838" s="136">
        <f>IF(E838=$AA$6,1,"")</f>
        <v/>
      </c>
      <c r="AB838" s="136">
        <f>IF(E838=$AB$6,1,"")</f>
        <v/>
      </c>
      <c r="AC838" s="136">
        <f>IF(E838=$AC$6,1,"")</f>
        <v/>
      </c>
      <c r="AD838" s="136">
        <f>IF(E838=$AD$6,1,"")</f>
        <v/>
      </c>
      <c r="AE838" s="136">
        <f>IF(E838=$AE$6,1,"")</f>
        <v/>
      </c>
      <c r="AF838" s="136">
        <f>IF(E838=$AF$6,1,"")</f>
        <v/>
      </c>
      <c r="AG838" s="136">
        <f>IF(E838=$AG$6,1,"")</f>
        <v/>
      </c>
      <c r="AH838" s="136">
        <f>IF(E838=$AH$6,1,"")</f>
        <v/>
      </c>
      <c r="AI838" s="136">
        <f>IF(E838=$AI$6,1,"")</f>
        <v/>
      </c>
      <c r="AJ838" s="136">
        <f>IF(E838=$AJ$6,1,"")</f>
        <v/>
      </c>
      <c r="AK838" s="81">
        <f>IF(E838=$AK$6,1,"")</f>
        <v/>
      </c>
      <c r="AL838" s="81">
        <f>IF(E838=$AL$6,1,"")</f>
        <v/>
      </c>
      <c r="AM838" s="81">
        <f>IF(E838=$AM$6,1,"")</f>
        <v/>
      </c>
      <c r="AN838" s="81">
        <f>IF(E838=$AN$6,1,"")</f>
        <v/>
      </c>
      <c r="AO838" s="81">
        <f>IF(E838=$AO$6,1,"")</f>
        <v/>
      </c>
      <c r="AP838" s="81">
        <f>IF(E838=$AP$6,1,"")</f>
        <v/>
      </c>
      <c r="AQ838" s="81">
        <f>IF(E838=$AQ$6,1,"")</f>
        <v/>
      </c>
      <c r="AR838" s="81">
        <f>IF(E838=$AR$6,1,"")</f>
        <v/>
      </c>
      <c r="AS838" s="81" t="n"/>
    </row>
    <row r="839" ht="15.75" customHeight="1" s="80">
      <c r="A839" s="157" t="n"/>
      <c r="B839" s="124" t="n"/>
      <c r="C839" s="125" t="n"/>
      <c r="D839" s="126" t="n"/>
      <c r="E839" s="127" t="n"/>
      <c r="F839" s="128" t="n"/>
      <c r="G839" s="129">
        <f>IF(F839="","",ROUND(F839/60,2))</f>
        <v/>
      </c>
      <c r="H839" s="130" t="n"/>
      <c r="I839" s="131" t="n"/>
      <c r="J839" s="131">
        <f>IF(COUNTIF(B839:E839,"*")=0,"",IF(T839=1,"Invalid Service",IF(AND(V839=1,F839=""),"Add Session Mins",IF(AND(E839&gt;0,H839="",T839=""),"Enter Contract Rate",IF(AND(E839="IEP mtg, prep, rept",F839&gt;0),(G839*H839),IF(AND(E839&gt;0,F839&gt;0,H839&gt;0,I839=""),"Enter Travel",IF(AND(F839&gt;0,I839="Y"),(G839*H839)+$M$10,IF(AND(F839&gt;0,I839="N"),(G839*H839),H839))))))))</f>
        <v/>
      </c>
      <c r="K839" s="132">
        <f>J839</f>
        <v/>
      </c>
      <c r="L839" s="148" t="n"/>
      <c r="M839" s="148" t="n"/>
      <c r="N839" s="148" t="n"/>
      <c r="O839" s="87" t="n"/>
      <c r="P839" s="81" t="n"/>
      <c r="Q839" s="81" t="n"/>
      <c r="R839" s="81" t="n"/>
      <c r="S839" s="81" t="n"/>
      <c r="T839" s="136">
        <f>IF(AND(E839&gt;0,U839=0),1,"")</f>
        <v/>
      </c>
      <c r="U839" s="136">
        <f>SUM(X839:AR839)</f>
        <v/>
      </c>
      <c r="V839" s="136">
        <f>IF(E839=$Q$16,0,SUM(X839:AI839))</f>
        <v/>
      </c>
      <c r="W839" s="136">
        <f>SUM(AK839:AR839)</f>
        <v/>
      </c>
      <c r="X839" s="136">
        <f>IF(E839=$X$6,1,"")</f>
        <v/>
      </c>
      <c r="Y839" s="136">
        <f>IF(E839=$Y$6,1,"")</f>
        <v/>
      </c>
      <c r="Z839" s="136">
        <f>IF(E839=$Z$6,1,"")</f>
        <v/>
      </c>
      <c r="AA839" s="136">
        <f>IF(E839=$AA$6,1,"")</f>
        <v/>
      </c>
      <c r="AB839" s="136">
        <f>IF(E839=$AB$6,1,"")</f>
        <v/>
      </c>
      <c r="AC839" s="136">
        <f>IF(E839=$AC$6,1,"")</f>
        <v/>
      </c>
      <c r="AD839" s="136">
        <f>IF(E839=$AD$6,1,"")</f>
        <v/>
      </c>
      <c r="AE839" s="136">
        <f>IF(E839=$AE$6,1,"")</f>
        <v/>
      </c>
      <c r="AF839" s="136">
        <f>IF(E839=$AF$6,1,"")</f>
        <v/>
      </c>
      <c r="AG839" s="136">
        <f>IF(E839=$AG$6,1,"")</f>
        <v/>
      </c>
      <c r="AH839" s="136">
        <f>IF(E839=$AH$6,1,"")</f>
        <v/>
      </c>
      <c r="AI839" s="136">
        <f>IF(E839=$AI$6,1,"")</f>
        <v/>
      </c>
      <c r="AJ839" s="136">
        <f>IF(E839=$AJ$6,1,"")</f>
        <v/>
      </c>
      <c r="AK839" s="81">
        <f>IF(E839=$AK$6,1,"")</f>
        <v/>
      </c>
      <c r="AL839" s="81">
        <f>IF(E839=$AL$6,1,"")</f>
        <v/>
      </c>
      <c r="AM839" s="81">
        <f>IF(E839=$AM$6,1,"")</f>
        <v/>
      </c>
      <c r="AN839" s="81">
        <f>IF(E839=$AN$6,1,"")</f>
        <v/>
      </c>
      <c r="AO839" s="81">
        <f>IF(E839=$AO$6,1,"")</f>
        <v/>
      </c>
      <c r="AP839" s="81">
        <f>IF(E839=$AP$6,1,"")</f>
        <v/>
      </c>
      <c r="AQ839" s="81">
        <f>IF(E839=$AQ$6,1,"")</f>
        <v/>
      </c>
      <c r="AR839" s="81">
        <f>IF(E839=$AR$6,1,"")</f>
        <v/>
      </c>
      <c r="AS839" s="81" t="n"/>
    </row>
    <row r="840" ht="15.75" customHeight="1" s="80">
      <c r="A840" s="157" t="n"/>
      <c r="B840" s="124" t="n"/>
      <c r="C840" s="125" t="n"/>
      <c r="D840" s="126" t="n"/>
      <c r="E840" s="127" t="n"/>
      <c r="F840" s="128" t="n"/>
      <c r="G840" s="129">
        <f>IF(F840="","",ROUND(F840/60,2))</f>
        <v/>
      </c>
      <c r="H840" s="130" t="n"/>
      <c r="I840" s="131" t="n"/>
      <c r="J840" s="131">
        <f>IF(COUNTIF(B840:E840,"*")=0,"",IF(T840=1,"Invalid Service",IF(AND(V840=1,F840=""),"Add Session Mins",IF(AND(E840&gt;0,H840="",T840=""),"Enter Contract Rate",IF(AND(E840="IEP mtg, prep, rept",F840&gt;0),(G840*H840),IF(AND(E840&gt;0,F840&gt;0,H840&gt;0,I840=""),"Enter Travel",IF(AND(F840&gt;0,I840="Y"),(G840*H840)+$M$10,IF(AND(F840&gt;0,I840="N"),(G840*H840),H840))))))))</f>
        <v/>
      </c>
      <c r="K840" s="132">
        <f>J840</f>
        <v/>
      </c>
      <c r="L840" s="148" t="n"/>
      <c r="M840" s="148" t="n"/>
      <c r="N840" s="148" t="n"/>
      <c r="O840" s="87" t="n"/>
      <c r="P840" s="81" t="n"/>
      <c r="Q840" s="81" t="n"/>
      <c r="R840" s="81" t="n"/>
      <c r="S840" s="81" t="n"/>
      <c r="T840" s="136">
        <f>IF(AND(E840&gt;0,U840=0),1,"")</f>
        <v/>
      </c>
      <c r="U840" s="136">
        <f>SUM(X840:AR840)</f>
        <v/>
      </c>
      <c r="V840" s="136">
        <f>IF(E840=$Q$16,0,SUM(X840:AI840))</f>
        <v/>
      </c>
      <c r="W840" s="136">
        <f>SUM(AK840:AR840)</f>
        <v/>
      </c>
      <c r="X840" s="136">
        <f>IF(E840=$X$6,1,"")</f>
        <v/>
      </c>
      <c r="Y840" s="136">
        <f>IF(E840=$Y$6,1,"")</f>
        <v/>
      </c>
      <c r="Z840" s="136">
        <f>IF(E840=$Z$6,1,"")</f>
        <v/>
      </c>
      <c r="AA840" s="136">
        <f>IF(E840=$AA$6,1,"")</f>
        <v/>
      </c>
      <c r="AB840" s="136">
        <f>IF(E840=$AB$6,1,"")</f>
        <v/>
      </c>
      <c r="AC840" s="136">
        <f>IF(E840=$AC$6,1,"")</f>
        <v/>
      </c>
      <c r="AD840" s="136">
        <f>IF(E840=$AD$6,1,"")</f>
        <v/>
      </c>
      <c r="AE840" s="136">
        <f>IF(E840=$AE$6,1,"")</f>
        <v/>
      </c>
      <c r="AF840" s="136">
        <f>IF(E840=$AF$6,1,"")</f>
        <v/>
      </c>
      <c r="AG840" s="136">
        <f>IF(E840=$AG$6,1,"")</f>
        <v/>
      </c>
      <c r="AH840" s="136">
        <f>IF(E840=$AH$6,1,"")</f>
        <v/>
      </c>
      <c r="AI840" s="136">
        <f>IF(E840=$AI$6,1,"")</f>
        <v/>
      </c>
      <c r="AJ840" s="136">
        <f>IF(E840=$AJ$6,1,"")</f>
        <v/>
      </c>
      <c r="AK840" s="81">
        <f>IF(E840=$AK$6,1,"")</f>
        <v/>
      </c>
      <c r="AL840" s="81">
        <f>IF(E840=$AL$6,1,"")</f>
        <v/>
      </c>
      <c r="AM840" s="81">
        <f>IF(E840=$AM$6,1,"")</f>
        <v/>
      </c>
      <c r="AN840" s="81">
        <f>IF(E840=$AN$6,1,"")</f>
        <v/>
      </c>
      <c r="AO840" s="81">
        <f>IF(E840=$AO$6,1,"")</f>
        <v/>
      </c>
      <c r="AP840" s="81">
        <f>IF(E840=$AP$6,1,"")</f>
        <v/>
      </c>
      <c r="AQ840" s="81">
        <f>IF(E840=$AQ$6,1,"")</f>
        <v/>
      </c>
      <c r="AR840" s="81">
        <f>IF(E840=$AR$6,1,"")</f>
        <v/>
      </c>
      <c r="AS840" s="81" t="n"/>
    </row>
    <row r="841" ht="15.75" customHeight="1" s="80">
      <c r="A841" s="157" t="n"/>
      <c r="B841" s="124" t="n"/>
      <c r="C841" s="125" t="n"/>
      <c r="D841" s="126" t="n"/>
      <c r="E841" s="127" t="n"/>
      <c r="F841" s="128" t="n"/>
      <c r="G841" s="129">
        <f>IF(F841="","",ROUND(F841/60,2))</f>
        <v/>
      </c>
      <c r="H841" s="130" t="n"/>
      <c r="I841" s="131" t="n"/>
      <c r="J841" s="131">
        <f>IF(COUNTIF(B841:E841,"*")=0,"",IF(T841=1,"Invalid Service",IF(AND(V841=1,F841=""),"Add Session Mins",IF(AND(E841&gt;0,H841="",T841=""),"Enter Contract Rate",IF(AND(E841="IEP mtg, prep, rept",F841&gt;0),(G841*H841),IF(AND(E841&gt;0,F841&gt;0,H841&gt;0,I841=""),"Enter Travel",IF(AND(F841&gt;0,I841="Y"),(G841*H841)+$M$10,IF(AND(F841&gt;0,I841="N"),(G841*H841),H841))))))))</f>
        <v/>
      </c>
      <c r="K841" s="132">
        <f>J841</f>
        <v/>
      </c>
      <c r="L841" s="148" t="n"/>
      <c r="M841" s="148" t="n"/>
      <c r="N841" s="148" t="n"/>
      <c r="O841" s="87" t="n"/>
      <c r="P841" s="81" t="n"/>
      <c r="Q841" s="81" t="n"/>
      <c r="R841" s="81" t="n"/>
      <c r="S841" s="81" t="n"/>
      <c r="T841" s="136">
        <f>IF(AND(E841&gt;0,U841=0),1,"")</f>
        <v/>
      </c>
      <c r="U841" s="136">
        <f>SUM(X841:AR841)</f>
        <v/>
      </c>
      <c r="V841" s="136">
        <f>IF(E841=$Q$16,0,SUM(X841:AI841))</f>
        <v/>
      </c>
      <c r="W841" s="136">
        <f>SUM(AK841:AR841)</f>
        <v/>
      </c>
      <c r="X841" s="136">
        <f>IF(E841=$X$6,1,"")</f>
        <v/>
      </c>
      <c r="Y841" s="136">
        <f>IF(E841=$Y$6,1,"")</f>
        <v/>
      </c>
      <c r="Z841" s="136">
        <f>IF(E841=$Z$6,1,"")</f>
        <v/>
      </c>
      <c r="AA841" s="136">
        <f>IF(E841=$AA$6,1,"")</f>
        <v/>
      </c>
      <c r="AB841" s="136">
        <f>IF(E841=$AB$6,1,"")</f>
        <v/>
      </c>
      <c r="AC841" s="136">
        <f>IF(E841=$AC$6,1,"")</f>
        <v/>
      </c>
      <c r="AD841" s="136">
        <f>IF(E841=$AD$6,1,"")</f>
        <v/>
      </c>
      <c r="AE841" s="136">
        <f>IF(E841=$AE$6,1,"")</f>
        <v/>
      </c>
      <c r="AF841" s="136">
        <f>IF(E841=$AF$6,1,"")</f>
        <v/>
      </c>
      <c r="AG841" s="136">
        <f>IF(E841=$AG$6,1,"")</f>
        <v/>
      </c>
      <c r="AH841" s="136">
        <f>IF(E841=$AH$6,1,"")</f>
        <v/>
      </c>
      <c r="AI841" s="136">
        <f>IF(E841=$AI$6,1,"")</f>
        <v/>
      </c>
      <c r="AJ841" s="136">
        <f>IF(E841=$AJ$6,1,"")</f>
        <v/>
      </c>
      <c r="AK841" s="81">
        <f>IF(E841=$AK$6,1,"")</f>
        <v/>
      </c>
      <c r="AL841" s="81">
        <f>IF(E841=$AL$6,1,"")</f>
        <v/>
      </c>
      <c r="AM841" s="81">
        <f>IF(E841=$AM$6,1,"")</f>
        <v/>
      </c>
      <c r="AN841" s="81">
        <f>IF(E841=$AN$6,1,"")</f>
        <v/>
      </c>
      <c r="AO841" s="81">
        <f>IF(E841=$AO$6,1,"")</f>
        <v/>
      </c>
      <c r="AP841" s="81">
        <f>IF(E841=$AP$6,1,"")</f>
        <v/>
      </c>
      <c r="AQ841" s="81">
        <f>IF(E841=$AQ$6,1,"")</f>
        <v/>
      </c>
      <c r="AR841" s="81">
        <f>IF(E841=$AR$6,1,"")</f>
        <v/>
      </c>
      <c r="AS841" s="81" t="n"/>
    </row>
    <row r="842" ht="15.75" customHeight="1" s="80">
      <c r="A842" s="157" t="n"/>
      <c r="B842" s="124" t="n"/>
      <c r="C842" s="125" t="n"/>
      <c r="D842" s="126" t="n"/>
      <c r="E842" s="127" t="n"/>
      <c r="F842" s="128" t="n"/>
      <c r="G842" s="129">
        <f>IF(F842="","",ROUND(F842/60,2))</f>
        <v/>
      </c>
      <c r="H842" s="130" t="n"/>
      <c r="I842" s="131" t="n"/>
      <c r="J842" s="131">
        <f>IF(COUNTIF(B842:E842,"*")=0,"",IF(T842=1,"Invalid Service",IF(AND(V842=1,F842=""),"Add Session Mins",IF(AND(E842&gt;0,H842="",T842=""),"Enter Contract Rate",IF(AND(E842="IEP mtg, prep, rept",F842&gt;0),(G842*H842),IF(AND(E842&gt;0,F842&gt;0,H842&gt;0,I842=""),"Enter Travel",IF(AND(F842&gt;0,I842="Y"),(G842*H842)+$M$10,IF(AND(F842&gt;0,I842="N"),(G842*H842),H842))))))))</f>
        <v/>
      </c>
      <c r="K842" s="132">
        <f>J842</f>
        <v/>
      </c>
      <c r="L842" s="148" t="n"/>
      <c r="M842" s="148" t="n"/>
      <c r="N842" s="148" t="n"/>
      <c r="O842" s="87" t="n"/>
      <c r="P842" s="81" t="n"/>
      <c r="Q842" s="81" t="n"/>
      <c r="R842" s="81" t="n"/>
      <c r="S842" s="81" t="n"/>
      <c r="T842" s="136">
        <f>IF(AND(E842&gt;0,U842=0),1,"")</f>
        <v/>
      </c>
      <c r="U842" s="136">
        <f>SUM(X842:AR842)</f>
        <v/>
      </c>
      <c r="V842" s="136">
        <f>IF(E842=$Q$16,0,SUM(X842:AI842))</f>
        <v/>
      </c>
      <c r="W842" s="136">
        <f>SUM(AK842:AR842)</f>
        <v/>
      </c>
      <c r="X842" s="136">
        <f>IF(E842=$X$6,1,"")</f>
        <v/>
      </c>
      <c r="Y842" s="136">
        <f>IF(E842=$Y$6,1,"")</f>
        <v/>
      </c>
      <c r="Z842" s="136">
        <f>IF(E842=$Z$6,1,"")</f>
        <v/>
      </c>
      <c r="AA842" s="136">
        <f>IF(E842=$AA$6,1,"")</f>
        <v/>
      </c>
      <c r="AB842" s="136">
        <f>IF(E842=$AB$6,1,"")</f>
        <v/>
      </c>
      <c r="AC842" s="136">
        <f>IF(E842=$AC$6,1,"")</f>
        <v/>
      </c>
      <c r="AD842" s="136">
        <f>IF(E842=$AD$6,1,"")</f>
        <v/>
      </c>
      <c r="AE842" s="136">
        <f>IF(E842=$AE$6,1,"")</f>
        <v/>
      </c>
      <c r="AF842" s="136">
        <f>IF(E842=$AF$6,1,"")</f>
        <v/>
      </c>
      <c r="AG842" s="136">
        <f>IF(E842=$AG$6,1,"")</f>
        <v/>
      </c>
      <c r="AH842" s="136">
        <f>IF(E842=$AH$6,1,"")</f>
        <v/>
      </c>
      <c r="AI842" s="136">
        <f>IF(E842=$AI$6,1,"")</f>
        <v/>
      </c>
      <c r="AJ842" s="136">
        <f>IF(E842=$AJ$6,1,"")</f>
        <v/>
      </c>
      <c r="AK842" s="81">
        <f>IF(E842=$AK$6,1,"")</f>
        <v/>
      </c>
      <c r="AL842" s="81">
        <f>IF(E842=$AL$6,1,"")</f>
        <v/>
      </c>
      <c r="AM842" s="81">
        <f>IF(E842=$AM$6,1,"")</f>
        <v/>
      </c>
      <c r="AN842" s="81">
        <f>IF(E842=$AN$6,1,"")</f>
        <v/>
      </c>
      <c r="AO842" s="81">
        <f>IF(E842=$AO$6,1,"")</f>
        <v/>
      </c>
      <c r="AP842" s="81">
        <f>IF(E842=$AP$6,1,"")</f>
        <v/>
      </c>
      <c r="AQ842" s="81">
        <f>IF(E842=$AQ$6,1,"")</f>
        <v/>
      </c>
      <c r="AR842" s="81">
        <f>IF(E842=$AR$6,1,"")</f>
        <v/>
      </c>
      <c r="AS842" s="81" t="n"/>
    </row>
    <row r="843" ht="15.75" customHeight="1" s="80">
      <c r="A843" s="157" t="n"/>
      <c r="B843" s="124" t="n"/>
      <c r="C843" s="125" t="n"/>
      <c r="D843" s="126" t="n"/>
      <c r="E843" s="127" t="n"/>
      <c r="F843" s="128" t="n"/>
      <c r="G843" s="129">
        <f>IF(F843="","",ROUND(F843/60,2))</f>
        <v/>
      </c>
      <c r="H843" s="130" t="n"/>
      <c r="I843" s="131" t="n"/>
      <c r="J843" s="131">
        <f>IF(COUNTIF(B843:E843,"*")=0,"",IF(T843=1,"Invalid Service",IF(AND(V843=1,F843=""),"Add Session Mins",IF(AND(E843&gt;0,H843="",T843=""),"Enter Contract Rate",IF(AND(E843="IEP mtg, prep, rept",F843&gt;0),(G843*H843),IF(AND(E843&gt;0,F843&gt;0,H843&gt;0,I843=""),"Enter Travel",IF(AND(F843&gt;0,I843="Y"),(G843*H843)+$M$10,IF(AND(F843&gt;0,I843="N"),(G843*H843),H843))))))))</f>
        <v/>
      </c>
      <c r="K843" s="132">
        <f>J843</f>
        <v/>
      </c>
      <c r="L843" s="148" t="n"/>
      <c r="M843" s="148" t="n"/>
      <c r="N843" s="148" t="n"/>
      <c r="O843" s="87" t="n"/>
      <c r="P843" s="81" t="n"/>
      <c r="Q843" s="81" t="n"/>
      <c r="R843" s="81" t="n"/>
      <c r="S843" s="81" t="n"/>
      <c r="T843" s="136">
        <f>IF(AND(E843&gt;0,U843=0),1,"")</f>
        <v/>
      </c>
      <c r="U843" s="136">
        <f>SUM(X843:AR843)</f>
        <v/>
      </c>
      <c r="V843" s="136">
        <f>IF(E843=$Q$16,0,SUM(X843:AI843))</f>
        <v/>
      </c>
      <c r="W843" s="136">
        <f>SUM(AK843:AR843)</f>
        <v/>
      </c>
      <c r="X843" s="136">
        <f>IF(E843=$X$6,1,"")</f>
        <v/>
      </c>
      <c r="Y843" s="136">
        <f>IF(E843=$Y$6,1,"")</f>
        <v/>
      </c>
      <c r="Z843" s="136">
        <f>IF(E843=$Z$6,1,"")</f>
        <v/>
      </c>
      <c r="AA843" s="136">
        <f>IF(E843=$AA$6,1,"")</f>
        <v/>
      </c>
      <c r="AB843" s="136">
        <f>IF(E843=$AB$6,1,"")</f>
        <v/>
      </c>
      <c r="AC843" s="136">
        <f>IF(E843=$AC$6,1,"")</f>
        <v/>
      </c>
      <c r="AD843" s="136">
        <f>IF(E843=$AD$6,1,"")</f>
        <v/>
      </c>
      <c r="AE843" s="136">
        <f>IF(E843=$AE$6,1,"")</f>
        <v/>
      </c>
      <c r="AF843" s="136">
        <f>IF(E843=$AF$6,1,"")</f>
        <v/>
      </c>
      <c r="AG843" s="136">
        <f>IF(E843=$AG$6,1,"")</f>
        <v/>
      </c>
      <c r="AH843" s="136">
        <f>IF(E843=$AH$6,1,"")</f>
        <v/>
      </c>
      <c r="AI843" s="136">
        <f>IF(E843=$AI$6,1,"")</f>
        <v/>
      </c>
      <c r="AJ843" s="136">
        <f>IF(E843=$AJ$6,1,"")</f>
        <v/>
      </c>
      <c r="AK843" s="81">
        <f>IF(E843=$AK$6,1,"")</f>
        <v/>
      </c>
      <c r="AL843" s="81">
        <f>IF(E843=$AL$6,1,"")</f>
        <v/>
      </c>
      <c r="AM843" s="81">
        <f>IF(E843=$AM$6,1,"")</f>
        <v/>
      </c>
      <c r="AN843" s="81">
        <f>IF(E843=$AN$6,1,"")</f>
        <v/>
      </c>
      <c r="AO843" s="81">
        <f>IF(E843=$AO$6,1,"")</f>
        <v/>
      </c>
      <c r="AP843" s="81">
        <f>IF(E843=$AP$6,1,"")</f>
        <v/>
      </c>
      <c r="AQ843" s="81">
        <f>IF(E843=$AQ$6,1,"")</f>
        <v/>
      </c>
      <c r="AR843" s="81">
        <f>IF(E843=$AR$6,1,"")</f>
        <v/>
      </c>
      <c r="AS843" s="81" t="n"/>
    </row>
    <row r="844" ht="15.75" customHeight="1" s="80">
      <c r="A844" s="157" t="n"/>
      <c r="B844" s="124" t="n"/>
      <c r="C844" s="125" t="n"/>
      <c r="D844" s="126" t="n"/>
      <c r="E844" s="127" t="n"/>
      <c r="F844" s="128" t="n"/>
      <c r="G844" s="129">
        <f>IF(F844="","",ROUND(F844/60,2))</f>
        <v/>
      </c>
      <c r="H844" s="130" t="n"/>
      <c r="I844" s="131" t="n"/>
      <c r="J844" s="131">
        <f>IF(COUNTIF(B844:E844,"*")=0,"",IF(T844=1,"Invalid Service",IF(AND(V844=1,F844=""),"Add Session Mins",IF(AND(E844&gt;0,H844="",T844=""),"Enter Contract Rate",IF(AND(E844="IEP mtg, prep, rept",F844&gt;0),(G844*H844),IF(AND(E844&gt;0,F844&gt;0,H844&gt;0,I844=""),"Enter Travel",IF(AND(F844&gt;0,I844="Y"),(G844*H844)+$M$10,IF(AND(F844&gt;0,I844="N"),(G844*H844),H844))))))))</f>
        <v/>
      </c>
      <c r="K844" s="132">
        <f>J844</f>
        <v/>
      </c>
      <c r="L844" s="148" t="n"/>
      <c r="M844" s="148" t="n"/>
      <c r="N844" s="148" t="n"/>
      <c r="O844" s="87" t="n"/>
      <c r="P844" s="81" t="n"/>
      <c r="Q844" s="81" t="n"/>
      <c r="R844" s="81" t="n"/>
      <c r="S844" s="81" t="n"/>
      <c r="T844" s="136">
        <f>IF(AND(E844&gt;0,U844=0),1,"")</f>
        <v/>
      </c>
      <c r="U844" s="136">
        <f>SUM(X844:AR844)</f>
        <v/>
      </c>
      <c r="V844" s="136">
        <f>IF(E844=$Q$16,0,SUM(X844:AI844))</f>
        <v/>
      </c>
      <c r="W844" s="136">
        <f>SUM(AK844:AR844)</f>
        <v/>
      </c>
      <c r="X844" s="136">
        <f>IF(E844=$X$6,1,"")</f>
        <v/>
      </c>
      <c r="Y844" s="136">
        <f>IF(E844=$Y$6,1,"")</f>
        <v/>
      </c>
      <c r="Z844" s="136">
        <f>IF(E844=$Z$6,1,"")</f>
        <v/>
      </c>
      <c r="AA844" s="136">
        <f>IF(E844=$AA$6,1,"")</f>
        <v/>
      </c>
      <c r="AB844" s="136">
        <f>IF(E844=$AB$6,1,"")</f>
        <v/>
      </c>
      <c r="AC844" s="136">
        <f>IF(E844=$AC$6,1,"")</f>
        <v/>
      </c>
      <c r="AD844" s="136">
        <f>IF(E844=$AD$6,1,"")</f>
        <v/>
      </c>
      <c r="AE844" s="136">
        <f>IF(E844=$AE$6,1,"")</f>
        <v/>
      </c>
      <c r="AF844" s="136">
        <f>IF(E844=$AF$6,1,"")</f>
        <v/>
      </c>
      <c r="AG844" s="136">
        <f>IF(E844=$AG$6,1,"")</f>
        <v/>
      </c>
      <c r="AH844" s="136">
        <f>IF(E844=$AH$6,1,"")</f>
        <v/>
      </c>
      <c r="AI844" s="136">
        <f>IF(E844=$AI$6,1,"")</f>
        <v/>
      </c>
      <c r="AJ844" s="136">
        <f>IF(E844=$AJ$6,1,"")</f>
        <v/>
      </c>
      <c r="AK844" s="81">
        <f>IF(E844=$AK$6,1,"")</f>
        <v/>
      </c>
      <c r="AL844" s="81">
        <f>IF(E844=$AL$6,1,"")</f>
        <v/>
      </c>
      <c r="AM844" s="81">
        <f>IF(E844=$AM$6,1,"")</f>
        <v/>
      </c>
      <c r="AN844" s="81">
        <f>IF(E844=$AN$6,1,"")</f>
        <v/>
      </c>
      <c r="AO844" s="81">
        <f>IF(E844=$AO$6,1,"")</f>
        <v/>
      </c>
      <c r="AP844" s="81">
        <f>IF(E844=$AP$6,1,"")</f>
        <v/>
      </c>
      <c r="AQ844" s="81">
        <f>IF(E844=$AQ$6,1,"")</f>
        <v/>
      </c>
      <c r="AR844" s="81">
        <f>IF(E844=$AR$6,1,"")</f>
        <v/>
      </c>
      <c r="AS844" s="81" t="n"/>
    </row>
    <row r="845" ht="15.75" customHeight="1" s="80">
      <c r="A845" s="157" t="n"/>
      <c r="B845" s="124" t="n"/>
      <c r="C845" s="125" t="n"/>
      <c r="D845" s="126" t="n"/>
      <c r="E845" s="127" t="n"/>
      <c r="F845" s="128" t="n"/>
      <c r="G845" s="129">
        <f>IF(F845="","",ROUND(F845/60,2))</f>
        <v/>
      </c>
      <c r="H845" s="130" t="n"/>
      <c r="I845" s="131" t="n"/>
      <c r="J845" s="131">
        <f>IF(COUNTIF(B845:E845,"*")=0,"",IF(T845=1,"Invalid Service",IF(AND(V845=1,F845=""),"Add Session Mins",IF(AND(E845&gt;0,H845="",T845=""),"Enter Contract Rate",IF(AND(E845="IEP mtg, prep, rept",F845&gt;0),(G845*H845),IF(AND(E845&gt;0,F845&gt;0,H845&gt;0,I845=""),"Enter Travel",IF(AND(F845&gt;0,I845="Y"),(G845*H845)+$M$10,IF(AND(F845&gt;0,I845="N"),(G845*H845),H845))))))))</f>
        <v/>
      </c>
      <c r="K845" s="132">
        <f>J845</f>
        <v/>
      </c>
      <c r="L845" s="148" t="n"/>
      <c r="M845" s="148" t="n"/>
      <c r="N845" s="148" t="n"/>
      <c r="O845" s="87" t="n"/>
      <c r="P845" s="81" t="n"/>
      <c r="Q845" s="81" t="n"/>
      <c r="R845" s="81" t="n"/>
      <c r="S845" s="81" t="n"/>
      <c r="T845" s="136">
        <f>IF(AND(E845&gt;0,U845=0),1,"")</f>
        <v/>
      </c>
      <c r="U845" s="136">
        <f>SUM(X845:AR845)</f>
        <v/>
      </c>
      <c r="V845" s="136">
        <f>IF(E845=$Q$16,0,SUM(X845:AI845))</f>
        <v/>
      </c>
      <c r="W845" s="136">
        <f>SUM(AK845:AR845)</f>
        <v/>
      </c>
      <c r="X845" s="136">
        <f>IF(E845=$X$6,1,"")</f>
        <v/>
      </c>
      <c r="Y845" s="136">
        <f>IF(E845=$Y$6,1,"")</f>
        <v/>
      </c>
      <c r="Z845" s="136">
        <f>IF(E845=$Z$6,1,"")</f>
        <v/>
      </c>
      <c r="AA845" s="136">
        <f>IF(E845=$AA$6,1,"")</f>
        <v/>
      </c>
      <c r="AB845" s="136">
        <f>IF(E845=$AB$6,1,"")</f>
        <v/>
      </c>
      <c r="AC845" s="136">
        <f>IF(E845=$AC$6,1,"")</f>
        <v/>
      </c>
      <c r="AD845" s="136">
        <f>IF(E845=$AD$6,1,"")</f>
        <v/>
      </c>
      <c r="AE845" s="136">
        <f>IF(E845=$AE$6,1,"")</f>
        <v/>
      </c>
      <c r="AF845" s="136">
        <f>IF(E845=$AF$6,1,"")</f>
        <v/>
      </c>
      <c r="AG845" s="136">
        <f>IF(E845=$AG$6,1,"")</f>
        <v/>
      </c>
      <c r="AH845" s="136">
        <f>IF(E845=$AH$6,1,"")</f>
        <v/>
      </c>
      <c r="AI845" s="136">
        <f>IF(E845=$AI$6,1,"")</f>
        <v/>
      </c>
      <c r="AJ845" s="136">
        <f>IF(E845=$AJ$6,1,"")</f>
        <v/>
      </c>
      <c r="AK845" s="81">
        <f>IF(E845=$AK$6,1,"")</f>
        <v/>
      </c>
      <c r="AL845" s="81">
        <f>IF(E845=$AL$6,1,"")</f>
        <v/>
      </c>
      <c r="AM845" s="81">
        <f>IF(E845=$AM$6,1,"")</f>
        <v/>
      </c>
      <c r="AN845" s="81">
        <f>IF(E845=$AN$6,1,"")</f>
        <v/>
      </c>
      <c r="AO845" s="81">
        <f>IF(E845=$AO$6,1,"")</f>
        <v/>
      </c>
      <c r="AP845" s="81">
        <f>IF(E845=$AP$6,1,"")</f>
        <v/>
      </c>
      <c r="AQ845" s="81">
        <f>IF(E845=$AQ$6,1,"")</f>
        <v/>
      </c>
      <c r="AR845" s="81">
        <f>IF(E845=$AR$6,1,"")</f>
        <v/>
      </c>
      <c r="AS845" s="81" t="n"/>
    </row>
    <row r="846" ht="15.75" customHeight="1" s="80">
      <c r="A846" s="157" t="n"/>
      <c r="B846" s="124" t="n"/>
      <c r="C846" s="125" t="n"/>
      <c r="D846" s="126" t="n"/>
      <c r="E846" s="127" t="n"/>
      <c r="F846" s="128" t="n"/>
      <c r="G846" s="129">
        <f>IF(F846="","",ROUND(F846/60,2))</f>
        <v/>
      </c>
      <c r="H846" s="130" t="n"/>
      <c r="I846" s="131" t="n"/>
      <c r="J846" s="131">
        <f>IF(COUNTIF(B846:E846,"*")=0,"",IF(T846=1,"Invalid Service",IF(AND(V846=1,F846=""),"Add Session Mins",IF(AND(E846&gt;0,H846="",T846=""),"Enter Contract Rate",IF(AND(E846="IEP mtg, prep, rept",F846&gt;0),(G846*H846),IF(AND(E846&gt;0,F846&gt;0,H846&gt;0,I846=""),"Enter Travel",IF(AND(F846&gt;0,I846="Y"),(G846*H846)+$M$10,IF(AND(F846&gt;0,I846="N"),(G846*H846),H846))))))))</f>
        <v/>
      </c>
      <c r="K846" s="132">
        <f>J846</f>
        <v/>
      </c>
      <c r="L846" s="148" t="n"/>
      <c r="M846" s="148" t="n"/>
      <c r="N846" s="148" t="n"/>
      <c r="O846" s="87" t="n"/>
      <c r="P846" s="81" t="n"/>
      <c r="Q846" s="81" t="n"/>
      <c r="R846" s="81" t="n"/>
      <c r="S846" s="81" t="n"/>
      <c r="T846" s="136">
        <f>IF(AND(E846&gt;0,U846=0),1,"")</f>
        <v/>
      </c>
      <c r="U846" s="136">
        <f>SUM(X846:AR846)</f>
        <v/>
      </c>
      <c r="V846" s="136">
        <f>IF(E846=$Q$16,0,SUM(X846:AI846))</f>
        <v/>
      </c>
      <c r="W846" s="136">
        <f>SUM(AK846:AR846)</f>
        <v/>
      </c>
      <c r="X846" s="136">
        <f>IF(E846=$X$6,1,"")</f>
        <v/>
      </c>
      <c r="Y846" s="136">
        <f>IF(E846=$Y$6,1,"")</f>
        <v/>
      </c>
      <c r="Z846" s="136">
        <f>IF(E846=$Z$6,1,"")</f>
        <v/>
      </c>
      <c r="AA846" s="136">
        <f>IF(E846=$AA$6,1,"")</f>
        <v/>
      </c>
      <c r="AB846" s="136">
        <f>IF(E846=$AB$6,1,"")</f>
        <v/>
      </c>
      <c r="AC846" s="136">
        <f>IF(E846=$AC$6,1,"")</f>
        <v/>
      </c>
      <c r="AD846" s="136">
        <f>IF(E846=$AD$6,1,"")</f>
        <v/>
      </c>
      <c r="AE846" s="136">
        <f>IF(E846=$AE$6,1,"")</f>
        <v/>
      </c>
      <c r="AF846" s="136">
        <f>IF(E846=$AF$6,1,"")</f>
        <v/>
      </c>
      <c r="AG846" s="136">
        <f>IF(E846=$AG$6,1,"")</f>
        <v/>
      </c>
      <c r="AH846" s="136">
        <f>IF(E846=$AH$6,1,"")</f>
        <v/>
      </c>
      <c r="AI846" s="136">
        <f>IF(E846=$AI$6,1,"")</f>
        <v/>
      </c>
      <c r="AJ846" s="136">
        <f>IF(E846=$AJ$6,1,"")</f>
        <v/>
      </c>
      <c r="AK846" s="81">
        <f>IF(E846=$AK$6,1,"")</f>
        <v/>
      </c>
      <c r="AL846" s="81">
        <f>IF(E846=$AL$6,1,"")</f>
        <v/>
      </c>
      <c r="AM846" s="81">
        <f>IF(E846=$AM$6,1,"")</f>
        <v/>
      </c>
      <c r="AN846" s="81">
        <f>IF(E846=$AN$6,1,"")</f>
        <v/>
      </c>
      <c r="AO846" s="81">
        <f>IF(E846=$AO$6,1,"")</f>
        <v/>
      </c>
      <c r="AP846" s="81">
        <f>IF(E846=$AP$6,1,"")</f>
        <v/>
      </c>
      <c r="AQ846" s="81">
        <f>IF(E846=$AQ$6,1,"")</f>
        <v/>
      </c>
      <c r="AR846" s="81">
        <f>IF(E846=$AR$6,1,"")</f>
        <v/>
      </c>
      <c r="AS846" s="81" t="n"/>
    </row>
    <row r="847" ht="15.75" customHeight="1" s="80">
      <c r="A847" s="157" t="n"/>
      <c r="B847" s="124" t="n"/>
      <c r="C847" s="125" t="n"/>
      <c r="D847" s="126" t="n"/>
      <c r="E847" s="127" t="n"/>
      <c r="F847" s="128" t="n"/>
      <c r="G847" s="129">
        <f>IF(F847="","",ROUND(F847/60,2))</f>
        <v/>
      </c>
      <c r="H847" s="130" t="n"/>
      <c r="I847" s="131" t="n"/>
      <c r="J847" s="131">
        <f>IF(COUNTIF(B847:E847,"*")=0,"",IF(T847=1,"Invalid Service",IF(AND(V847=1,F847=""),"Add Session Mins",IF(AND(E847&gt;0,H847="",T847=""),"Enter Contract Rate",IF(AND(E847="IEP mtg, prep, rept",F847&gt;0),(G847*H847),IF(AND(E847&gt;0,F847&gt;0,H847&gt;0,I847=""),"Enter Travel",IF(AND(F847&gt;0,I847="Y"),(G847*H847)+$M$10,IF(AND(F847&gt;0,I847="N"),(G847*H847),H847))))))))</f>
        <v/>
      </c>
      <c r="K847" s="132">
        <f>J847</f>
        <v/>
      </c>
      <c r="L847" s="148" t="n"/>
      <c r="M847" s="148" t="n"/>
      <c r="N847" s="148" t="n"/>
      <c r="O847" s="87" t="n"/>
      <c r="P847" s="81" t="n"/>
      <c r="Q847" s="81" t="n"/>
      <c r="R847" s="81" t="n"/>
      <c r="S847" s="81" t="n"/>
      <c r="T847" s="136">
        <f>IF(AND(E847&gt;0,U847=0),1,"")</f>
        <v/>
      </c>
      <c r="U847" s="136">
        <f>SUM(X847:AR847)</f>
        <v/>
      </c>
      <c r="V847" s="136">
        <f>IF(E847=$Q$16,0,SUM(X847:AI847))</f>
        <v/>
      </c>
      <c r="W847" s="136">
        <f>SUM(AK847:AR847)</f>
        <v/>
      </c>
      <c r="X847" s="136">
        <f>IF(E847=$X$6,1,"")</f>
        <v/>
      </c>
      <c r="Y847" s="136">
        <f>IF(E847=$Y$6,1,"")</f>
        <v/>
      </c>
      <c r="Z847" s="136">
        <f>IF(E847=$Z$6,1,"")</f>
        <v/>
      </c>
      <c r="AA847" s="136">
        <f>IF(E847=$AA$6,1,"")</f>
        <v/>
      </c>
      <c r="AB847" s="136">
        <f>IF(E847=$AB$6,1,"")</f>
        <v/>
      </c>
      <c r="AC847" s="136">
        <f>IF(E847=$AC$6,1,"")</f>
        <v/>
      </c>
      <c r="AD847" s="136">
        <f>IF(E847=$AD$6,1,"")</f>
        <v/>
      </c>
      <c r="AE847" s="136">
        <f>IF(E847=$AE$6,1,"")</f>
        <v/>
      </c>
      <c r="AF847" s="136">
        <f>IF(E847=$AF$6,1,"")</f>
        <v/>
      </c>
      <c r="AG847" s="136">
        <f>IF(E847=$AG$6,1,"")</f>
        <v/>
      </c>
      <c r="AH847" s="136">
        <f>IF(E847=$AH$6,1,"")</f>
        <v/>
      </c>
      <c r="AI847" s="136">
        <f>IF(E847=$AI$6,1,"")</f>
        <v/>
      </c>
      <c r="AJ847" s="136">
        <f>IF(E847=$AJ$6,1,"")</f>
        <v/>
      </c>
      <c r="AK847" s="81">
        <f>IF(E847=$AK$6,1,"")</f>
        <v/>
      </c>
      <c r="AL847" s="81">
        <f>IF(E847=$AL$6,1,"")</f>
        <v/>
      </c>
      <c r="AM847" s="81">
        <f>IF(E847=$AM$6,1,"")</f>
        <v/>
      </c>
      <c r="AN847" s="81">
        <f>IF(E847=$AN$6,1,"")</f>
        <v/>
      </c>
      <c r="AO847" s="81">
        <f>IF(E847=$AO$6,1,"")</f>
        <v/>
      </c>
      <c r="AP847" s="81">
        <f>IF(E847=$AP$6,1,"")</f>
        <v/>
      </c>
      <c r="AQ847" s="81">
        <f>IF(E847=$AQ$6,1,"")</f>
        <v/>
      </c>
      <c r="AR847" s="81">
        <f>IF(E847=$AR$6,1,"")</f>
        <v/>
      </c>
      <c r="AS847" s="81" t="n"/>
    </row>
    <row r="848" ht="15.75" customHeight="1" s="80">
      <c r="A848" s="157" t="n"/>
      <c r="B848" s="124" t="n"/>
      <c r="C848" s="125" t="n"/>
      <c r="D848" s="126" t="n"/>
      <c r="E848" s="127" t="n"/>
      <c r="F848" s="128" t="n"/>
      <c r="G848" s="129">
        <f>IF(F848="","",ROUND(F848/60,2))</f>
        <v/>
      </c>
      <c r="H848" s="130" t="n"/>
      <c r="I848" s="131" t="n"/>
      <c r="J848" s="131">
        <f>IF(COUNTIF(B848:E848,"*")=0,"",IF(T848=1,"Invalid Service",IF(AND(V848=1,F848=""),"Add Session Mins",IF(AND(E848&gt;0,H848="",T848=""),"Enter Contract Rate",IF(AND(E848="IEP mtg, prep, rept",F848&gt;0),(G848*H848),IF(AND(E848&gt;0,F848&gt;0,H848&gt;0,I848=""),"Enter Travel",IF(AND(F848&gt;0,I848="Y"),(G848*H848)+$M$10,IF(AND(F848&gt;0,I848="N"),(G848*H848),H848))))))))</f>
        <v/>
      </c>
      <c r="K848" s="132">
        <f>J848</f>
        <v/>
      </c>
      <c r="L848" s="148" t="n"/>
      <c r="M848" s="148" t="n"/>
      <c r="N848" s="148" t="n"/>
      <c r="O848" s="87" t="n"/>
      <c r="P848" s="81" t="n"/>
      <c r="Q848" s="81" t="n"/>
      <c r="R848" s="81" t="n"/>
      <c r="S848" s="81" t="n"/>
      <c r="T848" s="136">
        <f>IF(AND(E848&gt;0,U848=0),1,"")</f>
        <v/>
      </c>
      <c r="U848" s="136">
        <f>SUM(X848:AR848)</f>
        <v/>
      </c>
      <c r="V848" s="136">
        <f>IF(E848=$Q$16,0,SUM(X848:AI848))</f>
        <v/>
      </c>
      <c r="W848" s="136">
        <f>SUM(AK848:AR848)</f>
        <v/>
      </c>
      <c r="X848" s="136">
        <f>IF(E848=$X$6,1,"")</f>
        <v/>
      </c>
      <c r="Y848" s="136">
        <f>IF(E848=$Y$6,1,"")</f>
        <v/>
      </c>
      <c r="Z848" s="136">
        <f>IF(E848=$Z$6,1,"")</f>
        <v/>
      </c>
      <c r="AA848" s="136">
        <f>IF(E848=$AA$6,1,"")</f>
        <v/>
      </c>
      <c r="AB848" s="136">
        <f>IF(E848=$AB$6,1,"")</f>
        <v/>
      </c>
      <c r="AC848" s="136">
        <f>IF(E848=$AC$6,1,"")</f>
        <v/>
      </c>
      <c r="AD848" s="136">
        <f>IF(E848=$AD$6,1,"")</f>
        <v/>
      </c>
      <c r="AE848" s="136">
        <f>IF(E848=$AE$6,1,"")</f>
        <v/>
      </c>
      <c r="AF848" s="136">
        <f>IF(E848=$AF$6,1,"")</f>
        <v/>
      </c>
      <c r="AG848" s="136">
        <f>IF(E848=$AG$6,1,"")</f>
        <v/>
      </c>
      <c r="AH848" s="136">
        <f>IF(E848=$AH$6,1,"")</f>
        <v/>
      </c>
      <c r="AI848" s="136">
        <f>IF(E848=$AI$6,1,"")</f>
        <v/>
      </c>
      <c r="AJ848" s="136">
        <f>IF(E848=$AJ$6,1,"")</f>
        <v/>
      </c>
      <c r="AK848" s="81">
        <f>IF(E848=$AK$6,1,"")</f>
        <v/>
      </c>
      <c r="AL848" s="81">
        <f>IF(E848=$AL$6,1,"")</f>
        <v/>
      </c>
      <c r="AM848" s="81">
        <f>IF(E848=$AM$6,1,"")</f>
        <v/>
      </c>
      <c r="AN848" s="81">
        <f>IF(E848=$AN$6,1,"")</f>
        <v/>
      </c>
      <c r="AO848" s="81">
        <f>IF(E848=$AO$6,1,"")</f>
        <v/>
      </c>
      <c r="AP848" s="81">
        <f>IF(E848=$AP$6,1,"")</f>
        <v/>
      </c>
      <c r="AQ848" s="81">
        <f>IF(E848=$AQ$6,1,"")</f>
        <v/>
      </c>
      <c r="AR848" s="81">
        <f>IF(E848=$AR$6,1,"")</f>
        <v/>
      </c>
      <c r="AS848" s="81" t="n"/>
    </row>
    <row r="849" ht="15.75" customHeight="1" s="80">
      <c r="A849" s="157" t="n"/>
      <c r="B849" s="124" t="n"/>
      <c r="C849" s="125" t="n"/>
      <c r="D849" s="126" t="n"/>
      <c r="E849" s="127" t="n"/>
      <c r="F849" s="128" t="n"/>
      <c r="G849" s="129">
        <f>IF(F849="","",ROUND(F849/60,2))</f>
        <v/>
      </c>
      <c r="H849" s="130" t="n"/>
      <c r="I849" s="131" t="n"/>
      <c r="J849" s="131">
        <f>IF(COUNTIF(B849:E849,"*")=0,"",IF(T849=1,"Invalid Service",IF(AND(V849=1,F849=""),"Add Session Mins",IF(AND(E849&gt;0,H849="",T849=""),"Enter Contract Rate",IF(AND(E849="IEP mtg, prep, rept",F849&gt;0),(G849*H849),IF(AND(E849&gt;0,F849&gt;0,H849&gt;0,I849=""),"Enter Travel",IF(AND(F849&gt;0,I849="Y"),(G849*H849)+$M$10,IF(AND(F849&gt;0,I849="N"),(G849*H849),H849))))))))</f>
        <v/>
      </c>
      <c r="K849" s="132">
        <f>J849</f>
        <v/>
      </c>
      <c r="L849" s="148" t="n"/>
      <c r="M849" s="148" t="n"/>
      <c r="N849" s="148" t="n"/>
      <c r="O849" s="87" t="n"/>
      <c r="P849" s="81" t="n"/>
      <c r="Q849" s="81" t="n"/>
      <c r="R849" s="81" t="n"/>
      <c r="S849" s="81" t="n"/>
      <c r="T849" s="136">
        <f>IF(AND(E849&gt;0,U849=0),1,"")</f>
        <v/>
      </c>
      <c r="U849" s="136">
        <f>SUM(X849:AR849)</f>
        <v/>
      </c>
      <c r="V849" s="136">
        <f>IF(E849=$Q$16,0,SUM(X849:AI849))</f>
        <v/>
      </c>
      <c r="W849" s="136">
        <f>SUM(AK849:AR849)</f>
        <v/>
      </c>
      <c r="X849" s="136">
        <f>IF(E849=$X$6,1,"")</f>
        <v/>
      </c>
      <c r="Y849" s="136">
        <f>IF(E849=$Y$6,1,"")</f>
        <v/>
      </c>
      <c r="Z849" s="136">
        <f>IF(E849=$Z$6,1,"")</f>
        <v/>
      </c>
      <c r="AA849" s="136">
        <f>IF(E849=$AA$6,1,"")</f>
        <v/>
      </c>
      <c r="AB849" s="136">
        <f>IF(E849=$AB$6,1,"")</f>
        <v/>
      </c>
      <c r="AC849" s="136">
        <f>IF(E849=$AC$6,1,"")</f>
        <v/>
      </c>
      <c r="AD849" s="136">
        <f>IF(E849=$AD$6,1,"")</f>
        <v/>
      </c>
      <c r="AE849" s="136">
        <f>IF(E849=$AE$6,1,"")</f>
        <v/>
      </c>
      <c r="AF849" s="136">
        <f>IF(E849=$AF$6,1,"")</f>
        <v/>
      </c>
      <c r="AG849" s="136">
        <f>IF(E849=$AG$6,1,"")</f>
        <v/>
      </c>
      <c r="AH849" s="136">
        <f>IF(E849=$AH$6,1,"")</f>
        <v/>
      </c>
      <c r="AI849" s="136">
        <f>IF(E849=$AI$6,1,"")</f>
        <v/>
      </c>
      <c r="AJ849" s="136">
        <f>IF(E849=$AJ$6,1,"")</f>
        <v/>
      </c>
      <c r="AK849" s="81">
        <f>IF(E849=$AK$6,1,"")</f>
        <v/>
      </c>
      <c r="AL849" s="81">
        <f>IF(E849=$AL$6,1,"")</f>
        <v/>
      </c>
      <c r="AM849" s="81">
        <f>IF(E849=$AM$6,1,"")</f>
        <v/>
      </c>
      <c r="AN849" s="81">
        <f>IF(E849=$AN$6,1,"")</f>
        <v/>
      </c>
      <c r="AO849" s="81">
        <f>IF(E849=$AO$6,1,"")</f>
        <v/>
      </c>
      <c r="AP849" s="81">
        <f>IF(E849=$AP$6,1,"")</f>
        <v/>
      </c>
      <c r="AQ849" s="81">
        <f>IF(E849=$AQ$6,1,"")</f>
        <v/>
      </c>
      <c r="AR849" s="81">
        <f>IF(E849=$AR$6,1,"")</f>
        <v/>
      </c>
      <c r="AS849" s="81" t="n"/>
    </row>
    <row r="850" ht="15.75" customHeight="1" s="80">
      <c r="A850" s="157" t="n"/>
      <c r="B850" s="124" t="n"/>
      <c r="C850" s="125" t="n"/>
      <c r="D850" s="126" t="n"/>
      <c r="E850" s="127" t="n"/>
      <c r="F850" s="128" t="n"/>
      <c r="G850" s="129">
        <f>IF(F850="","",ROUND(F850/60,2))</f>
        <v/>
      </c>
      <c r="H850" s="130" t="n"/>
      <c r="I850" s="131" t="n"/>
      <c r="J850" s="131">
        <f>IF(COUNTIF(B850:E850,"*")=0,"",IF(T850=1,"Invalid Service",IF(AND(V850=1,F850=""),"Add Session Mins",IF(AND(E850&gt;0,H850="",T850=""),"Enter Contract Rate",IF(AND(E850="IEP mtg, prep, rept",F850&gt;0),(G850*H850),IF(AND(E850&gt;0,F850&gt;0,H850&gt;0,I850=""),"Enter Travel",IF(AND(F850&gt;0,I850="Y"),(G850*H850)+$M$10,IF(AND(F850&gt;0,I850="N"),(G850*H850),H850))))))))</f>
        <v/>
      </c>
      <c r="K850" s="132">
        <f>J850</f>
        <v/>
      </c>
      <c r="L850" s="148" t="n"/>
      <c r="M850" s="148" t="n"/>
      <c r="N850" s="148" t="n"/>
      <c r="O850" s="87" t="n"/>
      <c r="P850" s="81" t="n"/>
      <c r="Q850" s="81" t="n"/>
      <c r="R850" s="81" t="n"/>
      <c r="S850" s="81" t="n"/>
      <c r="T850" s="136">
        <f>IF(AND(E850&gt;0,U850=0),1,"")</f>
        <v/>
      </c>
      <c r="U850" s="136">
        <f>SUM(X850:AR850)</f>
        <v/>
      </c>
      <c r="V850" s="136">
        <f>IF(E850=$Q$16,0,SUM(X850:AI850))</f>
        <v/>
      </c>
      <c r="W850" s="136">
        <f>SUM(AK850:AR850)</f>
        <v/>
      </c>
      <c r="X850" s="136">
        <f>IF(E850=$X$6,1,"")</f>
        <v/>
      </c>
      <c r="Y850" s="136">
        <f>IF(E850=$Y$6,1,"")</f>
        <v/>
      </c>
      <c r="Z850" s="136">
        <f>IF(E850=$Z$6,1,"")</f>
        <v/>
      </c>
      <c r="AA850" s="136">
        <f>IF(E850=$AA$6,1,"")</f>
        <v/>
      </c>
      <c r="AB850" s="136">
        <f>IF(E850=$AB$6,1,"")</f>
        <v/>
      </c>
      <c r="AC850" s="136">
        <f>IF(E850=$AC$6,1,"")</f>
        <v/>
      </c>
      <c r="AD850" s="136">
        <f>IF(E850=$AD$6,1,"")</f>
        <v/>
      </c>
      <c r="AE850" s="136">
        <f>IF(E850=$AE$6,1,"")</f>
        <v/>
      </c>
      <c r="AF850" s="136">
        <f>IF(E850=$AF$6,1,"")</f>
        <v/>
      </c>
      <c r="AG850" s="136">
        <f>IF(E850=$AG$6,1,"")</f>
        <v/>
      </c>
      <c r="AH850" s="136">
        <f>IF(E850=$AH$6,1,"")</f>
        <v/>
      </c>
      <c r="AI850" s="136">
        <f>IF(E850=$AI$6,1,"")</f>
        <v/>
      </c>
      <c r="AJ850" s="136">
        <f>IF(E850=$AJ$6,1,"")</f>
        <v/>
      </c>
      <c r="AK850" s="81">
        <f>IF(E850=$AK$6,1,"")</f>
        <v/>
      </c>
      <c r="AL850" s="81">
        <f>IF(E850=$AL$6,1,"")</f>
        <v/>
      </c>
      <c r="AM850" s="81">
        <f>IF(E850=$AM$6,1,"")</f>
        <v/>
      </c>
      <c r="AN850" s="81">
        <f>IF(E850=$AN$6,1,"")</f>
        <v/>
      </c>
      <c r="AO850" s="81">
        <f>IF(E850=$AO$6,1,"")</f>
        <v/>
      </c>
      <c r="AP850" s="81">
        <f>IF(E850=$AP$6,1,"")</f>
        <v/>
      </c>
      <c r="AQ850" s="81">
        <f>IF(E850=$AQ$6,1,"")</f>
        <v/>
      </c>
      <c r="AR850" s="81">
        <f>IF(E850=$AR$6,1,"")</f>
        <v/>
      </c>
      <c r="AS850" s="81" t="n"/>
    </row>
    <row r="851" ht="15.75" customHeight="1" s="80">
      <c r="A851" s="157" t="n"/>
      <c r="B851" s="124" t="n"/>
      <c r="C851" s="125" t="n"/>
      <c r="D851" s="126" t="n"/>
      <c r="E851" s="127" t="n"/>
      <c r="F851" s="128" t="n"/>
      <c r="G851" s="129">
        <f>IF(F851="","",ROUND(F851/60,2))</f>
        <v/>
      </c>
      <c r="H851" s="130" t="n"/>
      <c r="I851" s="131" t="n"/>
      <c r="J851" s="131">
        <f>IF(COUNTIF(B851:E851,"*")=0,"",IF(T851=1,"Invalid Service",IF(AND(V851=1,F851=""),"Add Session Mins",IF(AND(E851&gt;0,H851="",T851=""),"Enter Contract Rate",IF(AND(E851="IEP mtg, prep, rept",F851&gt;0),(G851*H851),IF(AND(E851&gt;0,F851&gt;0,H851&gt;0,I851=""),"Enter Travel",IF(AND(F851&gt;0,I851="Y"),(G851*H851)+$M$10,IF(AND(F851&gt;0,I851="N"),(G851*H851),H851))))))))</f>
        <v/>
      </c>
      <c r="K851" s="132">
        <f>J851</f>
        <v/>
      </c>
      <c r="L851" s="148" t="n"/>
      <c r="M851" s="148" t="n"/>
      <c r="N851" s="148" t="n"/>
      <c r="O851" s="87" t="n"/>
      <c r="P851" s="81" t="n"/>
      <c r="Q851" s="81" t="n"/>
      <c r="R851" s="81" t="n"/>
      <c r="S851" s="81" t="n"/>
      <c r="T851" s="136">
        <f>IF(AND(E851&gt;0,U851=0),1,"")</f>
        <v/>
      </c>
      <c r="U851" s="136">
        <f>SUM(X851:AR851)</f>
        <v/>
      </c>
      <c r="V851" s="136">
        <f>IF(E851=$Q$16,0,SUM(X851:AI851))</f>
        <v/>
      </c>
      <c r="W851" s="136">
        <f>SUM(AK851:AR851)</f>
        <v/>
      </c>
      <c r="X851" s="136">
        <f>IF(E851=$X$6,1,"")</f>
        <v/>
      </c>
      <c r="Y851" s="136">
        <f>IF(E851=$Y$6,1,"")</f>
        <v/>
      </c>
      <c r="Z851" s="136">
        <f>IF(E851=$Z$6,1,"")</f>
        <v/>
      </c>
      <c r="AA851" s="136">
        <f>IF(E851=$AA$6,1,"")</f>
        <v/>
      </c>
      <c r="AB851" s="136">
        <f>IF(E851=$AB$6,1,"")</f>
        <v/>
      </c>
      <c r="AC851" s="136">
        <f>IF(E851=$AC$6,1,"")</f>
        <v/>
      </c>
      <c r="AD851" s="136">
        <f>IF(E851=$AD$6,1,"")</f>
        <v/>
      </c>
      <c r="AE851" s="136">
        <f>IF(E851=$AE$6,1,"")</f>
        <v/>
      </c>
      <c r="AF851" s="136">
        <f>IF(E851=$AF$6,1,"")</f>
        <v/>
      </c>
      <c r="AG851" s="136">
        <f>IF(E851=$AG$6,1,"")</f>
        <v/>
      </c>
      <c r="AH851" s="136">
        <f>IF(E851=$AH$6,1,"")</f>
        <v/>
      </c>
      <c r="AI851" s="136">
        <f>IF(E851=$AI$6,1,"")</f>
        <v/>
      </c>
      <c r="AJ851" s="136">
        <f>IF(E851=$AJ$6,1,"")</f>
        <v/>
      </c>
      <c r="AK851" s="81">
        <f>IF(E851=$AK$6,1,"")</f>
        <v/>
      </c>
      <c r="AL851" s="81">
        <f>IF(E851=$AL$6,1,"")</f>
        <v/>
      </c>
      <c r="AM851" s="81">
        <f>IF(E851=$AM$6,1,"")</f>
        <v/>
      </c>
      <c r="AN851" s="81">
        <f>IF(E851=$AN$6,1,"")</f>
        <v/>
      </c>
      <c r="AO851" s="81">
        <f>IF(E851=$AO$6,1,"")</f>
        <v/>
      </c>
      <c r="AP851" s="81">
        <f>IF(E851=$AP$6,1,"")</f>
        <v/>
      </c>
      <c r="AQ851" s="81">
        <f>IF(E851=$AQ$6,1,"")</f>
        <v/>
      </c>
      <c r="AR851" s="81">
        <f>IF(E851=$AR$6,1,"")</f>
        <v/>
      </c>
      <c r="AS851" s="81" t="n"/>
    </row>
    <row r="852" ht="15.75" customHeight="1" s="80">
      <c r="A852" s="157" t="n"/>
      <c r="B852" s="124" t="n"/>
      <c r="C852" s="125" t="n"/>
      <c r="D852" s="126" t="n"/>
      <c r="E852" s="127" t="n"/>
      <c r="F852" s="128" t="n"/>
      <c r="G852" s="129">
        <f>IF(F852="","",ROUND(F852/60,2))</f>
        <v/>
      </c>
      <c r="H852" s="130" t="n"/>
      <c r="I852" s="131" t="n"/>
      <c r="J852" s="131">
        <f>IF(COUNTIF(B852:E852,"*")=0,"",IF(T852=1,"Invalid Service",IF(AND(V852=1,F852=""),"Add Session Mins",IF(AND(E852&gt;0,H852="",T852=""),"Enter Contract Rate",IF(AND(E852="IEP mtg, prep, rept",F852&gt;0),(G852*H852),IF(AND(E852&gt;0,F852&gt;0,H852&gt;0,I852=""),"Enter Travel",IF(AND(F852&gt;0,I852="Y"),(G852*H852)+$M$10,IF(AND(F852&gt;0,I852="N"),(G852*H852),H852))))))))</f>
        <v/>
      </c>
      <c r="K852" s="132">
        <f>J852</f>
        <v/>
      </c>
      <c r="L852" s="148" t="n"/>
      <c r="M852" s="148" t="n"/>
      <c r="N852" s="148" t="n"/>
      <c r="O852" s="87" t="n"/>
      <c r="P852" s="81" t="n"/>
      <c r="Q852" s="81" t="n"/>
      <c r="R852" s="81" t="n"/>
      <c r="S852" s="81" t="n"/>
      <c r="T852" s="136">
        <f>IF(AND(E852&gt;0,U852=0),1,"")</f>
        <v/>
      </c>
      <c r="U852" s="136">
        <f>SUM(X852:AR852)</f>
        <v/>
      </c>
      <c r="V852" s="136">
        <f>IF(E852=$Q$16,0,SUM(X852:AI852))</f>
        <v/>
      </c>
      <c r="W852" s="136">
        <f>SUM(AK852:AR852)</f>
        <v/>
      </c>
      <c r="X852" s="136">
        <f>IF(E852=$X$6,1,"")</f>
        <v/>
      </c>
      <c r="Y852" s="136">
        <f>IF(E852=$Y$6,1,"")</f>
        <v/>
      </c>
      <c r="Z852" s="136">
        <f>IF(E852=$Z$6,1,"")</f>
        <v/>
      </c>
      <c r="AA852" s="136">
        <f>IF(E852=$AA$6,1,"")</f>
        <v/>
      </c>
      <c r="AB852" s="136">
        <f>IF(E852=$AB$6,1,"")</f>
        <v/>
      </c>
      <c r="AC852" s="136">
        <f>IF(E852=$AC$6,1,"")</f>
        <v/>
      </c>
      <c r="AD852" s="136">
        <f>IF(E852=$AD$6,1,"")</f>
        <v/>
      </c>
      <c r="AE852" s="136">
        <f>IF(E852=$AE$6,1,"")</f>
        <v/>
      </c>
      <c r="AF852" s="136">
        <f>IF(E852=$AF$6,1,"")</f>
        <v/>
      </c>
      <c r="AG852" s="136">
        <f>IF(E852=$AG$6,1,"")</f>
        <v/>
      </c>
      <c r="AH852" s="136">
        <f>IF(E852=$AH$6,1,"")</f>
        <v/>
      </c>
      <c r="AI852" s="136">
        <f>IF(E852=$AI$6,1,"")</f>
        <v/>
      </c>
      <c r="AJ852" s="136">
        <f>IF(E852=$AJ$6,1,"")</f>
        <v/>
      </c>
      <c r="AK852" s="81">
        <f>IF(E852=$AK$6,1,"")</f>
        <v/>
      </c>
      <c r="AL852" s="81">
        <f>IF(E852=$AL$6,1,"")</f>
        <v/>
      </c>
      <c r="AM852" s="81">
        <f>IF(E852=$AM$6,1,"")</f>
        <v/>
      </c>
      <c r="AN852" s="81">
        <f>IF(E852=$AN$6,1,"")</f>
        <v/>
      </c>
      <c r="AO852" s="81">
        <f>IF(E852=$AO$6,1,"")</f>
        <v/>
      </c>
      <c r="AP852" s="81">
        <f>IF(E852=$AP$6,1,"")</f>
        <v/>
      </c>
      <c r="AQ852" s="81">
        <f>IF(E852=$AQ$6,1,"")</f>
        <v/>
      </c>
      <c r="AR852" s="81">
        <f>IF(E852=$AR$6,1,"")</f>
        <v/>
      </c>
      <c r="AS852" s="81" t="n"/>
    </row>
    <row r="853" ht="15.75" customHeight="1" s="80">
      <c r="A853" s="157" t="n"/>
      <c r="B853" s="124" t="n"/>
      <c r="C853" s="125" t="n"/>
      <c r="D853" s="126" t="n"/>
      <c r="E853" s="127" t="n"/>
      <c r="F853" s="128" t="n"/>
      <c r="G853" s="129">
        <f>IF(F853="","",ROUND(F853/60,2))</f>
        <v/>
      </c>
      <c r="H853" s="130" t="n"/>
      <c r="I853" s="131" t="n"/>
      <c r="J853" s="131">
        <f>IF(COUNTIF(B853:E853,"*")=0,"",IF(T853=1,"Invalid Service",IF(AND(V853=1,F853=""),"Add Session Mins",IF(AND(E853&gt;0,H853="",T853=""),"Enter Contract Rate",IF(AND(E853="IEP mtg, prep, rept",F853&gt;0),(G853*H853),IF(AND(E853&gt;0,F853&gt;0,H853&gt;0,I853=""),"Enter Travel",IF(AND(F853&gt;0,I853="Y"),(G853*H853)+$M$10,IF(AND(F853&gt;0,I853="N"),(G853*H853),H853))))))))</f>
        <v/>
      </c>
      <c r="K853" s="132">
        <f>J853</f>
        <v/>
      </c>
      <c r="L853" s="148" t="n"/>
      <c r="M853" s="148" t="n"/>
      <c r="N853" s="148" t="n"/>
      <c r="O853" s="87" t="n"/>
      <c r="P853" s="81" t="n"/>
      <c r="Q853" s="81" t="n"/>
      <c r="R853" s="81" t="n"/>
      <c r="S853" s="81" t="n"/>
      <c r="T853" s="136">
        <f>IF(AND(E853&gt;0,U853=0),1,"")</f>
        <v/>
      </c>
      <c r="U853" s="136">
        <f>SUM(X853:AR853)</f>
        <v/>
      </c>
      <c r="V853" s="136">
        <f>IF(E853=$Q$16,0,SUM(X853:AI853))</f>
        <v/>
      </c>
      <c r="W853" s="136">
        <f>SUM(AK853:AR853)</f>
        <v/>
      </c>
      <c r="X853" s="136">
        <f>IF(E853=$X$6,1,"")</f>
        <v/>
      </c>
      <c r="Y853" s="136">
        <f>IF(E853=$Y$6,1,"")</f>
        <v/>
      </c>
      <c r="Z853" s="136">
        <f>IF(E853=$Z$6,1,"")</f>
        <v/>
      </c>
      <c r="AA853" s="136">
        <f>IF(E853=$AA$6,1,"")</f>
        <v/>
      </c>
      <c r="AB853" s="136">
        <f>IF(E853=$AB$6,1,"")</f>
        <v/>
      </c>
      <c r="AC853" s="136">
        <f>IF(E853=$AC$6,1,"")</f>
        <v/>
      </c>
      <c r="AD853" s="136">
        <f>IF(E853=$AD$6,1,"")</f>
        <v/>
      </c>
      <c r="AE853" s="136">
        <f>IF(E853=$AE$6,1,"")</f>
        <v/>
      </c>
      <c r="AF853" s="136">
        <f>IF(E853=$AF$6,1,"")</f>
        <v/>
      </c>
      <c r="AG853" s="136">
        <f>IF(E853=$AG$6,1,"")</f>
        <v/>
      </c>
      <c r="AH853" s="136">
        <f>IF(E853=$AH$6,1,"")</f>
        <v/>
      </c>
      <c r="AI853" s="136">
        <f>IF(E853=$AI$6,1,"")</f>
        <v/>
      </c>
      <c r="AJ853" s="136">
        <f>IF(E853=$AJ$6,1,"")</f>
        <v/>
      </c>
      <c r="AK853" s="81">
        <f>IF(E853=$AK$6,1,"")</f>
        <v/>
      </c>
      <c r="AL853" s="81">
        <f>IF(E853=$AL$6,1,"")</f>
        <v/>
      </c>
      <c r="AM853" s="81">
        <f>IF(E853=$AM$6,1,"")</f>
        <v/>
      </c>
      <c r="AN853" s="81">
        <f>IF(E853=$AN$6,1,"")</f>
        <v/>
      </c>
      <c r="AO853" s="81">
        <f>IF(E853=$AO$6,1,"")</f>
        <v/>
      </c>
      <c r="AP853" s="81">
        <f>IF(E853=$AP$6,1,"")</f>
        <v/>
      </c>
      <c r="AQ853" s="81">
        <f>IF(E853=$AQ$6,1,"")</f>
        <v/>
      </c>
      <c r="AR853" s="81">
        <f>IF(E853=$AR$6,1,"")</f>
        <v/>
      </c>
      <c r="AS853" s="81" t="n"/>
    </row>
    <row r="854" ht="15.75" customHeight="1" s="80">
      <c r="A854" s="157" t="n"/>
      <c r="B854" s="124" t="n"/>
      <c r="C854" s="125" t="n"/>
      <c r="D854" s="126" t="n"/>
      <c r="E854" s="127" t="n"/>
      <c r="F854" s="128" t="n"/>
      <c r="G854" s="129">
        <f>IF(F854="","",ROUND(F854/60,2))</f>
        <v/>
      </c>
      <c r="H854" s="130" t="n"/>
      <c r="I854" s="131" t="n"/>
      <c r="J854" s="131">
        <f>IF(COUNTIF(B854:E854,"*")=0,"",IF(T854=1,"Invalid Service",IF(AND(V854=1,F854=""),"Add Session Mins",IF(AND(E854&gt;0,H854="",T854=""),"Enter Contract Rate",IF(AND(E854="IEP mtg, prep, rept",F854&gt;0),(G854*H854),IF(AND(E854&gt;0,F854&gt;0,H854&gt;0,I854=""),"Enter Travel",IF(AND(F854&gt;0,I854="Y"),(G854*H854)+$M$10,IF(AND(F854&gt;0,I854="N"),(G854*H854),H854))))))))</f>
        <v/>
      </c>
      <c r="K854" s="132">
        <f>J854</f>
        <v/>
      </c>
      <c r="L854" s="148" t="n"/>
      <c r="M854" s="148" t="n"/>
      <c r="N854" s="148" t="n"/>
      <c r="O854" s="87" t="n"/>
      <c r="P854" s="81" t="n"/>
      <c r="Q854" s="81" t="n"/>
      <c r="R854" s="81" t="n"/>
      <c r="S854" s="81" t="n"/>
      <c r="T854" s="136">
        <f>IF(AND(E854&gt;0,U854=0),1,"")</f>
        <v/>
      </c>
      <c r="U854" s="136">
        <f>SUM(X854:AR854)</f>
        <v/>
      </c>
      <c r="V854" s="136">
        <f>IF(E854=$Q$16,0,SUM(X854:AI854))</f>
        <v/>
      </c>
      <c r="W854" s="136">
        <f>SUM(AK854:AR854)</f>
        <v/>
      </c>
      <c r="X854" s="136">
        <f>IF(E854=$X$6,1,"")</f>
        <v/>
      </c>
      <c r="Y854" s="136">
        <f>IF(E854=$Y$6,1,"")</f>
        <v/>
      </c>
      <c r="Z854" s="136">
        <f>IF(E854=$Z$6,1,"")</f>
        <v/>
      </c>
      <c r="AA854" s="136">
        <f>IF(E854=$AA$6,1,"")</f>
        <v/>
      </c>
      <c r="AB854" s="136">
        <f>IF(E854=$AB$6,1,"")</f>
        <v/>
      </c>
      <c r="AC854" s="136">
        <f>IF(E854=$AC$6,1,"")</f>
        <v/>
      </c>
      <c r="AD854" s="136">
        <f>IF(E854=$AD$6,1,"")</f>
        <v/>
      </c>
      <c r="AE854" s="136">
        <f>IF(E854=$AE$6,1,"")</f>
        <v/>
      </c>
      <c r="AF854" s="136">
        <f>IF(E854=$AF$6,1,"")</f>
        <v/>
      </c>
      <c r="AG854" s="136">
        <f>IF(E854=$AG$6,1,"")</f>
        <v/>
      </c>
      <c r="AH854" s="136">
        <f>IF(E854=$AH$6,1,"")</f>
        <v/>
      </c>
      <c r="AI854" s="136">
        <f>IF(E854=$AI$6,1,"")</f>
        <v/>
      </c>
      <c r="AJ854" s="136">
        <f>IF(E854=$AJ$6,1,"")</f>
        <v/>
      </c>
      <c r="AK854" s="81">
        <f>IF(E854=$AK$6,1,"")</f>
        <v/>
      </c>
      <c r="AL854" s="81">
        <f>IF(E854=$AL$6,1,"")</f>
        <v/>
      </c>
      <c r="AM854" s="81">
        <f>IF(E854=$AM$6,1,"")</f>
        <v/>
      </c>
      <c r="AN854" s="81">
        <f>IF(E854=$AN$6,1,"")</f>
        <v/>
      </c>
      <c r="AO854" s="81">
        <f>IF(E854=$AO$6,1,"")</f>
        <v/>
      </c>
      <c r="AP854" s="81">
        <f>IF(E854=$AP$6,1,"")</f>
        <v/>
      </c>
      <c r="AQ854" s="81">
        <f>IF(E854=$AQ$6,1,"")</f>
        <v/>
      </c>
      <c r="AR854" s="81">
        <f>IF(E854=$AR$6,1,"")</f>
        <v/>
      </c>
      <c r="AS854" s="81" t="n"/>
    </row>
    <row r="855" ht="15.75" customHeight="1" s="80">
      <c r="A855" s="157" t="n"/>
      <c r="B855" s="124" t="n"/>
      <c r="C855" s="125" t="n"/>
      <c r="D855" s="126" t="n"/>
      <c r="E855" s="127" t="n"/>
      <c r="F855" s="128" t="n"/>
      <c r="G855" s="129">
        <f>IF(F855="","",ROUND(F855/60,2))</f>
        <v/>
      </c>
      <c r="H855" s="130" t="n"/>
      <c r="I855" s="131" t="n"/>
      <c r="J855" s="131">
        <f>IF(COUNTIF(B855:E855,"*")=0,"",IF(T855=1,"Invalid Service",IF(AND(V855=1,F855=""),"Add Session Mins",IF(AND(E855&gt;0,H855="",T855=""),"Enter Contract Rate",IF(AND(E855="IEP mtg, prep, rept",F855&gt;0),(G855*H855),IF(AND(E855&gt;0,F855&gt;0,H855&gt;0,I855=""),"Enter Travel",IF(AND(F855&gt;0,I855="Y"),(G855*H855)+$M$10,IF(AND(F855&gt;0,I855="N"),(G855*H855),H855))))))))</f>
        <v/>
      </c>
      <c r="K855" s="132">
        <f>J855</f>
        <v/>
      </c>
      <c r="L855" s="148" t="n"/>
      <c r="M855" s="148" t="n"/>
      <c r="N855" s="148" t="n"/>
      <c r="O855" s="87" t="n"/>
      <c r="P855" s="81" t="n"/>
      <c r="Q855" s="81" t="n"/>
      <c r="R855" s="81" t="n"/>
      <c r="S855" s="81" t="n"/>
      <c r="T855" s="136">
        <f>IF(AND(E855&gt;0,U855=0),1,"")</f>
        <v/>
      </c>
      <c r="U855" s="136">
        <f>SUM(X855:AR855)</f>
        <v/>
      </c>
      <c r="V855" s="136">
        <f>IF(E855=$Q$16,0,SUM(X855:AI855))</f>
        <v/>
      </c>
      <c r="W855" s="136">
        <f>SUM(AK855:AR855)</f>
        <v/>
      </c>
      <c r="X855" s="136">
        <f>IF(E855=$X$6,1,"")</f>
        <v/>
      </c>
      <c r="Y855" s="136">
        <f>IF(E855=$Y$6,1,"")</f>
        <v/>
      </c>
      <c r="Z855" s="136">
        <f>IF(E855=$Z$6,1,"")</f>
        <v/>
      </c>
      <c r="AA855" s="136">
        <f>IF(E855=$AA$6,1,"")</f>
        <v/>
      </c>
      <c r="AB855" s="136">
        <f>IF(E855=$AB$6,1,"")</f>
        <v/>
      </c>
      <c r="AC855" s="136">
        <f>IF(E855=$AC$6,1,"")</f>
        <v/>
      </c>
      <c r="AD855" s="136">
        <f>IF(E855=$AD$6,1,"")</f>
        <v/>
      </c>
      <c r="AE855" s="136">
        <f>IF(E855=$AE$6,1,"")</f>
        <v/>
      </c>
      <c r="AF855" s="136">
        <f>IF(E855=$AF$6,1,"")</f>
        <v/>
      </c>
      <c r="AG855" s="136">
        <f>IF(E855=$AG$6,1,"")</f>
        <v/>
      </c>
      <c r="AH855" s="136">
        <f>IF(E855=$AH$6,1,"")</f>
        <v/>
      </c>
      <c r="AI855" s="136">
        <f>IF(E855=$AI$6,1,"")</f>
        <v/>
      </c>
      <c r="AJ855" s="136">
        <f>IF(E855=$AJ$6,1,"")</f>
        <v/>
      </c>
      <c r="AK855" s="81">
        <f>IF(E855=$AK$6,1,"")</f>
        <v/>
      </c>
      <c r="AL855" s="81">
        <f>IF(E855=$AL$6,1,"")</f>
        <v/>
      </c>
      <c r="AM855" s="81">
        <f>IF(E855=$AM$6,1,"")</f>
        <v/>
      </c>
      <c r="AN855" s="81">
        <f>IF(E855=$AN$6,1,"")</f>
        <v/>
      </c>
      <c r="AO855" s="81">
        <f>IF(E855=$AO$6,1,"")</f>
        <v/>
      </c>
      <c r="AP855" s="81">
        <f>IF(E855=$AP$6,1,"")</f>
        <v/>
      </c>
      <c r="AQ855" s="81">
        <f>IF(E855=$AQ$6,1,"")</f>
        <v/>
      </c>
      <c r="AR855" s="81">
        <f>IF(E855=$AR$6,1,"")</f>
        <v/>
      </c>
      <c r="AS855" s="81" t="n"/>
    </row>
    <row r="856" ht="15.75" customHeight="1" s="80">
      <c r="A856" s="157" t="n"/>
      <c r="B856" s="124" t="n"/>
      <c r="C856" s="125" t="n"/>
      <c r="D856" s="126" t="n"/>
      <c r="E856" s="127" t="n"/>
      <c r="F856" s="128" t="n"/>
      <c r="G856" s="129">
        <f>IF(F856="","",ROUND(F856/60,2))</f>
        <v/>
      </c>
      <c r="H856" s="130" t="n"/>
      <c r="I856" s="131" t="n"/>
      <c r="J856" s="131">
        <f>IF(COUNTIF(B856:E856,"*")=0,"",IF(T856=1,"Invalid Service",IF(AND(V856=1,F856=""),"Add Session Mins",IF(AND(E856&gt;0,H856="",T856=""),"Enter Contract Rate",IF(AND(E856="IEP mtg, prep, rept",F856&gt;0),(G856*H856),IF(AND(E856&gt;0,F856&gt;0,H856&gt;0,I856=""),"Enter Travel",IF(AND(F856&gt;0,I856="Y"),(G856*H856)+$M$10,IF(AND(F856&gt;0,I856="N"),(G856*H856),H856))))))))</f>
        <v/>
      </c>
      <c r="K856" s="132">
        <f>J856</f>
        <v/>
      </c>
      <c r="L856" s="148" t="n"/>
      <c r="M856" s="148" t="n"/>
      <c r="N856" s="148" t="n"/>
      <c r="O856" s="87" t="n"/>
      <c r="P856" s="81" t="n"/>
      <c r="Q856" s="81" t="n"/>
      <c r="R856" s="81" t="n"/>
      <c r="S856" s="81" t="n"/>
      <c r="T856" s="136">
        <f>IF(AND(E856&gt;0,U856=0),1,"")</f>
        <v/>
      </c>
      <c r="U856" s="136">
        <f>SUM(X856:AR856)</f>
        <v/>
      </c>
      <c r="V856" s="136">
        <f>IF(E856=$Q$16,0,SUM(X856:AI856))</f>
        <v/>
      </c>
      <c r="W856" s="136">
        <f>SUM(AK856:AR856)</f>
        <v/>
      </c>
      <c r="X856" s="136">
        <f>IF(E856=$X$6,1,"")</f>
        <v/>
      </c>
      <c r="Y856" s="136">
        <f>IF(E856=$Y$6,1,"")</f>
        <v/>
      </c>
      <c r="Z856" s="136">
        <f>IF(E856=$Z$6,1,"")</f>
        <v/>
      </c>
      <c r="AA856" s="136">
        <f>IF(E856=$AA$6,1,"")</f>
        <v/>
      </c>
      <c r="AB856" s="136">
        <f>IF(E856=$AB$6,1,"")</f>
        <v/>
      </c>
      <c r="AC856" s="136">
        <f>IF(E856=$AC$6,1,"")</f>
        <v/>
      </c>
      <c r="AD856" s="136">
        <f>IF(E856=$AD$6,1,"")</f>
        <v/>
      </c>
      <c r="AE856" s="136">
        <f>IF(E856=$AE$6,1,"")</f>
        <v/>
      </c>
      <c r="AF856" s="136">
        <f>IF(E856=$AF$6,1,"")</f>
        <v/>
      </c>
      <c r="AG856" s="136">
        <f>IF(E856=$AG$6,1,"")</f>
        <v/>
      </c>
      <c r="AH856" s="136">
        <f>IF(E856=$AH$6,1,"")</f>
        <v/>
      </c>
      <c r="AI856" s="136">
        <f>IF(E856=$AI$6,1,"")</f>
        <v/>
      </c>
      <c r="AJ856" s="136">
        <f>IF(E856=$AJ$6,1,"")</f>
        <v/>
      </c>
      <c r="AK856" s="81">
        <f>IF(E856=$AK$6,1,"")</f>
        <v/>
      </c>
      <c r="AL856" s="81">
        <f>IF(E856=$AL$6,1,"")</f>
        <v/>
      </c>
      <c r="AM856" s="81">
        <f>IF(E856=$AM$6,1,"")</f>
        <v/>
      </c>
      <c r="AN856" s="81">
        <f>IF(E856=$AN$6,1,"")</f>
        <v/>
      </c>
      <c r="AO856" s="81">
        <f>IF(E856=$AO$6,1,"")</f>
        <v/>
      </c>
      <c r="AP856" s="81">
        <f>IF(E856=$AP$6,1,"")</f>
        <v/>
      </c>
      <c r="AQ856" s="81">
        <f>IF(E856=$AQ$6,1,"")</f>
        <v/>
      </c>
      <c r="AR856" s="81">
        <f>IF(E856=$AR$6,1,"")</f>
        <v/>
      </c>
      <c r="AS856" s="81" t="n"/>
    </row>
    <row r="857" ht="15.75" customHeight="1" s="80">
      <c r="A857" s="157" t="n"/>
      <c r="B857" s="124" t="n"/>
      <c r="C857" s="125" t="n"/>
      <c r="D857" s="126" t="n"/>
      <c r="E857" s="127" t="n"/>
      <c r="F857" s="128" t="n"/>
      <c r="G857" s="129">
        <f>IF(F857="","",ROUND(F857/60,2))</f>
        <v/>
      </c>
      <c r="H857" s="130" t="n"/>
      <c r="I857" s="131" t="n"/>
      <c r="J857" s="131">
        <f>IF(COUNTIF(B857:E857,"*")=0,"",IF(T857=1,"Invalid Service",IF(AND(V857=1,F857=""),"Add Session Mins",IF(AND(E857&gt;0,H857="",T857=""),"Enter Contract Rate",IF(AND(E857="IEP mtg, prep, rept",F857&gt;0),(G857*H857),IF(AND(E857&gt;0,F857&gt;0,H857&gt;0,I857=""),"Enter Travel",IF(AND(F857&gt;0,I857="Y"),(G857*H857)+$M$10,IF(AND(F857&gt;0,I857="N"),(G857*H857),H857))))))))</f>
        <v/>
      </c>
      <c r="K857" s="132">
        <f>J857</f>
        <v/>
      </c>
      <c r="L857" s="148" t="n"/>
      <c r="M857" s="148" t="n"/>
      <c r="N857" s="148" t="n"/>
      <c r="O857" s="87" t="n"/>
      <c r="P857" s="81" t="n"/>
      <c r="Q857" s="81" t="n"/>
      <c r="R857" s="81" t="n"/>
      <c r="S857" s="81" t="n"/>
      <c r="T857" s="136">
        <f>IF(AND(E857&gt;0,U857=0),1,"")</f>
        <v/>
      </c>
      <c r="U857" s="136">
        <f>SUM(X857:AR857)</f>
        <v/>
      </c>
      <c r="V857" s="136">
        <f>IF(E857=$Q$16,0,SUM(X857:AI857))</f>
        <v/>
      </c>
      <c r="W857" s="136">
        <f>SUM(AK857:AR857)</f>
        <v/>
      </c>
      <c r="X857" s="136">
        <f>IF(E857=$X$6,1,"")</f>
        <v/>
      </c>
      <c r="Y857" s="136">
        <f>IF(E857=$Y$6,1,"")</f>
        <v/>
      </c>
      <c r="Z857" s="136">
        <f>IF(E857=$Z$6,1,"")</f>
        <v/>
      </c>
      <c r="AA857" s="136">
        <f>IF(E857=$AA$6,1,"")</f>
        <v/>
      </c>
      <c r="AB857" s="136">
        <f>IF(E857=$AB$6,1,"")</f>
        <v/>
      </c>
      <c r="AC857" s="136">
        <f>IF(E857=$AC$6,1,"")</f>
        <v/>
      </c>
      <c r="AD857" s="136">
        <f>IF(E857=$AD$6,1,"")</f>
        <v/>
      </c>
      <c r="AE857" s="136">
        <f>IF(E857=$AE$6,1,"")</f>
        <v/>
      </c>
      <c r="AF857" s="136">
        <f>IF(E857=$AF$6,1,"")</f>
        <v/>
      </c>
      <c r="AG857" s="136">
        <f>IF(E857=$AG$6,1,"")</f>
        <v/>
      </c>
      <c r="AH857" s="136">
        <f>IF(E857=$AH$6,1,"")</f>
        <v/>
      </c>
      <c r="AI857" s="136">
        <f>IF(E857=$AI$6,1,"")</f>
        <v/>
      </c>
      <c r="AJ857" s="136">
        <f>IF(E857=$AJ$6,1,"")</f>
        <v/>
      </c>
      <c r="AK857" s="81">
        <f>IF(E857=$AK$6,1,"")</f>
        <v/>
      </c>
      <c r="AL857" s="81">
        <f>IF(E857=$AL$6,1,"")</f>
        <v/>
      </c>
      <c r="AM857" s="81">
        <f>IF(E857=$AM$6,1,"")</f>
        <v/>
      </c>
      <c r="AN857" s="81">
        <f>IF(E857=$AN$6,1,"")</f>
        <v/>
      </c>
      <c r="AO857" s="81">
        <f>IF(E857=$AO$6,1,"")</f>
        <v/>
      </c>
      <c r="AP857" s="81">
        <f>IF(E857=$AP$6,1,"")</f>
        <v/>
      </c>
      <c r="AQ857" s="81">
        <f>IF(E857=$AQ$6,1,"")</f>
        <v/>
      </c>
      <c r="AR857" s="81">
        <f>IF(E857=$AR$6,1,"")</f>
        <v/>
      </c>
      <c r="AS857" s="81" t="n"/>
    </row>
    <row r="858" ht="15.75" customHeight="1" s="80">
      <c r="A858" s="157" t="n"/>
      <c r="B858" s="124" t="n"/>
      <c r="C858" s="125" t="n"/>
      <c r="D858" s="126" t="n"/>
      <c r="E858" s="127" t="n"/>
      <c r="F858" s="128" t="n"/>
      <c r="G858" s="129">
        <f>IF(F858="","",ROUND(F858/60,2))</f>
        <v/>
      </c>
      <c r="H858" s="130" t="n"/>
      <c r="I858" s="131" t="n"/>
      <c r="J858" s="131">
        <f>IF(COUNTIF(B858:E858,"*")=0,"",IF(T858=1,"Invalid Service",IF(AND(V858=1,F858=""),"Add Session Mins",IF(AND(E858&gt;0,H858="",T858=""),"Enter Contract Rate",IF(AND(E858="IEP mtg, prep, rept",F858&gt;0),(G858*H858),IF(AND(E858&gt;0,F858&gt;0,H858&gt;0,I858=""),"Enter Travel",IF(AND(F858&gt;0,I858="Y"),(G858*H858)+$M$10,IF(AND(F858&gt;0,I858="N"),(G858*H858),H858))))))))</f>
        <v/>
      </c>
      <c r="K858" s="132">
        <f>J858</f>
        <v/>
      </c>
      <c r="L858" s="148" t="n"/>
      <c r="M858" s="148" t="n"/>
      <c r="N858" s="148" t="n"/>
      <c r="O858" s="87" t="n"/>
      <c r="P858" s="81" t="n"/>
      <c r="Q858" s="81" t="n"/>
      <c r="R858" s="81" t="n"/>
      <c r="S858" s="81" t="n"/>
      <c r="T858" s="136">
        <f>IF(AND(E858&gt;0,U858=0),1,"")</f>
        <v/>
      </c>
      <c r="U858" s="136">
        <f>SUM(X858:AR858)</f>
        <v/>
      </c>
      <c r="V858" s="136">
        <f>IF(E858=$Q$16,0,SUM(X858:AI858))</f>
        <v/>
      </c>
      <c r="W858" s="136">
        <f>SUM(AK858:AR858)</f>
        <v/>
      </c>
      <c r="X858" s="136">
        <f>IF(E858=$X$6,1,"")</f>
        <v/>
      </c>
      <c r="Y858" s="136">
        <f>IF(E858=$Y$6,1,"")</f>
        <v/>
      </c>
      <c r="Z858" s="136">
        <f>IF(E858=$Z$6,1,"")</f>
        <v/>
      </c>
      <c r="AA858" s="136">
        <f>IF(E858=$AA$6,1,"")</f>
        <v/>
      </c>
      <c r="AB858" s="136">
        <f>IF(E858=$AB$6,1,"")</f>
        <v/>
      </c>
      <c r="AC858" s="136">
        <f>IF(E858=$AC$6,1,"")</f>
        <v/>
      </c>
      <c r="AD858" s="136">
        <f>IF(E858=$AD$6,1,"")</f>
        <v/>
      </c>
      <c r="AE858" s="136">
        <f>IF(E858=$AE$6,1,"")</f>
        <v/>
      </c>
      <c r="AF858" s="136">
        <f>IF(E858=$AF$6,1,"")</f>
        <v/>
      </c>
      <c r="AG858" s="136">
        <f>IF(E858=$AG$6,1,"")</f>
        <v/>
      </c>
      <c r="AH858" s="136">
        <f>IF(E858=$AH$6,1,"")</f>
        <v/>
      </c>
      <c r="AI858" s="136">
        <f>IF(E858=$AI$6,1,"")</f>
        <v/>
      </c>
      <c r="AJ858" s="136">
        <f>IF(E858=$AJ$6,1,"")</f>
        <v/>
      </c>
      <c r="AK858" s="81">
        <f>IF(E858=$AK$6,1,"")</f>
        <v/>
      </c>
      <c r="AL858" s="81">
        <f>IF(E858=$AL$6,1,"")</f>
        <v/>
      </c>
      <c r="AM858" s="81">
        <f>IF(E858=$AM$6,1,"")</f>
        <v/>
      </c>
      <c r="AN858" s="81">
        <f>IF(E858=$AN$6,1,"")</f>
        <v/>
      </c>
      <c r="AO858" s="81">
        <f>IF(E858=$AO$6,1,"")</f>
        <v/>
      </c>
      <c r="AP858" s="81">
        <f>IF(E858=$AP$6,1,"")</f>
        <v/>
      </c>
      <c r="AQ858" s="81">
        <f>IF(E858=$AQ$6,1,"")</f>
        <v/>
      </c>
      <c r="AR858" s="81">
        <f>IF(E858=$AR$6,1,"")</f>
        <v/>
      </c>
      <c r="AS858" s="81" t="n"/>
    </row>
    <row r="859" ht="15.75" customHeight="1" s="80">
      <c r="A859" s="157" t="n"/>
      <c r="B859" s="124" t="n"/>
      <c r="C859" s="125" t="n"/>
      <c r="D859" s="126" t="n"/>
      <c r="E859" s="127" t="n"/>
      <c r="F859" s="128" t="n"/>
      <c r="G859" s="129">
        <f>IF(F859="","",ROUND(F859/60,2))</f>
        <v/>
      </c>
      <c r="H859" s="130" t="n"/>
      <c r="I859" s="131" t="n"/>
      <c r="J859" s="131">
        <f>IF(COUNTIF(B859:E859,"*")=0,"",IF(T859=1,"Invalid Service",IF(AND(V859=1,F859=""),"Add Session Mins",IF(AND(E859&gt;0,H859="",T859=""),"Enter Contract Rate",IF(AND(E859="IEP mtg, prep, rept",F859&gt;0),(G859*H859),IF(AND(E859&gt;0,F859&gt;0,H859&gt;0,I859=""),"Enter Travel",IF(AND(F859&gt;0,I859="Y"),(G859*H859)+$M$10,IF(AND(F859&gt;0,I859="N"),(G859*H859),H859))))))))</f>
        <v/>
      </c>
      <c r="K859" s="132">
        <f>J859</f>
        <v/>
      </c>
      <c r="L859" s="148" t="n"/>
      <c r="M859" s="148" t="n"/>
      <c r="N859" s="148" t="n"/>
      <c r="O859" s="87" t="n"/>
      <c r="P859" s="81" t="n"/>
      <c r="Q859" s="81" t="n"/>
      <c r="R859" s="81" t="n"/>
      <c r="S859" s="81" t="n"/>
      <c r="T859" s="136">
        <f>IF(AND(E859&gt;0,U859=0),1,"")</f>
        <v/>
      </c>
      <c r="U859" s="136">
        <f>SUM(X859:AR859)</f>
        <v/>
      </c>
      <c r="V859" s="136">
        <f>IF(E859=$Q$16,0,SUM(X859:AI859))</f>
        <v/>
      </c>
      <c r="W859" s="136">
        <f>SUM(AK859:AR859)</f>
        <v/>
      </c>
      <c r="X859" s="136">
        <f>IF(E859=$X$6,1,"")</f>
        <v/>
      </c>
      <c r="Y859" s="136">
        <f>IF(E859=$Y$6,1,"")</f>
        <v/>
      </c>
      <c r="Z859" s="136">
        <f>IF(E859=$Z$6,1,"")</f>
        <v/>
      </c>
      <c r="AA859" s="136">
        <f>IF(E859=$AA$6,1,"")</f>
        <v/>
      </c>
      <c r="AB859" s="136">
        <f>IF(E859=$AB$6,1,"")</f>
        <v/>
      </c>
      <c r="AC859" s="136">
        <f>IF(E859=$AC$6,1,"")</f>
        <v/>
      </c>
      <c r="AD859" s="136">
        <f>IF(E859=$AD$6,1,"")</f>
        <v/>
      </c>
      <c r="AE859" s="136">
        <f>IF(E859=$AE$6,1,"")</f>
        <v/>
      </c>
      <c r="AF859" s="136">
        <f>IF(E859=$AF$6,1,"")</f>
        <v/>
      </c>
      <c r="AG859" s="136">
        <f>IF(E859=$AG$6,1,"")</f>
        <v/>
      </c>
      <c r="AH859" s="136">
        <f>IF(E859=$AH$6,1,"")</f>
        <v/>
      </c>
      <c r="AI859" s="136">
        <f>IF(E859=$AI$6,1,"")</f>
        <v/>
      </c>
      <c r="AJ859" s="136">
        <f>IF(E859=$AJ$6,1,"")</f>
        <v/>
      </c>
      <c r="AK859" s="81">
        <f>IF(E859=$AK$6,1,"")</f>
        <v/>
      </c>
      <c r="AL859" s="81">
        <f>IF(E859=$AL$6,1,"")</f>
        <v/>
      </c>
      <c r="AM859" s="81">
        <f>IF(E859=$AM$6,1,"")</f>
        <v/>
      </c>
      <c r="AN859" s="81">
        <f>IF(E859=$AN$6,1,"")</f>
        <v/>
      </c>
      <c r="AO859" s="81">
        <f>IF(E859=$AO$6,1,"")</f>
        <v/>
      </c>
      <c r="AP859" s="81">
        <f>IF(E859=$AP$6,1,"")</f>
        <v/>
      </c>
      <c r="AQ859" s="81">
        <f>IF(E859=$AQ$6,1,"")</f>
        <v/>
      </c>
      <c r="AR859" s="81">
        <f>IF(E859=$AR$6,1,"")</f>
        <v/>
      </c>
      <c r="AS859" s="81" t="n"/>
    </row>
    <row r="860" ht="15.75" customHeight="1" s="80">
      <c r="A860" s="157" t="n"/>
      <c r="B860" s="124" t="n"/>
      <c r="C860" s="125" t="n"/>
      <c r="D860" s="126" t="n"/>
      <c r="E860" s="127" t="n"/>
      <c r="F860" s="128" t="n"/>
      <c r="G860" s="129">
        <f>IF(F860="","",ROUND(F860/60,2))</f>
        <v/>
      </c>
      <c r="H860" s="130" t="n"/>
      <c r="I860" s="131" t="n"/>
      <c r="J860" s="131">
        <f>IF(COUNTIF(B860:E860,"*")=0,"",IF(T860=1,"Invalid Service",IF(AND(V860=1,F860=""),"Add Session Mins",IF(AND(E860&gt;0,H860="",T860=""),"Enter Contract Rate",IF(AND(E860="IEP mtg, prep, rept",F860&gt;0),(G860*H860),IF(AND(E860&gt;0,F860&gt;0,H860&gt;0,I860=""),"Enter Travel",IF(AND(F860&gt;0,I860="Y"),(G860*H860)+$M$10,IF(AND(F860&gt;0,I860="N"),(G860*H860),H860))))))))</f>
        <v/>
      </c>
      <c r="K860" s="132">
        <f>J860</f>
        <v/>
      </c>
      <c r="L860" s="148" t="n"/>
      <c r="M860" s="148" t="n"/>
      <c r="N860" s="148" t="n"/>
      <c r="O860" s="87" t="n"/>
      <c r="P860" s="81" t="n"/>
      <c r="Q860" s="81" t="n"/>
      <c r="R860" s="81" t="n"/>
      <c r="S860" s="81" t="n"/>
      <c r="T860" s="136">
        <f>IF(AND(E860&gt;0,U860=0),1,"")</f>
        <v/>
      </c>
      <c r="U860" s="136">
        <f>SUM(X860:AR860)</f>
        <v/>
      </c>
      <c r="V860" s="136">
        <f>IF(E860=$Q$16,0,SUM(X860:AI860))</f>
        <v/>
      </c>
      <c r="W860" s="136">
        <f>SUM(AK860:AR860)</f>
        <v/>
      </c>
      <c r="X860" s="136">
        <f>IF(E860=$X$6,1,"")</f>
        <v/>
      </c>
      <c r="Y860" s="136">
        <f>IF(E860=$Y$6,1,"")</f>
        <v/>
      </c>
      <c r="Z860" s="136">
        <f>IF(E860=$Z$6,1,"")</f>
        <v/>
      </c>
      <c r="AA860" s="136">
        <f>IF(E860=$AA$6,1,"")</f>
        <v/>
      </c>
      <c r="AB860" s="136">
        <f>IF(E860=$AB$6,1,"")</f>
        <v/>
      </c>
      <c r="AC860" s="136">
        <f>IF(E860=$AC$6,1,"")</f>
        <v/>
      </c>
      <c r="AD860" s="136">
        <f>IF(E860=$AD$6,1,"")</f>
        <v/>
      </c>
      <c r="AE860" s="136">
        <f>IF(E860=$AE$6,1,"")</f>
        <v/>
      </c>
      <c r="AF860" s="136">
        <f>IF(E860=$AF$6,1,"")</f>
        <v/>
      </c>
      <c r="AG860" s="136">
        <f>IF(E860=$AG$6,1,"")</f>
        <v/>
      </c>
      <c r="AH860" s="136">
        <f>IF(E860=$AH$6,1,"")</f>
        <v/>
      </c>
      <c r="AI860" s="136">
        <f>IF(E860=$AI$6,1,"")</f>
        <v/>
      </c>
      <c r="AJ860" s="136">
        <f>IF(E860=$AJ$6,1,"")</f>
        <v/>
      </c>
      <c r="AK860" s="81">
        <f>IF(E860=$AK$6,1,"")</f>
        <v/>
      </c>
      <c r="AL860" s="81">
        <f>IF(E860=$AL$6,1,"")</f>
        <v/>
      </c>
      <c r="AM860" s="81">
        <f>IF(E860=$AM$6,1,"")</f>
        <v/>
      </c>
      <c r="AN860" s="81">
        <f>IF(E860=$AN$6,1,"")</f>
        <v/>
      </c>
      <c r="AO860" s="81">
        <f>IF(E860=$AO$6,1,"")</f>
        <v/>
      </c>
      <c r="AP860" s="81">
        <f>IF(E860=$AP$6,1,"")</f>
        <v/>
      </c>
      <c r="AQ860" s="81">
        <f>IF(E860=$AQ$6,1,"")</f>
        <v/>
      </c>
      <c r="AR860" s="81">
        <f>IF(E860=$AR$6,1,"")</f>
        <v/>
      </c>
      <c r="AS860" s="81" t="n"/>
    </row>
    <row r="861" ht="15.75" customHeight="1" s="80">
      <c r="A861" s="157" t="n"/>
      <c r="B861" s="124" t="n"/>
      <c r="C861" s="125" t="n"/>
      <c r="D861" s="126" t="n"/>
      <c r="E861" s="127" t="n"/>
      <c r="F861" s="128" t="n"/>
      <c r="G861" s="129">
        <f>IF(F861="","",ROUND(F861/60,2))</f>
        <v/>
      </c>
      <c r="H861" s="130" t="n"/>
      <c r="I861" s="131" t="n"/>
      <c r="J861" s="131">
        <f>IF(COUNTIF(B861:E861,"*")=0,"",IF(T861=1,"Invalid Service",IF(AND(V861=1,F861=""),"Add Session Mins",IF(AND(E861&gt;0,H861="",T861=""),"Enter Contract Rate",IF(AND(E861="IEP mtg, prep, rept",F861&gt;0),(G861*H861),IF(AND(E861&gt;0,F861&gt;0,H861&gt;0,I861=""),"Enter Travel",IF(AND(F861&gt;0,I861="Y"),(G861*H861)+$M$10,IF(AND(F861&gt;0,I861="N"),(G861*H861),H861))))))))</f>
        <v/>
      </c>
      <c r="K861" s="132">
        <f>J861</f>
        <v/>
      </c>
      <c r="L861" s="148" t="n"/>
      <c r="M861" s="148" t="n"/>
      <c r="N861" s="148" t="n"/>
      <c r="O861" s="87" t="n"/>
      <c r="P861" s="81" t="n"/>
      <c r="Q861" s="81" t="n"/>
      <c r="R861" s="81" t="n"/>
      <c r="S861" s="81" t="n"/>
      <c r="T861" s="136">
        <f>IF(AND(E861&gt;0,U861=0),1,"")</f>
        <v/>
      </c>
      <c r="U861" s="136">
        <f>SUM(X861:AR861)</f>
        <v/>
      </c>
      <c r="V861" s="136">
        <f>IF(E861=$Q$16,0,SUM(X861:AI861))</f>
        <v/>
      </c>
      <c r="W861" s="136">
        <f>SUM(AK861:AR861)</f>
        <v/>
      </c>
      <c r="X861" s="136">
        <f>IF(E861=$X$6,1,"")</f>
        <v/>
      </c>
      <c r="Y861" s="136">
        <f>IF(E861=$Y$6,1,"")</f>
        <v/>
      </c>
      <c r="Z861" s="136">
        <f>IF(E861=$Z$6,1,"")</f>
        <v/>
      </c>
      <c r="AA861" s="136">
        <f>IF(E861=$AA$6,1,"")</f>
        <v/>
      </c>
      <c r="AB861" s="136">
        <f>IF(E861=$AB$6,1,"")</f>
        <v/>
      </c>
      <c r="AC861" s="136">
        <f>IF(E861=$AC$6,1,"")</f>
        <v/>
      </c>
      <c r="AD861" s="136">
        <f>IF(E861=$AD$6,1,"")</f>
        <v/>
      </c>
      <c r="AE861" s="136">
        <f>IF(E861=$AE$6,1,"")</f>
        <v/>
      </c>
      <c r="AF861" s="136">
        <f>IF(E861=$AF$6,1,"")</f>
        <v/>
      </c>
      <c r="AG861" s="136">
        <f>IF(E861=$AG$6,1,"")</f>
        <v/>
      </c>
      <c r="AH861" s="136">
        <f>IF(E861=$AH$6,1,"")</f>
        <v/>
      </c>
      <c r="AI861" s="136">
        <f>IF(E861=$AI$6,1,"")</f>
        <v/>
      </c>
      <c r="AJ861" s="136">
        <f>IF(E861=$AJ$6,1,"")</f>
        <v/>
      </c>
      <c r="AK861" s="81">
        <f>IF(E861=$AK$6,1,"")</f>
        <v/>
      </c>
      <c r="AL861" s="81">
        <f>IF(E861=$AL$6,1,"")</f>
        <v/>
      </c>
      <c r="AM861" s="81">
        <f>IF(E861=$AM$6,1,"")</f>
        <v/>
      </c>
      <c r="AN861" s="81">
        <f>IF(E861=$AN$6,1,"")</f>
        <v/>
      </c>
      <c r="AO861" s="81">
        <f>IF(E861=$AO$6,1,"")</f>
        <v/>
      </c>
      <c r="AP861" s="81">
        <f>IF(E861=$AP$6,1,"")</f>
        <v/>
      </c>
      <c r="AQ861" s="81">
        <f>IF(E861=$AQ$6,1,"")</f>
        <v/>
      </c>
      <c r="AR861" s="81">
        <f>IF(E861=$AR$6,1,"")</f>
        <v/>
      </c>
      <c r="AS861" s="81" t="n"/>
    </row>
    <row r="862" ht="15.75" customHeight="1" s="80">
      <c r="A862" s="157" t="n"/>
      <c r="B862" s="124" t="n"/>
      <c r="C862" s="125" t="n"/>
      <c r="D862" s="126" t="n"/>
      <c r="E862" s="127" t="n"/>
      <c r="F862" s="128" t="n"/>
      <c r="G862" s="129">
        <f>IF(F862="","",ROUND(F862/60,2))</f>
        <v/>
      </c>
      <c r="H862" s="130" t="n"/>
      <c r="I862" s="131" t="n"/>
      <c r="J862" s="131">
        <f>IF(COUNTIF(B862:E862,"*")=0,"",IF(T862=1,"Invalid Service",IF(AND(V862=1,F862=""),"Add Session Mins",IF(AND(E862&gt;0,H862="",T862=""),"Enter Contract Rate",IF(AND(E862="IEP mtg, prep, rept",F862&gt;0),(G862*H862),IF(AND(E862&gt;0,F862&gt;0,H862&gt;0,I862=""),"Enter Travel",IF(AND(F862&gt;0,I862="Y"),(G862*H862)+$M$10,IF(AND(F862&gt;0,I862="N"),(G862*H862),H862))))))))</f>
        <v/>
      </c>
      <c r="K862" s="132">
        <f>J862</f>
        <v/>
      </c>
      <c r="L862" s="148" t="n"/>
      <c r="M862" s="148" t="n"/>
      <c r="N862" s="148" t="n"/>
      <c r="O862" s="87" t="n"/>
      <c r="P862" s="81" t="n"/>
      <c r="Q862" s="81" t="n"/>
      <c r="R862" s="81" t="n"/>
      <c r="S862" s="81" t="n"/>
      <c r="T862" s="136">
        <f>IF(AND(E862&gt;0,U862=0),1,"")</f>
        <v/>
      </c>
      <c r="U862" s="136">
        <f>SUM(X862:AR862)</f>
        <v/>
      </c>
      <c r="V862" s="136">
        <f>IF(E862=$Q$16,0,SUM(X862:AI862))</f>
        <v/>
      </c>
      <c r="W862" s="136">
        <f>SUM(AK862:AR862)</f>
        <v/>
      </c>
      <c r="X862" s="136">
        <f>IF(E862=$X$6,1,"")</f>
        <v/>
      </c>
      <c r="Y862" s="136">
        <f>IF(E862=$Y$6,1,"")</f>
        <v/>
      </c>
      <c r="Z862" s="136">
        <f>IF(E862=$Z$6,1,"")</f>
        <v/>
      </c>
      <c r="AA862" s="136">
        <f>IF(E862=$AA$6,1,"")</f>
        <v/>
      </c>
      <c r="AB862" s="136">
        <f>IF(E862=$AB$6,1,"")</f>
        <v/>
      </c>
      <c r="AC862" s="136">
        <f>IF(E862=$AC$6,1,"")</f>
        <v/>
      </c>
      <c r="AD862" s="136">
        <f>IF(E862=$AD$6,1,"")</f>
        <v/>
      </c>
      <c r="AE862" s="136">
        <f>IF(E862=$AE$6,1,"")</f>
        <v/>
      </c>
      <c r="AF862" s="136">
        <f>IF(E862=$AF$6,1,"")</f>
        <v/>
      </c>
      <c r="AG862" s="136">
        <f>IF(E862=$AG$6,1,"")</f>
        <v/>
      </c>
      <c r="AH862" s="136">
        <f>IF(E862=$AH$6,1,"")</f>
        <v/>
      </c>
      <c r="AI862" s="136">
        <f>IF(E862=$AI$6,1,"")</f>
        <v/>
      </c>
      <c r="AJ862" s="136">
        <f>IF(E862=$AJ$6,1,"")</f>
        <v/>
      </c>
      <c r="AK862" s="81">
        <f>IF(E862=$AK$6,1,"")</f>
        <v/>
      </c>
      <c r="AL862" s="81">
        <f>IF(E862=$AL$6,1,"")</f>
        <v/>
      </c>
      <c r="AM862" s="81">
        <f>IF(E862=$AM$6,1,"")</f>
        <v/>
      </c>
      <c r="AN862" s="81">
        <f>IF(E862=$AN$6,1,"")</f>
        <v/>
      </c>
      <c r="AO862" s="81">
        <f>IF(E862=$AO$6,1,"")</f>
        <v/>
      </c>
      <c r="AP862" s="81">
        <f>IF(E862=$AP$6,1,"")</f>
        <v/>
      </c>
      <c r="AQ862" s="81">
        <f>IF(E862=$AQ$6,1,"")</f>
        <v/>
      </c>
      <c r="AR862" s="81">
        <f>IF(E862=$AR$6,1,"")</f>
        <v/>
      </c>
      <c r="AS862" s="81" t="n"/>
    </row>
    <row r="863" ht="15.75" customHeight="1" s="80">
      <c r="A863" s="157" t="n"/>
      <c r="B863" s="124" t="n"/>
      <c r="C863" s="125" t="n"/>
      <c r="D863" s="126" t="n"/>
      <c r="E863" s="127" t="n"/>
      <c r="F863" s="128" t="n"/>
      <c r="G863" s="129">
        <f>IF(F863="","",ROUND(F863/60,2))</f>
        <v/>
      </c>
      <c r="H863" s="130" t="n"/>
      <c r="I863" s="131" t="n"/>
      <c r="J863" s="131">
        <f>IF(COUNTIF(B863:E863,"*")=0,"",IF(T863=1,"Invalid Service",IF(AND(V863=1,F863=""),"Add Session Mins",IF(AND(E863&gt;0,H863="",T863=""),"Enter Contract Rate",IF(AND(E863="IEP mtg, prep, rept",F863&gt;0),(G863*H863),IF(AND(E863&gt;0,F863&gt;0,H863&gt;0,I863=""),"Enter Travel",IF(AND(F863&gt;0,I863="Y"),(G863*H863)+$M$10,IF(AND(F863&gt;0,I863="N"),(G863*H863),H863))))))))</f>
        <v/>
      </c>
      <c r="K863" s="132">
        <f>J863</f>
        <v/>
      </c>
      <c r="L863" s="148" t="n"/>
      <c r="M863" s="148" t="n"/>
      <c r="N863" s="148" t="n"/>
      <c r="O863" s="87" t="n"/>
      <c r="P863" s="81" t="n"/>
      <c r="Q863" s="81" t="n"/>
      <c r="R863" s="81" t="n"/>
      <c r="S863" s="81" t="n"/>
      <c r="T863" s="136">
        <f>IF(AND(E863&gt;0,U863=0),1,"")</f>
        <v/>
      </c>
      <c r="U863" s="136">
        <f>SUM(X863:AR863)</f>
        <v/>
      </c>
      <c r="V863" s="136">
        <f>IF(E863=$Q$16,0,SUM(X863:AI863))</f>
        <v/>
      </c>
      <c r="W863" s="136">
        <f>SUM(AK863:AR863)</f>
        <v/>
      </c>
      <c r="X863" s="136">
        <f>IF(E863=$X$6,1,"")</f>
        <v/>
      </c>
      <c r="Y863" s="136">
        <f>IF(E863=$Y$6,1,"")</f>
        <v/>
      </c>
      <c r="Z863" s="136">
        <f>IF(E863=$Z$6,1,"")</f>
        <v/>
      </c>
      <c r="AA863" s="136">
        <f>IF(E863=$AA$6,1,"")</f>
        <v/>
      </c>
      <c r="AB863" s="136">
        <f>IF(E863=$AB$6,1,"")</f>
        <v/>
      </c>
      <c r="AC863" s="136">
        <f>IF(E863=$AC$6,1,"")</f>
        <v/>
      </c>
      <c r="AD863" s="136">
        <f>IF(E863=$AD$6,1,"")</f>
        <v/>
      </c>
      <c r="AE863" s="136">
        <f>IF(E863=$AE$6,1,"")</f>
        <v/>
      </c>
      <c r="AF863" s="136">
        <f>IF(E863=$AF$6,1,"")</f>
        <v/>
      </c>
      <c r="AG863" s="136">
        <f>IF(E863=$AG$6,1,"")</f>
        <v/>
      </c>
      <c r="AH863" s="136">
        <f>IF(E863=$AH$6,1,"")</f>
        <v/>
      </c>
      <c r="AI863" s="136">
        <f>IF(E863=$AI$6,1,"")</f>
        <v/>
      </c>
      <c r="AJ863" s="136">
        <f>IF(E863=$AJ$6,1,"")</f>
        <v/>
      </c>
      <c r="AK863" s="81">
        <f>IF(E863=$AK$6,1,"")</f>
        <v/>
      </c>
      <c r="AL863" s="81">
        <f>IF(E863=$AL$6,1,"")</f>
        <v/>
      </c>
      <c r="AM863" s="81">
        <f>IF(E863=$AM$6,1,"")</f>
        <v/>
      </c>
      <c r="AN863" s="81">
        <f>IF(E863=$AN$6,1,"")</f>
        <v/>
      </c>
      <c r="AO863" s="81">
        <f>IF(E863=$AO$6,1,"")</f>
        <v/>
      </c>
      <c r="AP863" s="81">
        <f>IF(E863=$AP$6,1,"")</f>
        <v/>
      </c>
      <c r="AQ863" s="81">
        <f>IF(E863=$AQ$6,1,"")</f>
        <v/>
      </c>
      <c r="AR863" s="81">
        <f>IF(E863=$AR$6,1,"")</f>
        <v/>
      </c>
      <c r="AS863" s="81" t="n"/>
    </row>
    <row r="864" ht="15.75" customHeight="1" s="80">
      <c r="A864" s="157" t="n"/>
      <c r="B864" s="124" t="n"/>
      <c r="C864" s="125" t="n"/>
      <c r="D864" s="126" t="n"/>
      <c r="E864" s="127" t="n"/>
      <c r="F864" s="128" t="n"/>
      <c r="G864" s="129">
        <f>IF(F864="","",ROUND(F864/60,2))</f>
        <v/>
      </c>
      <c r="H864" s="130" t="n"/>
      <c r="I864" s="131" t="n"/>
      <c r="J864" s="131">
        <f>IF(COUNTIF(B864:E864,"*")=0,"",IF(T864=1,"Invalid Service",IF(AND(V864=1,F864=""),"Add Session Mins",IF(AND(E864&gt;0,H864="",T864=""),"Enter Contract Rate",IF(AND(E864="IEP mtg, prep, rept",F864&gt;0),(G864*H864),IF(AND(E864&gt;0,F864&gt;0,H864&gt;0,I864=""),"Enter Travel",IF(AND(F864&gt;0,I864="Y"),(G864*H864)+$M$10,IF(AND(F864&gt;0,I864="N"),(G864*H864),H864))))))))</f>
        <v/>
      </c>
      <c r="K864" s="132">
        <f>J864</f>
        <v/>
      </c>
      <c r="L864" s="148" t="n"/>
      <c r="M864" s="148" t="n"/>
      <c r="N864" s="148" t="n"/>
      <c r="O864" s="87" t="n"/>
      <c r="P864" s="81" t="n"/>
      <c r="Q864" s="81" t="n"/>
      <c r="R864" s="81" t="n"/>
      <c r="S864" s="81" t="n"/>
      <c r="T864" s="136">
        <f>IF(AND(E864&gt;0,U864=0),1,"")</f>
        <v/>
      </c>
      <c r="U864" s="136">
        <f>SUM(X864:AR864)</f>
        <v/>
      </c>
      <c r="V864" s="136">
        <f>IF(E864=$Q$16,0,SUM(X864:AI864))</f>
        <v/>
      </c>
      <c r="W864" s="136">
        <f>SUM(AK864:AR864)</f>
        <v/>
      </c>
      <c r="X864" s="136">
        <f>IF(E864=$X$6,1,"")</f>
        <v/>
      </c>
      <c r="Y864" s="136">
        <f>IF(E864=$Y$6,1,"")</f>
        <v/>
      </c>
      <c r="Z864" s="136">
        <f>IF(E864=$Z$6,1,"")</f>
        <v/>
      </c>
      <c r="AA864" s="136">
        <f>IF(E864=$AA$6,1,"")</f>
        <v/>
      </c>
      <c r="AB864" s="136">
        <f>IF(E864=$AB$6,1,"")</f>
        <v/>
      </c>
      <c r="AC864" s="136">
        <f>IF(E864=$AC$6,1,"")</f>
        <v/>
      </c>
      <c r="AD864" s="136">
        <f>IF(E864=$AD$6,1,"")</f>
        <v/>
      </c>
      <c r="AE864" s="136">
        <f>IF(E864=$AE$6,1,"")</f>
        <v/>
      </c>
      <c r="AF864" s="136">
        <f>IF(E864=$AF$6,1,"")</f>
        <v/>
      </c>
      <c r="AG864" s="136">
        <f>IF(E864=$AG$6,1,"")</f>
        <v/>
      </c>
      <c r="AH864" s="136">
        <f>IF(E864=$AH$6,1,"")</f>
        <v/>
      </c>
      <c r="AI864" s="136">
        <f>IF(E864=$AI$6,1,"")</f>
        <v/>
      </c>
      <c r="AJ864" s="136">
        <f>IF(E864=$AJ$6,1,"")</f>
        <v/>
      </c>
      <c r="AK864" s="81">
        <f>IF(E864=$AK$6,1,"")</f>
        <v/>
      </c>
      <c r="AL864" s="81">
        <f>IF(E864=$AL$6,1,"")</f>
        <v/>
      </c>
      <c r="AM864" s="81">
        <f>IF(E864=$AM$6,1,"")</f>
        <v/>
      </c>
      <c r="AN864" s="81">
        <f>IF(E864=$AN$6,1,"")</f>
        <v/>
      </c>
      <c r="AO864" s="81">
        <f>IF(E864=$AO$6,1,"")</f>
        <v/>
      </c>
      <c r="AP864" s="81">
        <f>IF(E864=$AP$6,1,"")</f>
        <v/>
      </c>
      <c r="AQ864" s="81">
        <f>IF(E864=$AQ$6,1,"")</f>
        <v/>
      </c>
      <c r="AR864" s="81">
        <f>IF(E864=$AR$6,1,"")</f>
        <v/>
      </c>
      <c r="AS864" s="81" t="n"/>
    </row>
    <row r="865" ht="15.75" customHeight="1" s="80">
      <c r="A865" s="157" t="n"/>
      <c r="B865" s="124" t="n"/>
      <c r="C865" s="125" t="n"/>
      <c r="D865" s="126" t="n"/>
      <c r="E865" s="127" t="n"/>
      <c r="F865" s="128" t="n"/>
      <c r="G865" s="129">
        <f>IF(F865="","",ROUND(F865/60,2))</f>
        <v/>
      </c>
      <c r="H865" s="130" t="n"/>
      <c r="I865" s="131" t="n"/>
      <c r="J865" s="131">
        <f>IF(COUNTIF(B865:E865,"*")=0,"",IF(T865=1,"Invalid Service",IF(AND(V865=1,F865=""),"Add Session Mins",IF(AND(E865&gt;0,H865="",T865=""),"Enter Contract Rate",IF(AND(E865="IEP mtg, prep, rept",F865&gt;0),(G865*H865),IF(AND(E865&gt;0,F865&gt;0,H865&gt;0,I865=""),"Enter Travel",IF(AND(F865&gt;0,I865="Y"),(G865*H865)+$M$10,IF(AND(F865&gt;0,I865="N"),(G865*H865),H865))))))))</f>
        <v/>
      </c>
      <c r="K865" s="132">
        <f>J865</f>
        <v/>
      </c>
      <c r="L865" s="148" t="n"/>
      <c r="M865" s="148" t="n"/>
      <c r="N865" s="148" t="n"/>
      <c r="O865" s="87" t="n"/>
      <c r="P865" s="81" t="n"/>
      <c r="Q865" s="81" t="n"/>
      <c r="R865" s="81" t="n"/>
      <c r="S865" s="81" t="n"/>
      <c r="T865" s="136">
        <f>IF(AND(E865&gt;0,U865=0),1,"")</f>
        <v/>
      </c>
      <c r="U865" s="136">
        <f>SUM(X865:AR865)</f>
        <v/>
      </c>
      <c r="V865" s="136">
        <f>IF(E865=$Q$16,0,SUM(X865:AI865))</f>
        <v/>
      </c>
      <c r="W865" s="136">
        <f>SUM(AK865:AR865)</f>
        <v/>
      </c>
      <c r="X865" s="136">
        <f>IF(E865=$X$6,1,"")</f>
        <v/>
      </c>
      <c r="Y865" s="136">
        <f>IF(E865=$Y$6,1,"")</f>
        <v/>
      </c>
      <c r="Z865" s="136">
        <f>IF(E865=$Z$6,1,"")</f>
        <v/>
      </c>
      <c r="AA865" s="136">
        <f>IF(E865=$AA$6,1,"")</f>
        <v/>
      </c>
      <c r="AB865" s="136">
        <f>IF(E865=$AB$6,1,"")</f>
        <v/>
      </c>
      <c r="AC865" s="136">
        <f>IF(E865=$AC$6,1,"")</f>
        <v/>
      </c>
      <c r="AD865" s="136">
        <f>IF(E865=$AD$6,1,"")</f>
        <v/>
      </c>
      <c r="AE865" s="136">
        <f>IF(E865=$AE$6,1,"")</f>
        <v/>
      </c>
      <c r="AF865" s="136">
        <f>IF(E865=$AF$6,1,"")</f>
        <v/>
      </c>
      <c r="AG865" s="136">
        <f>IF(E865=$AG$6,1,"")</f>
        <v/>
      </c>
      <c r="AH865" s="136">
        <f>IF(E865=$AH$6,1,"")</f>
        <v/>
      </c>
      <c r="AI865" s="136">
        <f>IF(E865=$AI$6,1,"")</f>
        <v/>
      </c>
      <c r="AJ865" s="136">
        <f>IF(E865=$AJ$6,1,"")</f>
        <v/>
      </c>
      <c r="AK865" s="81">
        <f>IF(E865=$AK$6,1,"")</f>
        <v/>
      </c>
      <c r="AL865" s="81">
        <f>IF(E865=$AL$6,1,"")</f>
        <v/>
      </c>
      <c r="AM865" s="81">
        <f>IF(E865=$AM$6,1,"")</f>
        <v/>
      </c>
      <c r="AN865" s="81">
        <f>IF(E865=$AN$6,1,"")</f>
        <v/>
      </c>
      <c r="AO865" s="81">
        <f>IF(E865=$AO$6,1,"")</f>
        <v/>
      </c>
      <c r="AP865" s="81">
        <f>IF(E865=$AP$6,1,"")</f>
        <v/>
      </c>
      <c r="AQ865" s="81">
        <f>IF(E865=$AQ$6,1,"")</f>
        <v/>
      </c>
      <c r="AR865" s="81">
        <f>IF(E865=$AR$6,1,"")</f>
        <v/>
      </c>
      <c r="AS865" s="81" t="n"/>
    </row>
    <row r="866" ht="15.75" customHeight="1" s="80">
      <c r="A866" s="157" t="n"/>
      <c r="B866" s="124" t="n"/>
      <c r="C866" s="125" t="n"/>
      <c r="D866" s="126" t="n"/>
      <c r="E866" s="127" t="n"/>
      <c r="F866" s="128" t="n"/>
      <c r="G866" s="129">
        <f>IF(F866="","",ROUND(F866/60,2))</f>
        <v/>
      </c>
      <c r="H866" s="130" t="n"/>
      <c r="I866" s="131" t="n"/>
      <c r="J866" s="131">
        <f>IF(COUNTIF(B866:E866,"*")=0,"",IF(T866=1,"Invalid Service",IF(AND(V866=1,F866=""),"Add Session Mins",IF(AND(E866&gt;0,H866="",T866=""),"Enter Contract Rate",IF(AND(E866="IEP mtg, prep, rept",F866&gt;0),(G866*H866),IF(AND(E866&gt;0,F866&gt;0,H866&gt;0,I866=""),"Enter Travel",IF(AND(F866&gt;0,I866="Y"),(G866*H866)+$M$10,IF(AND(F866&gt;0,I866="N"),(G866*H866),H866))))))))</f>
        <v/>
      </c>
      <c r="K866" s="132">
        <f>J866</f>
        <v/>
      </c>
      <c r="L866" s="148" t="n"/>
      <c r="M866" s="148" t="n"/>
      <c r="N866" s="148" t="n"/>
      <c r="O866" s="87" t="n"/>
      <c r="P866" s="81" t="n"/>
      <c r="Q866" s="81" t="n"/>
      <c r="R866" s="81" t="n"/>
      <c r="S866" s="81" t="n"/>
      <c r="T866" s="136">
        <f>IF(AND(E866&gt;0,U866=0),1,"")</f>
        <v/>
      </c>
      <c r="U866" s="136">
        <f>SUM(X866:AR866)</f>
        <v/>
      </c>
      <c r="V866" s="136">
        <f>IF(E866=$Q$16,0,SUM(X866:AI866))</f>
        <v/>
      </c>
      <c r="W866" s="136">
        <f>SUM(AK866:AR866)</f>
        <v/>
      </c>
      <c r="X866" s="136">
        <f>IF(E866=$X$6,1,"")</f>
        <v/>
      </c>
      <c r="Y866" s="136">
        <f>IF(E866=$Y$6,1,"")</f>
        <v/>
      </c>
      <c r="Z866" s="136">
        <f>IF(E866=$Z$6,1,"")</f>
        <v/>
      </c>
      <c r="AA866" s="136">
        <f>IF(E866=$AA$6,1,"")</f>
        <v/>
      </c>
      <c r="AB866" s="136">
        <f>IF(E866=$AB$6,1,"")</f>
        <v/>
      </c>
      <c r="AC866" s="136">
        <f>IF(E866=$AC$6,1,"")</f>
        <v/>
      </c>
      <c r="AD866" s="136">
        <f>IF(E866=$AD$6,1,"")</f>
        <v/>
      </c>
      <c r="AE866" s="136">
        <f>IF(E866=$AE$6,1,"")</f>
        <v/>
      </c>
      <c r="AF866" s="136">
        <f>IF(E866=$AF$6,1,"")</f>
        <v/>
      </c>
      <c r="AG866" s="136">
        <f>IF(E866=$AG$6,1,"")</f>
        <v/>
      </c>
      <c r="AH866" s="136">
        <f>IF(E866=$AH$6,1,"")</f>
        <v/>
      </c>
      <c r="AI866" s="136">
        <f>IF(E866=$AI$6,1,"")</f>
        <v/>
      </c>
      <c r="AJ866" s="136">
        <f>IF(E866=$AJ$6,1,"")</f>
        <v/>
      </c>
      <c r="AK866" s="81">
        <f>IF(E866=$AK$6,1,"")</f>
        <v/>
      </c>
      <c r="AL866" s="81">
        <f>IF(E866=$AL$6,1,"")</f>
        <v/>
      </c>
      <c r="AM866" s="81">
        <f>IF(E866=$AM$6,1,"")</f>
        <v/>
      </c>
      <c r="AN866" s="81">
        <f>IF(E866=$AN$6,1,"")</f>
        <v/>
      </c>
      <c r="AO866" s="81">
        <f>IF(E866=$AO$6,1,"")</f>
        <v/>
      </c>
      <c r="AP866" s="81">
        <f>IF(E866=$AP$6,1,"")</f>
        <v/>
      </c>
      <c r="AQ866" s="81">
        <f>IF(E866=$AQ$6,1,"")</f>
        <v/>
      </c>
      <c r="AR866" s="81">
        <f>IF(E866=$AR$6,1,"")</f>
        <v/>
      </c>
      <c r="AS866" s="81" t="n"/>
    </row>
    <row r="867" ht="15.75" customHeight="1" s="80">
      <c r="A867" s="157" t="n"/>
      <c r="B867" s="124" t="n"/>
      <c r="C867" s="125" t="n"/>
      <c r="D867" s="126" t="n"/>
      <c r="E867" s="127" t="n"/>
      <c r="F867" s="128" t="n"/>
      <c r="G867" s="129">
        <f>IF(F867="","",ROUND(F867/60,2))</f>
        <v/>
      </c>
      <c r="H867" s="130" t="n"/>
      <c r="I867" s="131" t="n"/>
      <c r="J867" s="131">
        <f>IF(COUNTIF(B867:E867,"*")=0,"",IF(T867=1,"Invalid Service",IF(AND(V867=1,F867=""),"Add Session Mins",IF(AND(E867&gt;0,H867="",T867=""),"Enter Contract Rate",IF(AND(E867="IEP mtg, prep, rept",F867&gt;0),(G867*H867),IF(AND(E867&gt;0,F867&gt;0,H867&gt;0,I867=""),"Enter Travel",IF(AND(F867&gt;0,I867="Y"),(G867*H867)+$M$10,IF(AND(F867&gt;0,I867="N"),(G867*H867),H867))))))))</f>
        <v/>
      </c>
      <c r="K867" s="132">
        <f>J867</f>
        <v/>
      </c>
      <c r="L867" s="148" t="n"/>
      <c r="M867" s="148" t="n"/>
      <c r="N867" s="148" t="n"/>
      <c r="O867" s="87" t="n"/>
      <c r="P867" s="81" t="n"/>
      <c r="Q867" s="81" t="n"/>
      <c r="R867" s="81" t="n"/>
      <c r="S867" s="81" t="n"/>
      <c r="T867" s="136">
        <f>IF(AND(E867&gt;0,U867=0),1,"")</f>
        <v/>
      </c>
      <c r="U867" s="136">
        <f>SUM(X867:AR867)</f>
        <v/>
      </c>
      <c r="V867" s="136">
        <f>IF(E867=$Q$16,0,SUM(X867:AI867))</f>
        <v/>
      </c>
      <c r="W867" s="136">
        <f>SUM(AK867:AR867)</f>
        <v/>
      </c>
      <c r="X867" s="136">
        <f>IF(E867=$X$6,1,"")</f>
        <v/>
      </c>
      <c r="Y867" s="136">
        <f>IF(E867=$Y$6,1,"")</f>
        <v/>
      </c>
      <c r="Z867" s="136">
        <f>IF(E867=$Z$6,1,"")</f>
        <v/>
      </c>
      <c r="AA867" s="136">
        <f>IF(E867=$AA$6,1,"")</f>
        <v/>
      </c>
      <c r="AB867" s="136">
        <f>IF(E867=$AB$6,1,"")</f>
        <v/>
      </c>
      <c r="AC867" s="136">
        <f>IF(E867=$AC$6,1,"")</f>
        <v/>
      </c>
      <c r="AD867" s="136">
        <f>IF(E867=$AD$6,1,"")</f>
        <v/>
      </c>
      <c r="AE867" s="136">
        <f>IF(E867=$AE$6,1,"")</f>
        <v/>
      </c>
      <c r="AF867" s="136">
        <f>IF(E867=$AF$6,1,"")</f>
        <v/>
      </c>
      <c r="AG867" s="136">
        <f>IF(E867=$AG$6,1,"")</f>
        <v/>
      </c>
      <c r="AH867" s="136">
        <f>IF(E867=$AH$6,1,"")</f>
        <v/>
      </c>
      <c r="AI867" s="136">
        <f>IF(E867=$AI$6,1,"")</f>
        <v/>
      </c>
      <c r="AJ867" s="136">
        <f>IF(E867=$AJ$6,1,"")</f>
        <v/>
      </c>
      <c r="AK867" s="81">
        <f>IF(E867=$AK$6,1,"")</f>
        <v/>
      </c>
      <c r="AL867" s="81">
        <f>IF(E867=$AL$6,1,"")</f>
        <v/>
      </c>
      <c r="AM867" s="81">
        <f>IF(E867=$AM$6,1,"")</f>
        <v/>
      </c>
      <c r="AN867" s="81">
        <f>IF(E867=$AN$6,1,"")</f>
        <v/>
      </c>
      <c r="AO867" s="81">
        <f>IF(E867=$AO$6,1,"")</f>
        <v/>
      </c>
      <c r="AP867" s="81">
        <f>IF(E867=$AP$6,1,"")</f>
        <v/>
      </c>
      <c r="AQ867" s="81">
        <f>IF(E867=$AQ$6,1,"")</f>
        <v/>
      </c>
      <c r="AR867" s="81">
        <f>IF(E867=$AR$6,1,"")</f>
        <v/>
      </c>
      <c r="AS867" s="81" t="n"/>
    </row>
    <row r="868" ht="15.75" customHeight="1" s="80">
      <c r="A868" s="157" t="n"/>
      <c r="B868" s="124" t="n"/>
      <c r="C868" s="125" t="n"/>
      <c r="D868" s="126" t="n"/>
      <c r="E868" s="127" t="n"/>
      <c r="F868" s="128" t="n"/>
      <c r="G868" s="129">
        <f>IF(F868="","",ROUND(F868/60,2))</f>
        <v/>
      </c>
      <c r="H868" s="130" t="n"/>
      <c r="I868" s="131" t="n"/>
      <c r="J868" s="131">
        <f>IF(COUNTIF(B868:E868,"*")=0,"",IF(T868=1,"Invalid Service",IF(AND(V868=1,F868=""),"Add Session Mins",IF(AND(E868&gt;0,H868="",T868=""),"Enter Contract Rate",IF(AND(E868="IEP mtg, prep, rept",F868&gt;0),(G868*H868),IF(AND(E868&gt;0,F868&gt;0,H868&gt;0,I868=""),"Enter Travel",IF(AND(F868&gt;0,I868="Y"),(G868*H868)+$M$10,IF(AND(F868&gt;0,I868="N"),(G868*H868),H868))))))))</f>
        <v/>
      </c>
      <c r="K868" s="132">
        <f>J868</f>
        <v/>
      </c>
      <c r="L868" s="148" t="n"/>
      <c r="M868" s="148" t="n"/>
      <c r="N868" s="148" t="n"/>
      <c r="O868" s="87" t="n"/>
      <c r="P868" s="81" t="n"/>
      <c r="Q868" s="81" t="n"/>
      <c r="R868" s="81" t="n"/>
      <c r="S868" s="81" t="n"/>
      <c r="T868" s="136">
        <f>IF(AND(E868&gt;0,U868=0),1,"")</f>
        <v/>
      </c>
      <c r="U868" s="136">
        <f>SUM(X868:AR868)</f>
        <v/>
      </c>
      <c r="V868" s="136">
        <f>IF(E868=$Q$16,0,SUM(X868:AI868))</f>
        <v/>
      </c>
      <c r="W868" s="136">
        <f>SUM(AK868:AR868)</f>
        <v/>
      </c>
      <c r="X868" s="136">
        <f>IF(E868=$X$6,1,"")</f>
        <v/>
      </c>
      <c r="Y868" s="136">
        <f>IF(E868=$Y$6,1,"")</f>
        <v/>
      </c>
      <c r="Z868" s="136">
        <f>IF(E868=$Z$6,1,"")</f>
        <v/>
      </c>
      <c r="AA868" s="136">
        <f>IF(E868=$AA$6,1,"")</f>
        <v/>
      </c>
      <c r="AB868" s="136">
        <f>IF(E868=$AB$6,1,"")</f>
        <v/>
      </c>
      <c r="AC868" s="136">
        <f>IF(E868=$AC$6,1,"")</f>
        <v/>
      </c>
      <c r="AD868" s="136">
        <f>IF(E868=$AD$6,1,"")</f>
        <v/>
      </c>
      <c r="AE868" s="136">
        <f>IF(E868=$AE$6,1,"")</f>
        <v/>
      </c>
      <c r="AF868" s="136">
        <f>IF(E868=$AF$6,1,"")</f>
        <v/>
      </c>
      <c r="AG868" s="136">
        <f>IF(E868=$AG$6,1,"")</f>
        <v/>
      </c>
      <c r="AH868" s="136">
        <f>IF(E868=$AH$6,1,"")</f>
        <v/>
      </c>
      <c r="AI868" s="136">
        <f>IF(E868=$AI$6,1,"")</f>
        <v/>
      </c>
      <c r="AJ868" s="136">
        <f>IF(E868=$AJ$6,1,"")</f>
        <v/>
      </c>
      <c r="AK868" s="81">
        <f>IF(E868=$AK$6,1,"")</f>
        <v/>
      </c>
      <c r="AL868" s="81">
        <f>IF(E868=$AL$6,1,"")</f>
        <v/>
      </c>
      <c r="AM868" s="81">
        <f>IF(E868=$AM$6,1,"")</f>
        <v/>
      </c>
      <c r="AN868" s="81">
        <f>IF(E868=$AN$6,1,"")</f>
        <v/>
      </c>
      <c r="AO868" s="81">
        <f>IF(E868=$AO$6,1,"")</f>
        <v/>
      </c>
      <c r="AP868" s="81">
        <f>IF(E868=$AP$6,1,"")</f>
        <v/>
      </c>
      <c r="AQ868" s="81">
        <f>IF(E868=$AQ$6,1,"")</f>
        <v/>
      </c>
      <c r="AR868" s="81">
        <f>IF(E868=$AR$6,1,"")</f>
        <v/>
      </c>
      <c r="AS868" s="81" t="n"/>
    </row>
    <row r="869" ht="15.75" customHeight="1" s="80">
      <c r="A869" s="157" t="n"/>
      <c r="B869" s="124" t="n"/>
      <c r="C869" s="125" t="n"/>
      <c r="D869" s="126" t="n"/>
      <c r="E869" s="127" t="n"/>
      <c r="F869" s="128" t="n"/>
      <c r="G869" s="129">
        <f>IF(F869="","",ROUND(F869/60,2))</f>
        <v/>
      </c>
      <c r="H869" s="130" t="n"/>
      <c r="I869" s="131" t="n"/>
      <c r="J869" s="131">
        <f>IF(COUNTIF(B869:E869,"*")=0,"",IF(T869=1,"Invalid Service",IF(AND(V869=1,F869=""),"Add Session Mins",IF(AND(E869&gt;0,H869="",T869=""),"Enter Contract Rate",IF(AND(E869="IEP mtg, prep, rept",F869&gt;0),(G869*H869),IF(AND(E869&gt;0,F869&gt;0,H869&gt;0,I869=""),"Enter Travel",IF(AND(F869&gt;0,I869="Y"),(G869*H869)+$M$10,IF(AND(F869&gt;0,I869="N"),(G869*H869),H869))))))))</f>
        <v/>
      </c>
      <c r="K869" s="132">
        <f>J869</f>
        <v/>
      </c>
      <c r="L869" s="148" t="n"/>
      <c r="M869" s="148" t="n"/>
      <c r="N869" s="148" t="n"/>
      <c r="O869" s="87" t="n"/>
      <c r="P869" s="81" t="n"/>
      <c r="Q869" s="81" t="n"/>
      <c r="R869" s="81" t="n"/>
      <c r="S869" s="81" t="n"/>
      <c r="T869" s="136">
        <f>IF(AND(E869&gt;0,U869=0),1,"")</f>
        <v/>
      </c>
      <c r="U869" s="136">
        <f>SUM(X869:AR869)</f>
        <v/>
      </c>
      <c r="V869" s="136">
        <f>IF(E869=$Q$16,0,SUM(X869:AI869))</f>
        <v/>
      </c>
      <c r="W869" s="136">
        <f>SUM(AK869:AR869)</f>
        <v/>
      </c>
      <c r="X869" s="136">
        <f>IF(E869=$X$6,1,"")</f>
        <v/>
      </c>
      <c r="Y869" s="136">
        <f>IF(E869=$Y$6,1,"")</f>
        <v/>
      </c>
      <c r="Z869" s="136">
        <f>IF(E869=$Z$6,1,"")</f>
        <v/>
      </c>
      <c r="AA869" s="136">
        <f>IF(E869=$AA$6,1,"")</f>
        <v/>
      </c>
      <c r="AB869" s="136">
        <f>IF(E869=$AB$6,1,"")</f>
        <v/>
      </c>
      <c r="AC869" s="136">
        <f>IF(E869=$AC$6,1,"")</f>
        <v/>
      </c>
      <c r="AD869" s="136">
        <f>IF(E869=$AD$6,1,"")</f>
        <v/>
      </c>
      <c r="AE869" s="136">
        <f>IF(E869=$AE$6,1,"")</f>
        <v/>
      </c>
      <c r="AF869" s="136">
        <f>IF(E869=$AF$6,1,"")</f>
        <v/>
      </c>
      <c r="AG869" s="136">
        <f>IF(E869=$AG$6,1,"")</f>
        <v/>
      </c>
      <c r="AH869" s="136">
        <f>IF(E869=$AH$6,1,"")</f>
        <v/>
      </c>
      <c r="AI869" s="136">
        <f>IF(E869=$AI$6,1,"")</f>
        <v/>
      </c>
      <c r="AJ869" s="136">
        <f>IF(E869=$AJ$6,1,"")</f>
        <v/>
      </c>
      <c r="AK869" s="81">
        <f>IF(E869=$AK$6,1,"")</f>
        <v/>
      </c>
      <c r="AL869" s="81">
        <f>IF(E869=$AL$6,1,"")</f>
        <v/>
      </c>
      <c r="AM869" s="81">
        <f>IF(E869=$AM$6,1,"")</f>
        <v/>
      </c>
      <c r="AN869" s="81">
        <f>IF(E869=$AN$6,1,"")</f>
        <v/>
      </c>
      <c r="AO869" s="81">
        <f>IF(E869=$AO$6,1,"")</f>
        <v/>
      </c>
      <c r="AP869" s="81">
        <f>IF(E869=$AP$6,1,"")</f>
        <v/>
      </c>
      <c r="AQ869" s="81">
        <f>IF(E869=$AQ$6,1,"")</f>
        <v/>
      </c>
      <c r="AR869" s="81">
        <f>IF(E869=$AR$6,1,"")</f>
        <v/>
      </c>
      <c r="AS869" s="81" t="n"/>
    </row>
    <row r="870" ht="15.75" customHeight="1" s="80">
      <c r="A870" s="157" t="n"/>
      <c r="B870" s="124" t="n"/>
      <c r="C870" s="125" t="n"/>
      <c r="D870" s="126" t="n"/>
      <c r="E870" s="127" t="n"/>
      <c r="F870" s="128" t="n"/>
      <c r="G870" s="129">
        <f>IF(F870="","",ROUND(F870/60,2))</f>
        <v/>
      </c>
      <c r="H870" s="130" t="n"/>
      <c r="I870" s="131" t="n"/>
      <c r="J870" s="131">
        <f>IF(COUNTIF(B870:E870,"*")=0,"",IF(T870=1,"Invalid Service",IF(AND(V870=1,F870=""),"Add Session Mins",IF(AND(E870&gt;0,H870="",T870=""),"Enter Contract Rate",IF(AND(E870="IEP mtg, prep, rept",F870&gt;0),(G870*H870),IF(AND(E870&gt;0,F870&gt;0,H870&gt;0,I870=""),"Enter Travel",IF(AND(F870&gt;0,I870="Y"),(G870*H870)+$M$10,IF(AND(F870&gt;0,I870="N"),(G870*H870),H870))))))))</f>
        <v/>
      </c>
      <c r="K870" s="132">
        <f>J870</f>
        <v/>
      </c>
      <c r="L870" s="148" t="n"/>
      <c r="M870" s="148" t="n"/>
      <c r="N870" s="148" t="n"/>
      <c r="O870" s="87" t="n"/>
      <c r="P870" s="81" t="n"/>
      <c r="Q870" s="81" t="n"/>
      <c r="R870" s="81" t="n"/>
      <c r="S870" s="81" t="n"/>
      <c r="T870" s="136">
        <f>IF(AND(E870&gt;0,U870=0),1,"")</f>
        <v/>
      </c>
      <c r="U870" s="136">
        <f>SUM(X870:AR870)</f>
        <v/>
      </c>
      <c r="V870" s="136">
        <f>IF(E870=$Q$16,0,SUM(X870:AI870))</f>
        <v/>
      </c>
      <c r="W870" s="136">
        <f>SUM(AK870:AR870)</f>
        <v/>
      </c>
      <c r="X870" s="136">
        <f>IF(E870=$X$6,1,"")</f>
        <v/>
      </c>
      <c r="Y870" s="136">
        <f>IF(E870=$Y$6,1,"")</f>
        <v/>
      </c>
      <c r="Z870" s="136">
        <f>IF(E870=$Z$6,1,"")</f>
        <v/>
      </c>
      <c r="AA870" s="136">
        <f>IF(E870=$AA$6,1,"")</f>
        <v/>
      </c>
      <c r="AB870" s="136">
        <f>IF(E870=$AB$6,1,"")</f>
        <v/>
      </c>
      <c r="AC870" s="136">
        <f>IF(E870=$AC$6,1,"")</f>
        <v/>
      </c>
      <c r="AD870" s="136">
        <f>IF(E870=$AD$6,1,"")</f>
        <v/>
      </c>
      <c r="AE870" s="136">
        <f>IF(E870=$AE$6,1,"")</f>
        <v/>
      </c>
      <c r="AF870" s="136">
        <f>IF(E870=$AF$6,1,"")</f>
        <v/>
      </c>
      <c r="AG870" s="136">
        <f>IF(E870=$AG$6,1,"")</f>
        <v/>
      </c>
      <c r="AH870" s="136">
        <f>IF(E870=$AH$6,1,"")</f>
        <v/>
      </c>
      <c r="AI870" s="136">
        <f>IF(E870=$AI$6,1,"")</f>
        <v/>
      </c>
      <c r="AJ870" s="136">
        <f>IF(E870=$AJ$6,1,"")</f>
        <v/>
      </c>
      <c r="AK870" s="81">
        <f>IF(E870=$AK$6,1,"")</f>
        <v/>
      </c>
      <c r="AL870" s="81">
        <f>IF(E870=$AL$6,1,"")</f>
        <v/>
      </c>
      <c r="AM870" s="81">
        <f>IF(E870=$AM$6,1,"")</f>
        <v/>
      </c>
      <c r="AN870" s="81">
        <f>IF(E870=$AN$6,1,"")</f>
        <v/>
      </c>
      <c r="AO870" s="81">
        <f>IF(E870=$AO$6,1,"")</f>
        <v/>
      </c>
      <c r="AP870" s="81">
        <f>IF(E870=$AP$6,1,"")</f>
        <v/>
      </c>
      <c r="AQ870" s="81">
        <f>IF(E870=$AQ$6,1,"")</f>
        <v/>
      </c>
      <c r="AR870" s="81">
        <f>IF(E870=$AR$6,1,"")</f>
        <v/>
      </c>
      <c r="AS870" s="81" t="n"/>
    </row>
    <row r="871" ht="15.75" customHeight="1" s="80">
      <c r="A871" s="157" t="n"/>
      <c r="B871" s="124" t="n"/>
      <c r="C871" s="125" t="n"/>
      <c r="D871" s="126" t="n"/>
      <c r="E871" s="127" t="n"/>
      <c r="F871" s="128" t="n"/>
      <c r="G871" s="129">
        <f>IF(F871="","",ROUND(F871/60,2))</f>
        <v/>
      </c>
      <c r="H871" s="130" t="n"/>
      <c r="I871" s="131" t="n"/>
      <c r="J871" s="131">
        <f>IF(COUNTIF(B871:E871,"*")=0,"",IF(T871=1,"Invalid Service",IF(AND(V871=1,F871=""),"Add Session Mins",IF(AND(E871&gt;0,H871="",T871=""),"Enter Contract Rate",IF(AND(E871="IEP mtg, prep, rept",F871&gt;0),(G871*H871),IF(AND(E871&gt;0,F871&gt;0,H871&gt;0,I871=""),"Enter Travel",IF(AND(F871&gt;0,I871="Y"),(G871*H871)+$M$10,IF(AND(F871&gt;0,I871="N"),(G871*H871),H871))))))))</f>
        <v/>
      </c>
      <c r="K871" s="132">
        <f>J871</f>
        <v/>
      </c>
      <c r="L871" s="148" t="n"/>
      <c r="M871" s="148" t="n"/>
      <c r="N871" s="148" t="n"/>
      <c r="O871" s="87" t="n"/>
      <c r="P871" s="81" t="n"/>
      <c r="Q871" s="81" t="n"/>
      <c r="R871" s="81" t="n"/>
      <c r="S871" s="81" t="n"/>
      <c r="T871" s="136">
        <f>IF(AND(E871&gt;0,U871=0),1,"")</f>
        <v/>
      </c>
      <c r="U871" s="136">
        <f>SUM(X871:AR871)</f>
        <v/>
      </c>
      <c r="V871" s="136">
        <f>IF(E871=$Q$16,0,SUM(X871:AI871))</f>
        <v/>
      </c>
      <c r="W871" s="136">
        <f>SUM(AK871:AR871)</f>
        <v/>
      </c>
      <c r="X871" s="136">
        <f>IF(E871=$X$6,1,"")</f>
        <v/>
      </c>
      <c r="Y871" s="136">
        <f>IF(E871=$Y$6,1,"")</f>
        <v/>
      </c>
      <c r="Z871" s="136">
        <f>IF(E871=$Z$6,1,"")</f>
        <v/>
      </c>
      <c r="AA871" s="136">
        <f>IF(E871=$AA$6,1,"")</f>
        <v/>
      </c>
      <c r="AB871" s="136">
        <f>IF(E871=$AB$6,1,"")</f>
        <v/>
      </c>
      <c r="AC871" s="136">
        <f>IF(E871=$AC$6,1,"")</f>
        <v/>
      </c>
      <c r="AD871" s="136">
        <f>IF(E871=$AD$6,1,"")</f>
        <v/>
      </c>
      <c r="AE871" s="136">
        <f>IF(E871=$AE$6,1,"")</f>
        <v/>
      </c>
      <c r="AF871" s="136">
        <f>IF(E871=$AF$6,1,"")</f>
        <v/>
      </c>
      <c r="AG871" s="136">
        <f>IF(E871=$AG$6,1,"")</f>
        <v/>
      </c>
      <c r="AH871" s="136">
        <f>IF(E871=$AH$6,1,"")</f>
        <v/>
      </c>
      <c r="AI871" s="136">
        <f>IF(E871=$AI$6,1,"")</f>
        <v/>
      </c>
      <c r="AJ871" s="136">
        <f>IF(E871=$AJ$6,1,"")</f>
        <v/>
      </c>
      <c r="AK871" s="81">
        <f>IF(E871=$AK$6,1,"")</f>
        <v/>
      </c>
      <c r="AL871" s="81">
        <f>IF(E871=$AL$6,1,"")</f>
        <v/>
      </c>
      <c r="AM871" s="81">
        <f>IF(E871=$AM$6,1,"")</f>
        <v/>
      </c>
      <c r="AN871" s="81">
        <f>IF(E871=$AN$6,1,"")</f>
        <v/>
      </c>
      <c r="AO871" s="81">
        <f>IF(E871=$AO$6,1,"")</f>
        <v/>
      </c>
      <c r="AP871" s="81">
        <f>IF(E871=$AP$6,1,"")</f>
        <v/>
      </c>
      <c r="AQ871" s="81">
        <f>IF(E871=$AQ$6,1,"")</f>
        <v/>
      </c>
      <c r="AR871" s="81">
        <f>IF(E871=$AR$6,1,"")</f>
        <v/>
      </c>
      <c r="AS871" s="81" t="n"/>
    </row>
    <row r="872" ht="15.75" customHeight="1" s="80">
      <c r="A872" s="157" t="n"/>
      <c r="B872" s="124" t="n"/>
      <c r="C872" s="125" t="n"/>
      <c r="D872" s="126" t="n"/>
      <c r="E872" s="127" t="n"/>
      <c r="F872" s="128" t="n"/>
      <c r="G872" s="129">
        <f>IF(F872="","",ROUND(F872/60,2))</f>
        <v/>
      </c>
      <c r="H872" s="130" t="n"/>
      <c r="I872" s="131" t="n"/>
      <c r="J872" s="131">
        <f>IF(COUNTIF(B872:E872,"*")=0,"",IF(T872=1,"Invalid Service",IF(AND(V872=1,F872=""),"Add Session Mins",IF(AND(E872&gt;0,H872="",T872=""),"Enter Contract Rate",IF(AND(E872="IEP mtg, prep, rept",F872&gt;0),(G872*H872),IF(AND(E872&gt;0,F872&gt;0,H872&gt;0,I872=""),"Enter Travel",IF(AND(F872&gt;0,I872="Y"),(G872*H872)+$M$10,IF(AND(F872&gt;0,I872="N"),(G872*H872),H872))))))))</f>
        <v/>
      </c>
      <c r="K872" s="132">
        <f>J872</f>
        <v/>
      </c>
      <c r="L872" s="148" t="n"/>
      <c r="M872" s="148" t="n"/>
      <c r="N872" s="148" t="n"/>
      <c r="O872" s="87" t="n"/>
      <c r="P872" s="81" t="n"/>
      <c r="Q872" s="81" t="n"/>
      <c r="R872" s="81" t="n"/>
      <c r="S872" s="81" t="n"/>
      <c r="T872" s="136">
        <f>IF(AND(E872&gt;0,U872=0),1,"")</f>
        <v/>
      </c>
      <c r="U872" s="136">
        <f>SUM(X872:AR872)</f>
        <v/>
      </c>
      <c r="V872" s="136">
        <f>IF(E872=$Q$16,0,SUM(X872:AI872))</f>
        <v/>
      </c>
      <c r="W872" s="136">
        <f>SUM(AK872:AR872)</f>
        <v/>
      </c>
      <c r="X872" s="136">
        <f>IF(E872=$X$6,1,"")</f>
        <v/>
      </c>
      <c r="Y872" s="136">
        <f>IF(E872=$Y$6,1,"")</f>
        <v/>
      </c>
      <c r="Z872" s="136">
        <f>IF(E872=$Z$6,1,"")</f>
        <v/>
      </c>
      <c r="AA872" s="136">
        <f>IF(E872=$AA$6,1,"")</f>
        <v/>
      </c>
      <c r="AB872" s="136">
        <f>IF(E872=$AB$6,1,"")</f>
        <v/>
      </c>
      <c r="AC872" s="136">
        <f>IF(E872=$AC$6,1,"")</f>
        <v/>
      </c>
      <c r="AD872" s="136">
        <f>IF(E872=$AD$6,1,"")</f>
        <v/>
      </c>
      <c r="AE872" s="136">
        <f>IF(E872=$AE$6,1,"")</f>
        <v/>
      </c>
      <c r="AF872" s="136">
        <f>IF(E872=$AF$6,1,"")</f>
        <v/>
      </c>
      <c r="AG872" s="136">
        <f>IF(E872=$AG$6,1,"")</f>
        <v/>
      </c>
      <c r="AH872" s="136">
        <f>IF(E872=$AH$6,1,"")</f>
        <v/>
      </c>
      <c r="AI872" s="136">
        <f>IF(E872=$AI$6,1,"")</f>
        <v/>
      </c>
      <c r="AJ872" s="136">
        <f>IF(E872=$AJ$6,1,"")</f>
        <v/>
      </c>
      <c r="AK872" s="81">
        <f>IF(E872=$AK$6,1,"")</f>
        <v/>
      </c>
      <c r="AL872" s="81">
        <f>IF(E872=$AL$6,1,"")</f>
        <v/>
      </c>
      <c r="AM872" s="81">
        <f>IF(E872=$AM$6,1,"")</f>
        <v/>
      </c>
      <c r="AN872" s="81">
        <f>IF(E872=$AN$6,1,"")</f>
        <v/>
      </c>
      <c r="AO872" s="81">
        <f>IF(E872=$AO$6,1,"")</f>
        <v/>
      </c>
      <c r="AP872" s="81">
        <f>IF(E872=$AP$6,1,"")</f>
        <v/>
      </c>
      <c r="AQ872" s="81">
        <f>IF(E872=$AQ$6,1,"")</f>
        <v/>
      </c>
      <c r="AR872" s="81">
        <f>IF(E872=$AR$6,1,"")</f>
        <v/>
      </c>
      <c r="AS872" s="81" t="n"/>
    </row>
    <row r="873" ht="15.75" customHeight="1" s="80">
      <c r="A873" s="157" t="n"/>
      <c r="B873" s="124" t="n"/>
      <c r="C873" s="125" t="n"/>
      <c r="D873" s="126" t="n"/>
      <c r="E873" s="127" t="n"/>
      <c r="F873" s="128" t="n"/>
      <c r="G873" s="129">
        <f>IF(F873="","",ROUND(F873/60,2))</f>
        <v/>
      </c>
      <c r="H873" s="130" t="n"/>
      <c r="I873" s="131" t="n"/>
      <c r="J873" s="131">
        <f>IF(COUNTIF(B873:E873,"*")=0,"",IF(T873=1,"Invalid Service",IF(AND(V873=1,F873=""),"Add Session Mins",IF(AND(E873&gt;0,H873="",T873=""),"Enter Contract Rate",IF(AND(E873="IEP mtg, prep, rept",F873&gt;0),(G873*H873),IF(AND(E873&gt;0,F873&gt;0,H873&gt;0,I873=""),"Enter Travel",IF(AND(F873&gt;0,I873="Y"),(G873*H873)+$M$10,IF(AND(F873&gt;0,I873="N"),(G873*H873),H873))))))))</f>
        <v/>
      </c>
      <c r="K873" s="132">
        <f>J873</f>
        <v/>
      </c>
      <c r="L873" s="148" t="n"/>
      <c r="M873" s="148" t="n"/>
      <c r="N873" s="148" t="n"/>
      <c r="O873" s="87" t="n"/>
      <c r="P873" s="81" t="n"/>
      <c r="Q873" s="81" t="n"/>
      <c r="R873" s="81" t="n"/>
      <c r="S873" s="81" t="n"/>
      <c r="T873" s="136">
        <f>IF(AND(E873&gt;0,U873=0),1,"")</f>
        <v/>
      </c>
      <c r="U873" s="136">
        <f>SUM(X873:AR873)</f>
        <v/>
      </c>
      <c r="V873" s="136">
        <f>IF(E873=$Q$16,0,SUM(X873:AI873))</f>
        <v/>
      </c>
      <c r="W873" s="136">
        <f>SUM(AK873:AR873)</f>
        <v/>
      </c>
      <c r="X873" s="136">
        <f>IF(E873=$X$6,1,"")</f>
        <v/>
      </c>
      <c r="Y873" s="136">
        <f>IF(E873=$Y$6,1,"")</f>
        <v/>
      </c>
      <c r="Z873" s="136">
        <f>IF(E873=$Z$6,1,"")</f>
        <v/>
      </c>
      <c r="AA873" s="136">
        <f>IF(E873=$AA$6,1,"")</f>
        <v/>
      </c>
      <c r="AB873" s="136">
        <f>IF(E873=$AB$6,1,"")</f>
        <v/>
      </c>
      <c r="AC873" s="136">
        <f>IF(E873=$AC$6,1,"")</f>
        <v/>
      </c>
      <c r="AD873" s="136">
        <f>IF(E873=$AD$6,1,"")</f>
        <v/>
      </c>
      <c r="AE873" s="136">
        <f>IF(E873=$AE$6,1,"")</f>
        <v/>
      </c>
      <c r="AF873" s="136">
        <f>IF(E873=$AF$6,1,"")</f>
        <v/>
      </c>
      <c r="AG873" s="136">
        <f>IF(E873=$AG$6,1,"")</f>
        <v/>
      </c>
      <c r="AH873" s="136">
        <f>IF(E873=$AH$6,1,"")</f>
        <v/>
      </c>
      <c r="AI873" s="136">
        <f>IF(E873=$AI$6,1,"")</f>
        <v/>
      </c>
      <c r="AJ873" s="136">
        <f>IF(E873=$AJ$6,1,"")</f>
        <v/>
      </c>
      <c r="AK873" s="81">
        <f>IF(E873=$AK$6,1,"")</f>
        <v/>
      </c>
      <c r="AL873" s="81">
        <f>IF(E873=$AL$6,1,"")</f>
        <v/>
      </c>
      <c r="AM873" s="81">
        <f>IF(E873=$AM$6,1,"")</f>
        <v/>
      </c>
      <c r="AN873" s="81">
        <f>IF(E873=$AN$6,1,"")</f>
        <v/>
      </c>
      <c r="AO873" s="81">
        <f>IF(E873=$AO$6,1,"")</f>
        <v/>
      </c>
      <c r="AP873" s="81">
        <f>IF(E873=$AP$6,1,"")</f>
        <v/>
      </c>
      <c r="AQ873" s="81">
        <f>IF(E873=$AQ$6,1,"")</f>
        <v/>
      </c>
      <c r="AR873" s="81">
        <f>IF(E873=$AR$6,1,"")</f>
        <v/>
      </c>
      <c r="AS873" s="81" t="n"/>
    </row>
    <row r="874" ht="15.75" customHeight="1" s="80">
      <c r="A874" s="157" t="n"/>
      <c r="B874" s="124" t="n"/>
      <c r="C874" s="125" t="n"/>
      <c r="D874" s="126" t="n"/>
      <c r="E874" s="127" t="n"/>
      <c r="F874" s="128" t="n"/>
      <c r="G874" s="129">
        <f>IF(F874="","",ROUND(F874/60,2))</f>
        <v/>
      </c>
      <c r="H874" s="130" t="n"/>
      <c r="I874" s="131" t="n"/>
      <c r="J874" s="131">
        <f>IF(COUNTIF(B874:E874,"*")=0,"",IF(T874=1,"Invalid Service",IF(AND(V874=1,F874=""),"Add Session Mins",IF(AND(E874&gt;0,H874="",T874=""),"Enter Contract Rate",IF(AND(E874="IEP mtg, prep, rept",F874&gt;0),(G874*H874),IF(AND(E874&gt;0,F874&gt;0,H874&gt;0,I874=""),"Enter Travel",IF(AND(F874&gt;0,I874="Y"),(G874*H874)+$M$10,IF(AND(F874&gt;0,I874="N"),(G874*H874),H874))))))))</f>
        <v/>
      </c>
      <c r="K874" s="132">
        <f>J874</f>
        <v/>
      </c>
      <c r="L874" s="148" t="n"/>
      <c r="M874" s="148" t="n"/>
      <c r="N874" s="148" t="n"/>
      <c r="O874" s="87" t="n"/>
      <c r="P874" s="81" t="n"/>
      <c r="Q874" s="81" t="n"/>
      <c r="R874" s="81" t="n"/>
      <c r="S874" s="81" t="n"/>
      <c r="T874" s="136">
        <f>IF(AND(E874&gt;0,U874=0),1,"")</f>
        <v/>
      </c>
      <c r="U874" s="136">
        <f>SUM(X874:AR874)</f>
        <v/>
      </c>
      <c r="V874" s="136">
        <f>IF(E874=$Q$16,0,SUM(X874:AI874))</f>
        <v/>
      </c>
      <c r="W874" s="136">
        <f>SUM(AK874:AR874)</f>
        <v/>
      </c>
      <c r="X874" s="136">
        <f>IF(E874=$X$6,1,"")</f>
        <v/>
      </c>
      <c r="Y874" s="136">
        <f>IF(E874=$Y$6,1,"")</f>
        <v/>
      </c>
      <c r="Z874" s="136">
        <f>IF(E874=$Z$6,1,"")</f>
        <v/>
      </c>
      <c r="AA874" s="136">
        <f>IF(E874=$AA$6,1,"")</f>
        <v/>
      </c>
      <c r="AB874" s="136">
        <f>IF(E874=$AB$6,1,"")</f>
        <v/>
      </c>
      <c r="AC874" s="136">
        <f>IF(E874=$AC$6,1,"")</f>
        <v/>
      </c>
      <c r="AD874" s="136">
        <f>IF(E874=$AD$6,1,"")</f>
        <v/>
      </c>
      <c r="AE874" s="136">
        <f>IF(E874=$AE$6,1,"")</f>
        <v/>
      </c>
      <c r="AF874" s="136">
        <f>IF(E874=$AF$6,1,"")</f>
        <v/>
      </c>
      <c r="AG874" s="136">
        <f>IF(E874=$AG$6,1,"")</f>
        <v/>
      </c>
      <c r="AH874" s="136">
        <f>IF(E874=$AH$6,1,"")</f>
        <v/>
      </c>
      <c r="AI874" s="136">
        <f>IF(E874=$AI$6,1,"")</f>
        <v/>
      </c>
      <c r="AJ874" s="136">
        <f>IF(E874=$AJ$6,1,"")</f>
        <v/>
      </c>
      <c r="AK874" s="81">
        <f>IF(E874=$AK$6,1,"")</f>
        <v/>
      </c>
      <c r="AL874" s="81">
        <f>IF(E874=$AL$6,1,"")</f>
        <v/>
      </c>
      <c r="AM874" s="81">
        <f>IF(E874=$AM$6,1,"")</f>
        <v/>
      </c>
      <c r="AN874" s="81">
        <f>IF(E874=$AN$6,1,"")</f>
        <v/>
      </c>
      <c r="AO874" s="81">
        <f>IF(E874=$AO$6,1,"")</f>
        <v/>
      </c>
      <c r="AP874" s="81">
        <f>IF(E874=$AP$6,1,"")</f>
        <v/>
      </c>
      <c r="AQ874" s="81">
        <f>IF(E874=$AQ$6,1,"")</f>
        <v/>
      </c>
      <c r="AR874" s="81">
        <f>IF(E874=$AR$6,1,"")</f>
        <v/>
      </c>
      <c r="AS874" s="81" t="n"/>
    </row>
    <row r="875" ht="15.75" customHeight="1" s="80">
      <c r="A875" s="157" t="n"/>
      <c r="B875" s="124" t="n"/>
      <c r="C875" s="125" t="n"/>
      <c r="D875" s="126" t="n"/>
      <c r="E875" s="127" t="n"/>
      <c r="F875" s="128" t="n"/>
      <c r="G875" s="129">
        <f>IF(F875="","",ROUND(F875/60,2))</f>
        <v/>
      </c>
      <c r="H875" s="130" t="n"/>
      <c r="I875" s="131" t="n"/>
      <c r="J875" s="131">
        <f>IF(COUNTIF(B875:E875,"*")=0,"",IF(T875=1,"Invalid Service",IF(AND(V875=1,F875=""),"Add Session Mins",IF(AND(E875&gt;0,H875="",T875=""),"Enter Contract Rate",IF(AND(E875="IEP mtg, prep, rept",F875&gt;0),(G875*H875),IF(AND(E875&gt;0,F875&gt;0,H875&gt;0,I875=""),"Enter Travel",IF(AND(F875&gt;0,I875="Y"),(G875*H875)+$M$10,IF(AND(F875&gt;0,I875="N"),(G875*H875),H875))))))))</f>
        <v/>
      </c>
      <c r="K875" s="132">
        <f>J875</f>
        <v/>
      </c>
      <c r="L875" s="148" t="n"/>
      <c r="M875" s="148" t="n"/>
      <c r="N875" s="148" t="n"/>
      <c r="O875" s="87" t="n"/>
      <c r="P875" s="81" t="n"/>
      <c r="Q875" s="81" t="n"/>
      <c r="R875" s="81" t="n"/>
      <c r="S875" s="81" t="n"/>
      <c r="T875" s="136">
        <f>IF(AND(E875&gt;0,U875=0),1,"")</f>
        <v/>
      </c>
      <c r="U875" s="136">
        <f>SUM(X875:AR875)</f>
        <v/>
      </c>
      <c r="V875" s="136">
        <f>IF(E875=$Q$16,0,SUM(X875:AI875))</f>
        <v/>
      </c>
      <c r="W875" s="136">
        <f>SUM(AK875:AR875)</f>
        <v/>
      </c>
      <c r="X875" s="136">
        <f>IF(E875=$X$6,1,"")</f>
        <v/>
      </c>
      <c r="Y875" s="136">
        <f>IF(E875=$Y$6,1,"")</f>
        <v/>
      </c>
      <c r="Z875" s="136">
        <f>IF(E875=$Z$6,1,"")</f>
        <v/>
      </c>
      <c r="AA875" s="136">
        <f>IF(E875=$AA$6,1,"")</f>
        <v/>
      </c>
      <c r="AB875" s="136">
        <f>IF(E875=$AB$6,1,"")</f>
        <v/>
      </c>
      <c r="AC875" s="136">
        <f>IF(E875=$AC$6,1,"")</f>
        <v/>
      </c>
      <c r="AD875" s="136">
        <f>IF(E875=$AD$6,1,"")</f>
        <v/>
      </c>
      <c r="AE875" s="136">
        <f>IF(E875=$AE$6,1,"")</f>
        <v/>
      </c>
      <c r="AF875" s="136">
        <f>IF(E875=$AF$6,1,"")</f>
        <v/>
      </c>
      <c r="AG875" s="136">
        <f>IF(E875=$AG$6,1,"")</f>
        <v/>
      </c>
      <c r="AH875" s="136">
        <f>IF(E875=$AH$6,1,"")</f>
        <v/>
      </c>
      <c r="AI875" s="136">
        <f>IF(E875=$AI$6,1,"")</f>
        <v/>
      </c>
      <c r="AJ875" s="136">
        <f>IF(E875=$AJ$6,1,"")</f>
        <v/>
      </c>
      <c r="AK875" s="81">
        <f>IF(E875=$AK$6,1,"")</f>
        <v/>
      </c>
      <c r="AL875" s="81">
        <f>IF(E875=$AL$6,1,"")</f>
        <v/>
      </c>
      <c r="AM875" s="81">
        <f>IF(E875=$AM$6,1,"")</f>
        <v/>
      </c>
      <c r="AN875" s="81">
        <f>IF(E875=$AN$6,1,"")</f>
        <v/>
      </c>
      <c r="AO875" s="81">
        <f>IF(E875=$AO$6,1,"")</f>
        <v/>
      </c>
      <c r="AP875" s="81">
        <f>IF(E875=$AP$6,1,"")</f>
        <v/>
      </c>
      <c r="AQ875" s="81">
        <f>IF(E875=$AQ$6,1,"")</f>
        <v/>
      </c>
      <c r="AR875" s="81">
        <f>IF(E875=$AR$6,1,"")</f>
        <v/>
      </c>
      <c r="AS875" s="81" t="n"/>
    </row>
    <row r="876" ht="15.75" customHeight="1" s="80">
      <c r="A876" s="157" t="n"/>
      <c r="B876" s="124" t="n"/>
      <c r="C876" s="125" t="n"/>
      <c r="D876" s="126" t="n"/>
      <c r="E876" s="127" t="n"/>
      <c r="F876" s="128" t="n"/>
      <c r="G876" s="129">
        <f>IF(F876="","",ROUND(F876/60,2))</f>
        <v/>
      </c>
      <c r="H876" s="130" t="n"/>
      <c r="I876" s="131" t="n"/>
      <c r="J876" s="131">
        <f>IF(COUNTIF(B876:E876,"*")=0,"",IF(T876=1,"Invalid Service",IF(AND(V876=1,F876=""),"Add Session Mins",IF(AND(E876&gt;0,H876="",T876=""),"Enter Contract Rate",IF(AND(E876="IEP mtg, prep, rept",F876&gt;0),(G876*H876),IF(AND(E876&gt;0,F876&gt;0,H876&gt;0,I876=""),"Enter Travel",IF(AND(F876&gt;0,I876="Y"),(G876*H876)+$M$10,IF(AND(F876&gt;0,I876="N"),(G876*H876),H876))))))))</f>
        <v/>
      </c>
      <c r="K876" s="132">
        <f>J876</f>
        <v/>
      </c>
      <c r="L876" s="148" t="n"/>
      <c r="M876" s="148" t="n"/>
      <c r="N876" s="148" t="n"/>
      <c r="O876" s="87" t="n"/>
      <c r="P876" s="81" t="n"/>
      <c r="Q876" s="81" t="n"/>
      <c r="R876" s="81" t="n"/>
      <c r="S876" s="81" t="n"/>
      <c r="T876" s="136">
        <f>IF(AND(E876&gt;0,U876=0),1,"")</f>
        <v/>
      </c>
      <c r="U876" s="136">
        <f>SUM(X876:AR876)</f>
        <v/>
      </c>
      <c r="V876" s="136">
        <f>IF(E876=$Q$16,0,SUM(X876:AI876))</f>
        <v/>
      </c>
      <c r="W876" s="136">
        <f>SUM(AK876:AR876)</f>
        <v/>
      </c>
      <c r="X876" s="136">
        <f>IF(E876=$X$6,1,"")</f>
        <v/>
      </c>
      <c r="Y876" s="136">
        <f>IF(E876=$Y$6,1,"")</f>
        <v/>
      </c>
      <c r="Z876" s="136">
        <f>IF(E876=$Z$6,1,"")</f>
        <v/>
      </c>
      <c r="AA876" s="136">
        <f>IF(E876=$AA$6,1,"")</f>
        <v/>
      </c>
      <c r="AB876" s="136">
        <f>IF(E876=$AB$6,1,"")</f>
        <v/>
      </c>
      <c r="AC876" s="136">
        <f>IF(E876=$AC$6,1,"")</f>
        <v/>
      </c>
      <c r="AD876" s="136">
        <f>IF(E876=$AD$6,1,"")</f>
        <v/>
      </c>
      <c r="AE876" s="136">
        <f>IF(E876=$AE$6,1,"")</f>
        <v/>
      </c>
      <c r="AF876" s="136">
        <f>IF(E876=$AF$6,1,"")</f>
        <v/>
      </c>
      <c r="AG876" s="136">
        <f>IF(E876=$AG$6,1,"")</f>
        <v/>
      </c>
      <c r="AH876" s="136">
        <f>IF(E876=$AH$6,1,"")</f>
        <v/>
      </c>
      <c r="AI876" s="136">
        <f>IF(E876=$AI$6,1,"")</f>
        <v/>
      </c>
      <c r="AJ876" s="136">
        <f>IF(E876=$AJ$6,1,"")</f>
        <v/>
      </c>
      <c r="AK876" s="81">
        <f>IF(E876=$AK$6,1,"")</f>
        <v/>
      </c>
      <c r="AL876" s="81">
        <f>IF(E876=$AL$6,1,"")</f>
        <v/>
      </c>
      <c r="AM876" s="81">
        <f>IF(E876=$AM$6,1,"")</f>
        <v/>
      </c>
      <c r="AN876" s="81">
        <f>IF(E876=$AN$6,1,"")</f>
        <v/>
      </c>
      <c r="AO876" s="81">
        <f>IF(E876=$AO$6,1,"")</f>
        <v/>
      </c>
      <c r="AP876" s="81">
        <f>IF(E876=$AP$6,1,"")</f>
        <v/>
      </c>
      <c r="AQ876" s="81">
        <f>IF(E876=$AQ$6,1,"")</f>
        <v/>
      </c>
      <c r="AR876" s="81">
        <f>IF(E876=$AR$6,1,"")</f>
        <v/>
      </c>
      <c r="AS876" s="81" t="n"/>
    </row>
    <row r="877" ht="15.75" customHeight="1" s="80">
      <c r="A877" s="157" t="n"/>
      <c r="B877" s="124" t="n"/>
      <c r="C877" s="125" t="n"/>
      <c r="D877" s="126" t="n"/>
      <c r="E877" s="127" t="n"/>
      <c r="F877" s="128" t="n"/>
      <c r="G877" s="129">
        <f>IF(F877="","",ROUND(F877/60,2))</f>
        <v/>
      </c>
      <c r="H877" s="130" t="n"/>
      <c r="I877" s="131" t="n"/>
      <c r="J877" s="131">
        <f>IF(COUNTIF(B877:E877,"*")=0,"",IF(T877=1,"Invalid Service",IF(AND(V877=1,F877=""),"Add Session Mins",IF(AND(E877&gt;0,H877="",T877=""),"Enter Contract Rate",IF(AND(E877="IEP mtg, prep, rept",F877&gt;0),(G877*H877),IF(AND(E877&gt;0,F877&gt;0,H877&gt;0,I877=""),"Enter Travel",IF(AND(F877&gt;0,I877="Y"),(G877*H877)+$M$10,IF(AND(F877&gt;0,I877="N"),(G877*H877),H877))))))))</f>
        <v/>
      </c>
      <c r="K877" s="132">
        <f>J877</f>
        <v/>
      </c>
      <c r="L877" s="148" t="n"/>
      <c r="M877" s="148" t="n"/>
      <c r="N877" s="148" t="n"/>
      <c r="O877" s="87" t="n"/>
      <c r="P877" s="81" t="n"/>
      <c r="Q877" s="81" t="n"/>
      <c r="R877" s="81" t="n"/>
      <c r="S877" s="81" t="n"/>
      <c r="T877" s="136">
        <f>IF(AND(E877&gt;0,U877=0),1,"")</f>
        <v/>
      </c>
      <c r="U877" s="136">
        <f>SUM(X877:AR877)</f>
        <v/>
      </c>
      <c r="V877" s="136">
        <f>IF(E877=$Q$16,0,SUM(X877:AI877))</f>
        <v/>
      </c>
      <c r="W877" s="136">
        <f>SUM(AK877:AR877)</f>
        <v/>
      </c>
      <c r="X877" s="136">
        <f>IF(E877=$X$6,1,"")</f>
        <v/>
      </c>
      <c r="Y877" s="136">
        <f>IF(E877=$Y$6,1,"")</f>
        <v/>
      </c>
      <c r="Z877" s="136">
        <f>IF(E877=$Z$6,1,"")</f>
        <v/>
      </c>
      <c r="AA877" s="136">
        <f>IF(E877=$AA$6,1,"")</f>
        <v/>
      </c>
      <c r="AB877" s="136">
        <f>IF(E877=$AB$6,1,"")</f>
        <v/>
      </c>
      <c r="AC877" s="136">
        <f>IF(E877=$AC$6,1,"")</f>
        <v/>
      </c>
      <c r="AD877" s="136">
        <f>IF(E877=$AD$6,1,"")</f>
        <v/>
      </c>
      <c r="AE877" s="136">
        <f>IF(E877=$AE$6,1,"")</f>
        <v/>
      </c>
      <c r="AF877" s="136">
        <f>IF(E877=$AF$6,1,"")</f>
        <v/>
      </c>
      <c r="AG877" s="136">
        <f>IF(E877=$AG$6,1,"")</f>
        <v/>
      </c>
      <c r="AH877" s="136">
        <f>IF(E877=$AH$6,1,"")</f>
        <v/>
      </c>
      <c r="AI877" s="136">
        <f>IF(E877=$AI$6,1,"")</f>
        <v/>
      </c>
      <c r="AJ877" s="136">
        <f>IF(E877=$AJ$6,1,"")</f>
        <v/>
      </c>
      <c r="AK877" s="81">
        <f>IF(E877=$AK$6,1,"")</f>
        <v/>
      </c>
      <c r="AL877" s="81">
        <f>IF(E877=$AL$6,1,"")</f>
        <v/>
      </c>
      <c r="AM877" s="81">
        <f>IF(E877=$AM$6,1,"")</f>
        <v/>
      </c>
      <c r="AN877" s="81">
        <f>IF(E877=$AN$6,1,"")</f>
        <v/>
      </c>
      <c r="AO877" s="81">
        <f>IF(E877=$AO$6,1,"")</f>
        <v/>
      </c>
      <c r="AP877" s="81">
        <f>IF(E877=$AP$6,1,"")</f>
        <v/>
      </c>
      <c r="AQ877" s="81">
        <f>IF(E877=$AQ$6,1,"")</f>
        <v/>
      </c>
      <c r="AR877" s="81">
        <f>IF(E877=$AR$6,1,"")</f>
        <v/>
      </c>
      <c r="AS877" s="81" t="n"/>
    </row>
    <row r="878" ht="15.75" customHeight="1" s="80">
      <c r="A878" s="157" t="n"/>
      <c r="B878" s="124" t="n"/>
      <c r="C878" s="125" t="n"/>
      <c r="D878" s="126" t="n"/>
      <c r="E878" s="127" t="n"/>
      <c r="F878" s="128" t="n"/>
      <c r="G878" s="129">
        <f>IF(F878="","",ROUND(F878/60,2))</f>
        <v/>
      </c>
      <c r="H878" s="130" t="n"/>
      <c r="I878" s="131" t="n"/>
      <c r="J878" s="131">
        <f>IF(COUNTIF(B878:E878,"*")=0,"",IF(T878=1,"Invalid Service",IF(AND(V878=1,F878=""),"Add Session Mins",IF(AND(E878&gt;0,H878="",T878=""),"Enter Contract Rate",IF(AND(E878="IEP mtg, prep, rept",F878&gt;0),(G878*H878),IF(AND(E878&gt;0,F878&gt;0,H878&gt;0,I878=""),"Enter Travel",IF(AND(F878&gt;0,I878="Y"),(G878*H878)+$M$10,IF(AND(F878&gt;0,I878="N"),(G878*H878),H878))))))))</f>
        <v/>
      </c>
      <c r="K878" s="132">
        <f>J878</f>
        <v/>
      </c>
      <c r="L878" s="148" t="n"/>
      <c r="M878" s="148" t="n"/>
      <c r="N878" s="148" t="n"/>
      <c r="O878" s="87" t="n"/>
      <c r="P878" s="81" t="n"/>
      <c r="Q878" s="81" t="n"/>
      <c r="R878" s="81" t="n"/>
      <c r="S878" s="81" t="n"/>
      <c r="T878" s="136">
        <f>IF(AND(E878&gt;0,U878=0),1,"")</f>
        <v/>
      </c>
      <c r="U878" s="136">
        <f>SUM(X878:AR878)</f>
        <v/>
      </c>
      <c r="V878" s="136">
        <f>IF(E878=$Q$16,0,SUM(X878:AI878))</f>
        <v/>
      </c>
      <c r="W878" s="136">
        <f>SUM(AK878:AR878)</f>
        <v/>
      </c>
      <c r="X878" s="136">
        <f>IF(E878=$X$6,1,"")</f>
        <v/>
      </c>
      <c r="Y878" s="136">
        <f>IF(E878=$Y$6,1,"")</f>
        <v/>
      </c>
      <c r="Z878" s="136">
        <f>IF(E878=$Z$6,1,"")</f>
        <v/>
      </c>
      <c r="AA878" s="136">
        <f>IF(E878=$AA$6,1,"")</f>
        <v/>
      </c>
      <c r="AB878" s="136">
        <f>IF(E878=$AB$6,1,"")</f>
        <v/>
      </c>
      <c r="AC878" s="136">
        <f>IF(E878=$AC$6,1,"")</f>
        <v/>
      </c>
      <c r="AD878" s="136">
        <f>IF(E878=$AD$6,1,"")</f>
        <v/>
      </c>
      <c r="AE878" s="136">
        <f>IF(E878=$AE$6,1,"")</f>
        <v/>
      </c>
      <c r="AF878" s="136">
        <f>IF(E878=$AF$6,1,"")</f>
        <v/>
      </c>
      <c r="AG878" s="136">
        <f>IF(E878=$AG$6,1,"")</f>
        <v/>
      </c>
      <c r="AH878" s="136">
        <f>IF(E878=$AH$6,1,"")</f>
        <v/>
      </c>
      <c r="AI878" s="136">
        <f>IF(E878=$AI$6,1,"")</f>
        <v/>
      </c>
      <c r="AJ878" s="136">
        <f>IF(E878=$AJ$6,1,"")</f>
        <v/>
      </c>
      <c r="AK878" s="81">
        <f>IF(E878=$AK$6,1,"")</f>
        <v/>
      </c>
      <c r="AL878" s="81">
        <f>IF(E878=$AL$6,1,"")</f>
        <v/>
      </c>
      <c r="AM878" s="81">
        <f>IF(E878=$AM$6,1,"")</f>
        <v/>
      </c>
      <c r="AN878" s="81">
        <f>IF(E878=$AN$6,1,"")</f>
        <v/>
      </c>
      <c r="AO878" s="81">
        <f>IF(E878=$AO$6,1,"")</f>
        <v/>
      </c>
      <c r="AP878" s="81">
        <f>IF(E878=$AP$6,1,"")</f>
        <v/>
      </c>
      <c r="AQ878" s="81">
        <f>IF(E878=$AQ$6,1,"")</f>
        <v/>
      </c>
      <c r="AR878" s="81">
        <f>IF(E878=$AR$6,1,"")</f>
        <v/>
      </c>
      <c r="AS878" s="81" t="n"/>
    </row>
    <row r="879" ht="15.75" customHeight="1" s="80">
      <c r="A879" s="157" t="n"/>
      <c r="B879" s="124" t="n"/>
      <c r="C879" s="125" t="n"/>
      <c r="D879" s="126" t="n"/>
      <c r="E879" s="127" t="n"/>
      <c r="F879" s="128" t="n"/>
      <c r="G879" s="129">
        <f>IF(F879="","",ROUND(F879/60,2))</f>
        <v/>
      </c>
      <c r="H879" s="130" t="n"/>
      <c r="I879" s="131" t="n"/>
      <c r="J879" s="131">
        <f>IF(COUNTIF(B879:E879,"*")=0,"",IF(T879=1,"Invalid Service",IF(AND(V879=1,F879=""),"Add Session Mins",IF(AND(E879&gt;0,H879="",T879=""),"Enter Contract Rate",IF(AND(E879="IEP mtg, prep, rept",F879&gt;0),(G879*H879),IF(AND(E879&gt;0,F879&gt;0,H879&gt;0,I879=""),"Enter Travel",IF(AND(F879&gt;0,I879="Y"),(G879*H879)+$M$10,IF(AND(F879&gt;0,I879="N"),(G879*H879),H879))))))))</f>
        <v/>
      </c>
      <c r="K879" s="132">
        <f>J879</f>
        <v/>
      </c>
      <c r="L879" s="148" t="n"/>
      <c r="M879" s="148" t="n"/>
      <c r="N879" s="148" t="n"/>
      <c r="O879" s="87" t="n"/>
      <c r="P879" s="81" t="n"/>
      <c r="Q879" s="81" t="n"/>
      <c r="R879" s="81" t="n"/>
      <c r="S879" s="81" t="n"/>
      <c r="T879" s="136">
        <f>IF(AND(E879&gt;0,U879=0),1,"")</f>
        <v/>
      </c>
      <c r="U879" s="136">
        <f>SUM(X879:AR879)</f>
        <v/>
      </c>
      <c r="V879" s="136">
        <f>IF(E879=$Q$16,0,SUM(X879:AI879))</f>
        <v/>
      </c>
      <c r="W879" s="136">
        <f>SUM(AK879:AR879)</f>
        <v/>
      </c>
      <c r="X879" s="136">
        <f>IF(E879=$X$6,1,"")</f>
        <v/>
      </c>
      <c r="Y879" s="136">
        <f>IF(E879=$Y$6,1,"")</f>
        <v/>
      </c>
      <c r="Z879" s="136">
        <f>IF(E879=$Z$6,1,"")</f>
        <v/>
      </c>
      <c r="AA879" s="136">
        <f>IF(E879=$AA$6,1,"")</f>
        <v/>
      </c>
      <c r="AB879" s="136">
        <f>IF(E879=$AB$6,1,"")</f>
        <v/>
      </c>
      <c r="AC879" s="136">
        <f>IF(E879=$AC$6,1,"")</f>
        <v/>
      </c>
      <c r="AD879" s="136">
        <f>IF(E879=$AD$6,1,"")</f>
        <v/>
      </c>
      <c r="AE879" s="136">
        <f>IF(E879=$AE$6,1,"")</f>
        <v/>
      </c>
      <c r="AF879" s="136">
        <f>IF(E879=$AF$6,1,"")</f>
        <v/>
      </c>
      <c r="AG879" s="136">
        <f>IF(E879=$AG$6,1,"")</f>
        <v/>
      </c>
      <c r="AH879" s="136">
        <f>IF(E879=$AH$6,1,"")</f>
        <v/>
      </c>
      <c r="AI879" s="136">
        <f>IF(E879=$AI$6,1,"")</f>
        <v/>
      </c>
      <c r="AJ879" s="136">
        <f>IF(E879=$AJ$6,1,"")</f>
        <v/>
      </c>
      <c r="AK879" s="81">
        <f>IF(E879=$AK$6,1,"")</f>
        <v/>
      </c>
      <c r="AL879" s="81">
        <f>IF(E879=$AL$6,1,"")</f>
        <v/>
      </c>
      <c r="AM879" s="81">
        <f>IF(E879=$AM$6,1,"")</f>
        <v/>
      </c>
      <c r="AN879" s="81">
        <f>IF(E879=$AN$6,1,"")</f>
        <v/>
      </c>
      <c r="AO879" s="81">
        <f>IF(E879=$AO$6,1,"")</f>
        <v/>
      </c>
      <c r="AP879" s="81">
        <f>IF(E879=$AP$6,1,"")</f>
        <v/>
      </c>
      <c r="AQ879" s="81">
        <f>IF(E879=$AQ$6,1,"")</f>
        <v/>
      </c>
      <c r="AR879" s="81">
        <f>IF(E879=$AR$6,1,"")</f>
        <v/>
      </c>
      <c r="AS879" s="81" t="n"/>
    </row>
    <row r="880" ht="15.75" customHeight="1" s="80">
      <c r="A880" s="157" t="n"/>
      <c r="B880" s="124" t="n"/>
      <c r="C880" s="125" t="n"/>
      <c r="D880" s="126" t="n"/>
      <c r="E880" s="127" t="n"/>
      <c r="F880" s="128" t="n"/>
      <c r="G880" s="129">
        <f>IF(F880="","",ROUND(F880/60,2))</f>
        <v/>
      </c>
      <c r="H880" s="130" t="n"/>
      <c r="I880" s="131" t="n"/>
      <c r="J880" s="131">
        <f>IF(COUNTIF(B880:E880,"*")=0,"",IF(T880=1,"Invalid Service",IF(AND(V880=1,F880=""),"Add Session Mins",IF(AND(E880&gt;0,H880="",T880=""),"Enter Contract Rate",IF(AND(E880="IEP mtg, prep, rept",F880&gt;0),(G880*H880),IF(AND(E880&gt;0,F880&gt;0,H880&gt;0,I880=""),"Enter Travel",IF(AND(F880&gt;0,I880="Y"),(G880*H880)+$M$10,IF(AND(F880&gt;0,I880="N"),(G880*H880),H880))))))))</f>
        <v/>
      </c>
      <c r="K880" s="132">
        <f>J880</f>
        <v/>
      </c>
      <c r="L880" s="148" t="n"/>
      <c r="M880" s="148" t="n"/>
      <c r="N880" s="148" t="n"/>
      <c r="O880" s="87" t="n"/>
      <c r="P880" s="81" t="n"/>
      <c r="Q880" s="81" t="n"/>
      <c r="R880" s="81" t="n"/>
      <c r="S880" s="81" t="n"/>
      <c r="T880" s="136">
        <f>IF(AND(E880&gt;0,U880=0),1,"")</f>
        <v/>
      </c>
      <c r="U880" s="136">
        <f>SUM(X880:AR880)</f>
        <v/>
      </c>
      <c r="V880" s="136">
        <f>IF(E880=$Q$16,0,SUM(X880:AI880))</f>
        <v/>
      </c>
      <c r="W880" s="136">
        <f>SUM(AK880:AR880)</f>
        <v/>
      </c>
      <c r="X880" s="136">
        <f>IF(E880=$X$6,1,"")</f>
        <v/>
      </c>
      <c r="Y880" s="136">
        <f>IF(E880=$Y$6,1,"")</f>
        <v/>
      </c>
      <c r="Z880" s="136">
        <f>IF(E880=$Z$6,1,"")</f>
        <v/>
      </c>
      <c r="AA880" s="136">
        <f>IF(E880=$AA$6,1,"")</f>
        <v/>
      </c>
      <c r="AB880" s="136">
        <f>IF(E880=$AB$6,1,"")</f>
        <v/>
      </c>
      <c r="AC880" s="136">
        <f>IF(E880=$AC$6,1,"")</f>
        <v/>
      </c>
      <c r="AD880" s="136">
        <f>IF(E880=$AD$6,1,"")</f>
        <v/>
      </c>
      <c r="AE880" s="136">
        <f>IF(E880=$AE$6,1,"")</f>
        <v/>
      </c>
      <c r="AF880" s="136">
        <f>IF(E880=$AF$6,1,"")</f>
        <v/>
      </c>
      <c r="AG880" s="136">
        <f>IF(E880=$AG$6,1,"")</f>
        <v/>
      </c>
      <c r="AH880" s="136">
        <f>IF(E880=$AH$6,1,"")</f>
        <v/>
      </c>
      <c r="AI880" s="136">
        <f>IF(E880=$AI$6,1,"")</f>
        <v/>
      </c>
      <c r="AJ880" s="136">
        <f>IF(E880=$AJ$6,1,"")</f>
        <v/>
      </c>
      <c r="AK880" s="81">
        <f>IF(E880=$AK$6,1,"")</f>
        <v/>
      </c>
      <c r="AL880" s="81">
        <f>IF(E880=$AL$6,1,"")</f>
        <v/>
      </c>
      <c r="AM880" s="81">
        <f>IF(E880=$AM$6,1,"")</f>
        <v/>
      </c>
      <c r="AN880" s="81">
        <f>IF(E880=$AN$6,1,"")</f>
        <v/>
      </c>
      <c r="AO880" s="81">
        <f>IF(E880=$AO$6,1,"")</f>
        <v/>
      </c>
      <c r="AP880" s="81">
        <f>IF(E880=$AP$6,1,"")</f>
        <v/>
      </c>
      <c r="AQ880" s="81">
        <f>IF(E880=$AQ$6,1,"")</f>
        <v/>
      </c>
      <c r="AR880" s="81">
        <f>IF(E880=$AR$6,1,"")</f>
        <v/>
      </c>
      <c r="AS880" s="81" t="n"/>
    </row>
    <row r="881" ht="15.75" customHeight="1" s="80">
      <c r="A881" s="157" t="n"/>
      <c r="B881" s="124" t="n"/>
      <c r="C881" s="125" t="n"/>
      <c r="D881" s="126" t="n"/>
      <c r="E881" s="127" t="n"/>
      <c r="F881" s="128" t="n"/>
      <c r="G881" s="129">
        <f>IF(F881="","",ROUND(F881/60,2))</f>
        <v/>
      </c>
      <c r="H881" s="130" t="n"/>
      <c r="I881" s="131" t="n"/>
      <c r="J881" s="131">
        <f>IF(COUNTIF(B881:E881,"*")=0,"",IF(T881=1,"Invalid Service",IF(AND(V881=1,F881=""),"Add Session Mins",IF(AND(E881&gt;0,H881="",T881=""),"Enter Contract Rate",IF(AND(E881="IEP mtg, prep, rept",F881&gt;0),(G881*H881),IF(AND(E881&gt;0,F881&gt;0,H881&gt;0,I881=""),"Enter Travel",IF(AND(F881&gt;0,I881="Y"),(G881*H881)+$M$10,IF(AND(F881&gt;0,I881="N"),(G881*H881),H881))))))))</f>
        <v/>
      </c>
      <c r="K881" s="132">
        <f>J881</f>
        <v/>
      </c>
      <c r="L881" s="148" t="n"/>
      <c r="M881" s="148" t="n"/>
      <c r="N881" s="148" t="n"/>
      <c r="O881" s="87" t="n"/>
      <c r="P881" s="81" t="n"/>
      <c r="Q881" s="81" t="n"/>
      <c r="R881" s="81" t="n"/>
      <c r="S881" s="81" t="n"/>
      <c r="T881" s="136">
        <f>IF(AND(E881&gt;0,U881=0),1,"")</f>
        <v/>
      </c>
      <c r="U881" s="136">
        <f>SUM(X881:AR881)</f>
        <v/>
      </c>
      <c r="V881" s="136">
        <f>IF(E881=$Q$16,0,SUM(X881:AI881))</f>
        <v/>
      </c>
      <c r="W881" s="136">
        <f>SUM(AK881:AR881)</f>
        <v/>
      </c>
      <c r="X881" s="136">
        <f>IF(E881=$X$6,1,"")</f>
        <v/>
      </c>
      <c r="Y881" s="136">
        <f>IF(E881=$Y$6,1,"")</f>
        <v/>
      </c>
      <c r="Z881" s="136">
        <f>IF(E881=$Z$6,1,"")</f>
        <v/>
      </c>
      <c r="AA881" s="136">
        <f>IF(E881=$AA$6,1,"")</f>
        <v/>
      </c>
      <c r="AB881" s="136">
        <f>IF(E881=$AB$6,1,"")</f>
        <v/>
      </c>
      <c r="AC881" s="136">
        <f>IF(E881=$AC$6,1,"")</f>
        <v/>
      </c>
      <c r="AD881" s="136">
        <f>IF(E881=$AD$6,1,"")</f>
        <v/>
      </c>
      <c r="AE881" s="136">
        <f>IF(E881=$AE$6,1,"")</f>
        <v/>
      </c>
      <c r="AF881" s="136">
        <f>IF(E881=$AF$6,1,"")</f>
        <v/>
      </c>
      <c r="AG881" s="136">
        <f>IF(E881=$AG$6,1,"")</f>
        <v/>
      </c>
      <c r="AH881" s="136">
        <f>IF(E881=$AH$6,1,"")</f>
        <v/>
      </c>
      <c r="AI881" s="136">
        <f>IF(E881=$AI$6,1,"")</f>
        <v/>
      </c>
      <c r="AJ881" s="136">
        <f>IF(E881=$AJ$6,1,"")</f>
        <v/>
      </c>
      <c r="AK881" s="81">
        <f>IF(E881=$AK$6,1,"")</f>
        <v/>
      </c>
      <c r="AL881" s="81">
        <f>IF(E881=$AL$6,1,"")</f>
        <v/>
      </c>
      <c r="AM881" s="81">
        <f>IF(E881=$AM$6,1,"")</f>
        <v/>
      </c>
      <c r="AN881" s="81">
        <f>IF(E881=$AN$6,1,"")</f>
        <v/>
      </c>
      <c r="AO881" s="81">
        <f>IF(E881=$AO$6,1,"")</f>
        <v/>
      </c>
      <c r="AP881" s="81">
        <f>IF(E881=$AP$6,1,"")</f>
        <v/>
      </c>
      <c r="AQ881" s="81">
        <f>IF(E881=$AQ$6,1,"")</f>
        <v/>
      </c>
      <c r="AR881" s="81">
        <f>IF(E881=$AR$6,1,"")</f>
        <v/>
      </c>
      <c r="AS881" s="81" t="n"/>
    </row>
    <row r="882" ht="15.75" customHeight="1" s="80">
      <c r="A882" s="157" t="n"/>
      <c r="B882" s="124" t="n"/>
      <c r="C882" s="125" t="n"/>
      <c r="D882" s="126" t="n"/>
      <c r="E882" s="127" t="n"/>
      <c r="F882" s="128" t="n"/>
      <c r="G882" s="129">
        <f>IF(F882="","",ROUND(F882/60,2))</f>
        <v/>
      </c>
      <c r="H882" s="130" t="n"/>
      <c r="I882" s="131" t="n"/>
      <c r="J882" s="131">
        <f>IF(COUNTIF(B882:E882,"*")=0,"",IF(T882=1,"Invalid Service",IF(AND(V882=1,F882=""),"Add Session Mins",IF(AND(E882&gt;0,H882="",T882=""),"Enter Contract Rate",IF(AND(E882="IEP mtg, prep, rept",F882&gt;0),(G882*H882),IF(AND(E882&gt;0,F882&gt;0,H882&gt;0,I882=""),"Enter Travel",IF(AND(F882&gt;0,I882="Y"),(G882*H882)+$M$10,IF(AND(F882&gt;0,I882="N"),(G882*H882),H882))))))))</f>
        <v/>
      </c>
      <c r="K882" s="132">
        <f>J882</f>
        <v/>
      </c>
      <c r="L882" s="148" t="n"/>
      <c r="M882" s="148" t="n"/>
      <c r="N882" s="148" t="n"/>
      <c r="O882" s="87" t="n"/>
      <c r="P882" s="81" t="n"/>
      <c r="Q882" s="81" t="n"/>
      <c r="R882" s="81" t="n"/>
      <c r="S882" s="81" t="n"/>
      <c r="T882" s="136">
        <f>IF(AND(E882&gt;0,U882=0),1,"")</f>
        <v/>
      </c>
      <c r="U882" s="136">
        <f>SUM(X882:AR882)</f>
        <v/>
      </c>
      <c r="V882" s="136">
        <f>IF(E882=$Q$16,0,SUM(X882:AI882))</f>
        <v/>
      </c>
      <c r="W882" s="136">
        <f>SUM(AK882:AR882)</f>
        <v/>
      </c>
      <c r="X882" s="136">
        <f>IF(E882=$X$6,1,"")</f>
        <v/>
      </c>
      <c r="Y882" s="136">
        <f>IF(E882=$Y$6,1,"")</f>
        <v/>
      </c>
      <c r="Z882" s="136">
        <f>IF(E882=$Z$6,1,"")</f>
        <v/>
      </c>
      <c r="AA882" s="136">
        <f>IF(E882=$AA$6,1,"")</f>
        <v/>
      </c>
      <c r="AB882" s="136">
        <f>IF(E882=$AB$6,1,"")</f>
        <v/>
      </c>
      <c r="AC882" s="136">
        <f>IF(E882=$AC$6,1,"")</f>
        <v/>
      </c>
      <c r="AD882" s="136">
        <f>IF(E882=$AD$6,1,"")</f>
        <v/>
      </c>
      <c r="AE882" s="136">
        <f>IF(E882=$AE$6,1,"")</f>
        <v/>
      </c>
      <c r="AF882" s="136">
        <f>IF(E882=$AF$6,1,"")</f>
        <v/>
      </c>
      <c r="AG882" s="136">
        <f>IF(E882=$AG$6,1,"")</f>
        <v/>
      </c>
      <c r="AH882" s="136">
        <f>IF(E882=$AH$6,1,"")</f>
        <v/>
      </c>
      <c r="AI882" s="136">
        <f>IF(E882=$AI$6,1,"")</f>
        <v/>
      </c>
      <c r="AJ882" s="136">
        <f>IF(E882=$AJ$6,1,"")</f>
        <v/>
      </c>
      <c r="AK882" s="81">
        <f>IF(E882=$AK$6,1,"")</f>
        <v/>
      </c>
      <c r="AL882" s="81">
        <f>IF(E882=$AL$6,1,"")</f>
        <v/>
      </c>
      <c r="AM882" s="81">
        <f>IF(E882=$AM$6,1,"")</f>
        <v/>
      </c>
      <c r="AN882" s="81">
        <f>IF(E882=$AN$6,1,"")</f>
        <v/>
      </c>
      <c r="AO882" s="81">
        <f>IF(E882=$AO$6,1,"")</f>
        <v/>
      </c>
      <c r="AP882" s="81">
        <f>IF(E882=$AP$6,1,"")</f>
        <v/>
      </c>
      <c r="AQ882" s="81">
        <f>IF(E882=$AQ$6,1,"")</f>
        <v/>
      </c>
      <c r="AR882" s="81">
        <f>IF(E882=$AR$6,1,"")</f>
        <v/>
      </c>
      <c r="AS882" s="81" t="n"/>
    </row>
    <row r="883" ht="15.75" customHeight="1" s="80">
      <c r="A883" s="157" t="n"/>
      <c r="B883" s="124" t="n"/>
      <c r="C883" s="125" t="n"/>
      <c r="D883" s="126" t="n"/>
      <c r="E883" s="127" t="n"/>
      <c r="F883" s="128" t="n"/>
      <c r="G883" s="129">
        <f>IF(F883="","",ROUND(F883/60,2))</f>
        <v/>
      </c>
      <c r="H883" s="130" t="n"/>
      <c r="I883" s="131" t="n"/>
      <c r="J883" s="131">
        <f>IF(COUNTIF(B883:E883,"*")=0,"",IF(T883=1,"Invalid Service",IF(AND(V883=1,F883=""),"Add Session Mins",IF(AND(E883&gt;0,H883="",T883=""),"Enter Contract Rate",IF(AND(E883="IEP mtg, prep, rept",F883&gt;0),(G883*H883),IF(AND(E883&gt;0,F883&gt;0,H883&gt;0,I883=""),"Enter Travel",IF(AND(F883&gt;0,I883="Y"),(G883*H883)+$M$10,IF(AND(F883&gt;0,I883="N"),(G883*H883),H883))))))))</f>
        <v/>
      </c>
      <c r="K883" s="132">
        <f>J883</f>
        <v/>
      </c>
      <c r="L883" s="148" t="n"/>
      <c r="M883" s="148" t="n"/>
      <c r="N883" s="148" t="n"/>
      <c r="O883" s="87" t="n"/>
      <c r="P883" s="81" t="n"/>
      <c r="Q883" s="81" t="n"/>
      <c r="R883" s="81" t="n"/>
      <c r="S883" s="81" t="n"/>
      <c r="T883" s="136">
        <f>IF(AND(E883&gt;0,U883=0),1,"")</f>
        <v/>
      </c>
      <c r="U883" s="136">
        <f>SUM(X883:AR883)</f>
        <v/>
      </c>
      <c r="V883" s="136">
        <f>IF(E883=$Q$16,0,SUM(X883:AI883))</f>
        <v/>
      </c>
      <c r="W883" s="136">
        <f>SUM(AK883:AR883)</f>
        <v/>
      </c>
      <c r="X883" s="136">
        <f>IF(E883=$X$6,1,"")</f>
        <v/>
      </c>
      <c r="Y883" s="136">
        <f>IF(E883=$Y$6,1,"")</f>
        <v/>
      </c>
      <c r="Z883" s="136">
        <f>IF(E883=$Z$6,1,"")</f>
        <v/>
      </c>
      <c r="AA883" s="136">
        <f>IF(E883=$AA$6,1,"")</f>
        <v/>
      </c>
      <c r="AB883" s="136">
        <f>IF(E883=$AB$6,1,"")</f>
        <v/>
      </c>
      <c r="AC883" s="136">
        <f>IF(E883=$AC$6,1,"")</f>
        <v/>
      </c>
      <c r="AD883" s="136">
        <f>IF(E883=$AD$6,1,"")</f>
        <v/>
      </c>
      <c r="AE883" s="136">
        <f>IF(E883=$AE$6,1,"")</f>
        <v/>
      </c>
      <c r="AF883" s="136">
        <f>IF(E883=$AF$6,1,"")</f>
        <v/>
      </c>
      <c r="AG883" s="136">
        <f>IF(E883=$AG$6,1,"")</f>
        <v/>
      </c>
      <c r="AH883" s="136">
        <f>IF(E883=$AH$6,1,"")</f>
        <v/>
      </c>
      <c r="AI883" s="136">
        <f>IF(E883=$AI$6,1,"")</f>
        <v/>
      </c>
      <c r="AJ883" s="136">
        <f>IF(E883=$AJ$6,1,"")</f>
        <v/>
      </c>
      <c r="AK883" s="81">
        <f>IF(E883=$AK$6,1,"")</f>
        <v/>
      </c>
      <c r="AL883" s="81">
        <f>IF(E883=$AL$6,1,"")</f>
        <v/>
      </c>
      <c r="AM883" s="81">
        <f>IF(E883=$AM$6,1,"")</f>
        <v/>
      </c>
      <c r="AN883" s="81">
        <f>IF(E883=$AN$6,1,"")</f>
        <v/>
      </c>
      <c r="AO883" s="81">
        <f>IF(E883=$AO$6,1,"")</f>
        <v/>
      </c>
      <c r="AP883" s="81">
        <f>IF(E883=$AP$6,1,"")</f>
        <v/>
      </c>
      <c r="AQ883" s="81">
        <f>IF(E883=$AQ$6,1,"")</f>
        <v/>
      </c>
      <c r="AR883" s="81">
        <f>IF(E883=$AR$6,1,"")</f>
        <v/>
      </c>
      <c r="AS883" s="81" t="n"/>
    </row>
    <row r="884" ht="15.75" customHeight="1" s="80">
      <c r="A884" s="157" t="n"/>
      <c r="B884" s="124" t="n"/>
      <c r="C884" s="125" t="n"/>
      <c r="D884" s="126" t="n"/>
      <c r="E884" s="127" t="n"/>
      <c r="F884" s="128" t="n"/>
      <c r="G884" s="129">
        <f>IF(F884="","",ROUND(F884/60,2))</f>
        <v/>
      </c>
      <c r="H884" s="130" t="n"/>
      <c r="I884" s="131" t="n"/>
      <c r="J884" s="131">
        <f>IF(COUNTIF(B884:E884,"*")=0,"",IF(T884=1,"Invalid Service",IF(AND(V884=1,F884=""),"Add Session Mins",IF(AND(E884&gt;0,H884="",T884=""),"Enter Contract Rate",IF(AND(E884="IEP mtg, prep, rept",F884&gt;0),(G884*H884),IF(AND(E884&gt;0,F884&gt;0,H884&gt;0,I884=""),"Enter Travel",IF(AND(F884&gt;0,I884="Y"),(G884*H884)+$M$10,IF(AND(F884&gt;0,I884="N"),(G884*H884),H884))))))))</f>
        <v/>
      </c>
      <c r="K884" s="132">
        <f>J884</f>
        <v/>
      </c>
      <c r="L884" s="148" t="n"/>
      <c r="M884" s="148" t="n"/>
      <c r="N884" s="148" t="n"/>
      <c r="O884" s="87" t="n"/>
      <c r="P884" s="81" t="n"/>
      <c r="Q884" s="81" t="n"/>
      <c r="R884" s="81" t="n"/>
      <c r="S884" s="81" t="n"/>
      <c r="T884" s="136">
        <f>IF(AND(E884&gt;0,U884=0),1,"")</f>
        <v/>
      </c>
      <c r="U884" s="136">
        <f>SUM(X884:AR884)</f>
        <v/>
      </c>
      <c r="V884" s="136">
        <f>IF(E884=$Q$16,0,SUM(X884:AI884))</f>
        <v/>
      </c>
      <c r="W884" s="136">
        <f>SUM(AK884:AR884)</f>
        <v/>
      </c>
      <c r="X884" s="136">
        <f>IF(E884=$X$6,1,"")</f>
        <v/>
      </c>
      <c r="Y884" s="136">
        <f>IF(E884=$Y$6,1,"")</f>
        <v/>
      </c>
      <c r="Z884" s="136">
        <f>IF(E884=$Z$6,1,"")</f>
        <v/>
      </c>
      <c r="AA884" s="136">
        <f>IF(E884=$AA$6,1,"")</f>
        <v/>
      </c>
      <c r="AB884" s="136">
        <f>IF(E884=$AB$6,1,"")</f>
        <v/>
      </c>
      <c r="AC884" s="136">
        <f>IF(E884=$AC$6,1,"")</f>
        <v/>
      </c>
      <c r="AD884" s="136">
        <f>IF(E884=$AD$6,1,"")</f>
        <v/>
      </c>
      <c r="AE884" s="136">
        <f>IF(E884=$AE$6,1,"")</f>
        <v/>
      </c>
      <c r="AF884" s="136">
        <f>IF(E884=$AF$6,1,"")</f>
        <v/>
      </c>
      <c r="AG884" s="136">
        <f>IF(E884=$AG$6,1,"")</f>
        <v/>
      </c>
      <c r="AH884" s="136">
        <f>IF(E884=$AH$6,1,"")</f>
        <v/>
      </c>
      <c r="AI884" s="136">
        <f>IF(E884=$AI$6,1,"")</f>
        <v/>
      </c>
      <c r="AJ884" s="136">
        <f>IF(E884=$AJ$6,1,"")</f>
        <v/>
      </c>
      <c r="AK884" s="81">
        <f>IF(E884=$AK$6,1,"")</f>
        <v/>
      </c>
      <c r="AL884" s="81">
        <f>IF(E884=$AL$6,1,"")</f>
        <v/>
      </c>
      <c r="AM884" s="81">
        <f>IF(E884=$AM$6,1,"")</f>
        <v/>
      </c>
      <c r="AN884" s="81">
        <f>IF(E884=$AN$6,1,"")</f>
        <v/>
      </c>
      <c r="AO884" s="81">
        <f>IF(E884=$AO$6,1,"")</f>
        <v/>
      </c>
      <c r="AP884" s="81">
        <f>IF(E884=$AP$6,1,"")</f>
        <v/>
      </c>
      <c r="AQ884" s="81">
        <f>IF(E884=$AQ$6,1,"")</f>
        <v/>
      </c>
      <c r="AR884" s="81">
        <f>IF(E884=$AR$6,1,"")</f>
        <v/>
      </c>
      <c r="AS884" s="81" t="n"/>
    </row>
    <row r="885" ht="15.75" customHeight="1" s="80">
      <c r="A885" s="157" t="n"/>
      <c r="B885" s="124" t="n"/>
      <c r="C885" s="125" t="n"/>
      <c r="D885" s="126" t="n"/>
      <c r="E885" s="127" t="n"/>
      <c r="F885" s="128" t="n"/>
      <c r="G885" s="129">
        <f>IF(F885="","",ROUND(F885/60,2))</f>
        <v/>
      </c>
      <c r="H885" s="130" t="n"/>
      <c r="I885" s="131" t="n"/>
      <c r="J885" s="131">
        <f>IF(COUNTIF(B885:E885,"*")=0,"",IF(T885=1,"Invalid Service",IF(AND(V885=1,F885=""),"Add Session Mins",IF(AND(E885&gt;0,H885="",T885=""),"Enter Contract Rate",IF(AND(E885="IEP mtg, prep, rept",F885&gt;0),(G885*H885),IF(AND(E885&gt;0,F885&gt;0,H885&gt;0,I885=""),"Enter Travel",IF(AND(F885&gt;0,I885="Y"),(G885*H885)+$M$10,IF(AND(F885&gt;0,I885="N"),(G885*H885),H885))))))))</f>
        <v/>
      </c>
      <c r="K885" s="132">
        <f>J885</f>
        <v/>
      </c>
      <c r="L885" s="148" t="n"/>
      <c r="M885" s="148" t="n"/>
      <c r="N885" s="148" t="n"/>
      <c r="O885" s="87" t="n"/>
      <c r="P885" s="81" t="n"/>
      <c r="Q885" s="81" t="n"/>
      <c r="R885" s="81" t="n"/>
      <c r="S885" s="81" t="n"/>
      <c r="T885" s="136">
        <f>IF(AND(E885&gt;0,U885=0),1,"")</f>
        <v/>
      </c>
      <c r="U885" s="136">
        <f>SUM(X885:AR885)</f>
        <v/>
      </c>
      <c r="V885" s="136">
        <f>IF(E885=$Q$16,0,SUM(X885:AI885))</f>
        <v/>
      </c>
      <c r="W885" s="136">
        <f>SUM(AK885:AR885)</f>
        <v/>
      </c>
      <c r="X885" s="136">
        <f>IF(E885=$X$6,1,"")</f>
        <v/>
      </c>
      <c r="Y885" s="136">
        <f>IF(E885=$Y$6,1,"")</f>
        <v/>
      </c>
      <c r="Z885" s="136">
        <f>IF(E885=$Z$6,1,"")</f>
        <v/>
      </c>
      <c r="AA885" s="136">
        <f>IF(E885=$AA$6,1,"")</f>
        <v/>
      </c>
      <c r="AB885" s="136">
        <f>IF(E885=$AB$6,1,"")</f>
        <v/>
      </c>
      <c r="AC885" s="136">
        <f>IF(E885=$AC$6,1,"")</f>
        <v/>
      </c>
      <c r="AD885" s="136">
        <f>IF(E885=$AD$6,1,"")</f>
        <v/>
      </c>
      <c r="AE885" s="136">
        <f>IF(E885=$AE$6,1,"")</f>
        <v/>
      </c>
      <c r="AF885" s="136">
        <f>IF(E885=$AF$6,1,"")</f>
        <v/>
      </c>
      <c r="AG885" s="136">
        <f>IF(E885=$AG$6,1,"")</f>
        <v/>
      </c>
      <c r="AH885" s="136">
        <f>IF(E885=$AH$6,1,"")</f>
        <v/>
      </c>
      <c r="AI885" s="136">
        <f>IF(E885=$AI$6,1,"")</f>
        <v/>
      </c>
      <c r="AJ885" s="136">
        <f>IF(E885=$AJ$6,1,"")</f>
        <v/>
      </c>
      <c r="AK885" s="81">
        <f>IF(E885=$AK$6,1,"")</f>
        <v/>
      </c>
      <c r="AL885" s="81">
        <f>IF(E885=$AL$6,1,"")</f>
        <v/>
      </c>
      <c r="AM885" s="81">
        <f>IF(E885=$AM$6,1,"")</f>
        <v/>
      </c>
      <c r="AN885" s="81">
        <f>IF(E885=$AN$6,1,"")</f>
        <v/>
      </c>
      <c r="AO885" s="81">
        <f>IF(E885=$AO$6,1,"")</f>
        <v/>
      </c>
      <c r="AP885" s="81">
        <f>IF(E885=$AP$6,1,"")</f>
        <v/>
      </c>
      <c r="AQ885" s="81">
        <f>IF(E885=$AQ$6,1,"")</f>
        <v/>
      </c>
      <c r="AR885" s="81">
        <f>IF(E885=$AR$6,1,"")</f>
        <v/>
      </c>
      <c r="AS885" s="81" t="n"/>
    </row>
    <row r="886" ht="15.75" customHeight="1" s="80">
      <c r="A886" s="157" t="n"/>
      <c r="B886" s="124" t="n"/>
      <c r="C886" s="125" t="n"/>
      <c r="D886" s="126" t="n"/>
      <c r="E886" s="127" t="n"/>
      <c r="F886" s="128" t="n"/>
      <c r="G886" s="129">
        <f>IF(F886="","",ROUND(F886/60,2))</f>
        <v/>
      </c>
      <c r="H886" s="130" t="n"/>
      <c r="I886" s="131" t="n"/>
      <c r="J886" s="131">
        <f>IF(COUNTIF(B886:E886,"*")=0,"",IF(T886=1,"Invalid Service",IF(AND(V886=1,F886=""),"Add Session Mins",IF(AND(E886&gt;0,H886="",T886=""),"Enter Contract Rate",IF(AND(E886="IEP mtg, prep, rept",F886&gt;0),(G886*H886),IF(AND(E886&gt;0,F886&gt;0,H886&gt;0,I886=""),"Enter Travel",IF(AND(F886&gt;0,I886="Y"),(G886*H886)+$M$10,IF(AND(F886&gt;0,I886="N"),(G886*H886),H886))))))))</f>
        <v/>
      </c>
      <c r="K886" s="132">
        <f>J886</f>
        <v/>
      </c>
      <c r="L886" s="148" t="n"/>
      <c r="M886" s="148" t="n"/>
      <c r="N886" s="148" t="n"/>
      <c r="O886" s="87" t="n"/>
      <c r="P886" s="81" t="n"/>
      <c r="Q886" s="81" t="n"/>
      <c r="R886" s="81" t="n"/>
      <c r="S886" s="81" t="n"/>
      <c r="T886" s="136">
        <f>IF(AND(E886&gt;0,U886=0),1,"")</f>
        <v/>
      </c>
      <c r="U886" s="136">
        <f>SUM(X886:AR886)</f>
        <v/>
      </c>
      <c r="V886" s="136">
        <f>IF(E886=$Q$16,0,SUM(X886:AI886))</f>
        <v/>
      </c>
      <c r="W886" s="136">
        <f>SUM(AK886:AR886)</f>
        <v/>
      </c>
      <c r="X886" s="136">
        <f>IF(E886=$X$6,1,"")</f>
        <v/>
      </c>
      <c r="Y886" s="136">
        <f>IF(E886=$Y$6,1,"")</f>
        <v/>
      </c>
      <c r="Z886" s="136">
        <f>IF(E886=$Z$6,1,"")</f>
        <v/>
      </c>
      <c r="AA886" s="136">
        <f>IF(E886=$AA$6,1,"")</f>
        <v/>
      </c>
      <c r="AB886" s="136">
        <f>IF(E886=$AB$6,1,"")</f>
        <v/>
      </c>
      <c r="AC886" s="136">
        <f>IF(E886=$AC$6,1,"")</f>
        <v/>
      </c>
      <c r="AD886" s="136">
        <f>IF(E886=$AD$6,1,"")</f>
        <v/>
      </c>
      <c r="AE886" s="136">
        <f>IF(E886=$AE$6,1,"")</f>
        <v/>
      </c>
      <c r="AF886" s="136">
        <f>IF(E886=$AF$6,1,"")</f>
        <v/>
      </c>
      <c r="AG886" s="136">
        <f>IF(E886=$AG$6,1,"")</f>
        <v/>
      </c>
      <c r="AH886" s="136">
        <f>IF(E886=$AH$6,1,"")</f>
        <v/>
      </c>
      <c r="AI886" s="136">
        <f>IF(E886=$AI$6,1,"")</f>
        <v/>
      </c>
      <c r="AJ886" s="136">
        <f>IF(E886=$AJ$6,1,"")</f>
        <v/>
      </c>
      <c r="AK886" s="81">
        <f>IF(E886=$AK$6,1,"")</f>
        <v/>
      </c>
      <c r="AL886" s="81">
        <f>IF(E886=$AL$6,1,"")</f>
        <v/>
      </c>
      <c r="AM886" s="81">
        <f>IF(E886=$AM$6,1,"")</f>
        <v/>
      </c>
      <c r="AN886" s="81">
        <f>IF(E886=$AN$6,1,"")</f>
        <v/>
      </c>
      <c r="AO886" s="81">
        <f>IF(E886=$AO$6,1,"")</f>
        <v/>
      </c>
      <c r="AP886" s="81">
        <f>IF(E886=$AP$6,1,"")</f>
        <v/>
      </c>
      <c r="AQ886" s="81">
        <f>IF(E886=$AQ$6,1,"")</f>
        <v/>
      </c>
      <c r="AR886" s="81">
        <f>IF(E886=$AR$6,1,"")</f>
        <v/>
      </c>
      <c r="AS886" s="81" t="n"/>
    </row>
    <row r="887" ht="15.75" customHeight="1" s="80">
      <c r="A887" s="157" t="n"/>
      <c r="B887" s="124" t="n"/>
      <c r="C887" s="125" t="n"/>
      <c r="D887" s="126" t="n"/>
      <c r="E887" s="127" t="n"/>
      <c r="F887" s="128" t="n"/>
      <c r="G887" s="129">
        <f>IF(F887="","",ROUND(F887/60,2))</f>
        <v/>
      </c>
      <c r="H887" s="130" t="n"/>
      <c r="I887" s="131" t="n"/>
      <c r="J887" s="131">
        <f>IF(COUNTIF(B887:E887,"*")=0,"",IF(T887=1,"Invalid Service",IF(AND(V887=1,F887=""),"Add Session Mins",IF(AND(E887&gt;0,H887="",T887=""),"Enter Contract Rate",IF(AND(E887="IEP mtg, prep, rept",F887&gt;0),(G887*H887),IF(AND(E887&gt;0,F887&gt;0,H887&gt;0,I887=""),"Enter Travel",IF(AND(F887&gt;0,I887="Y"),(G887*H887)+$M$10,IF(AND(F887&gt;0,I887="N"),(G887*H887),H887))))))))</f>
        <v/>
      </c>
      <c r="K887" s="132">
        <f>J887</f>
        <v/>
      </c>
      <c r="L887" s="148" t="n"/>
      <c r="M887" s="148" t="n"/>
      <c r="N887" s="148" t="n"/>
      <c r="O887" s="87" t="n"/>
      <c r="P887" s="81" t="n"/>
      <c r="Q887" s="81" t="n"/>
      <c r="R887" s="81" t="n"/>
      <c r="S887" s="81" t="n"/>
      <c r="T887" s="136">
        <f>IF(AND(E887&gt;0,U887=0),1,"")</f>
        <v/>
      </c>
      <c r="U887" s="136">
        <f>SUM(X887:AR887)</f>
        <v/>
      </c>
      <c r="V887" s="136">
        <f>IF(E887=$Q$16,0,SUM(X887:AI887))</f>
        <v/>
      </c>
      <c r="W887" s="136">
        <f>SUM(AK887:AR887)</f>
        <v/>
      </c>
      <c r="X887" s="136">
        <f>IF(E887=$X$6,1,"")</f>
        <v/>
      </c>
      <c r="Y887" s="136">
        <f>IF(E887=$Y$6,1,"")</f>
        <v/>
      </c>
      <c r="Z887" s="136">
        <f>IF(E887=$Z$6,1,"")</f>
        <v/>
      </c>
      <c r="AA887" s="136">
        <f>IF(E887=$AA$6,1,"")</f>
        <v/>
      </c>
      <c r="AB887" s="136">
        <f>IF(E887=$AB$6,1,"")</f>
        <v/>
      </c>
      <c r="AC887" s="136">
        <f>IF(E887=$AC$6,1,"")</f>
        <v/>
      </c>
      <c r="AD887" s="136">
        <f>IF(E887=$AD$6,1,"")</f>
        <v/>
      </c>
      <c r="AE887" s="136">
        <f>IF(E887=$AE$6,1,"")</f>
        <v/>
      </c>
      <c r="AF887" s="136">
        <f>IF(E887=$AF$6,1,"")</f>
        <v/>
      </c>
      <c r="AG887" s="136">
        <f>IF(E887=$AG$6,1,"")</f>
        <v/>
      </c>
      <c r="AH887" s="136">
        <f>IF(E887=$AH$6,1,"")</f>
        <v/>
      </c>
      <c r="AI887" s="136">
        <f>IF(E887=$AI$6,1,"")</f>
        <v/>
      </c>
      <c r="AJ887" s="136">
        <f>IF(E887=$AJ$6,1,"")</f>
        <v/>
      </c>
      <c r="AK887" s="81">
        <f>IF(E887=$AK$6,1,"")</f>
        <v/>
      </c>
      <c r="AL887" s="81">
        <f>IF(E887=$AL$6,1,"")</f>
        <v/>
      </c>
      <c r="AM887" s="81">
        <f>IF(E887=$AM$6,1,"")</f>
        <v/>
      </c>
      <c r="AN887" s="81">
        <f>IF(E887=$AN$6,1,"")</f>
        <v/>
      </c>
      <c r="AO887" s="81">
        <f>IF(E887=$AO$6,1,"")</f>
        <v/>
      </c>
      <c r="AP887" s="81">
        <f>IF(E887=$AP$6,1,"")</f>
        <v/>
      </c>
      <c r="AQ887" s="81">
        <f>IF(E887=$AQ$6,1,"")</f>
        <v/>
      </c>
      <c r="AR887" s="81">
        <f>IF(E887=$AR$6,1,"")</f>
        <v/>
      </c>
      <c r="AS887" s="81" t="n"/>
    </row>
    <row r="888" ht="15.75" customHeight="1" s="80">
      <c r="A888" s="157" t="n"/>
      <c r="B888" s="124" t="n"/>
      <c r="C888" s="125" t="n"/>
      <c r="D888" s="126" t="n"/>
      <c r="E888" s="127" t="n"/>
      <c r="F888" s="128" t="n"/>
      <c r="G888" s="129">
        <f>IF(F888="","",ROUND(F888/60,2))</f>
        <v/>
      </c>
      <c r="H888" s="130" t="n"/>
      <c r="I888" s="131" t="n"/>
      <c r="J888" s="131">
        <f>IF(COUNTIF(B888:E888,"*")=0,"",IF(T888=1,"Invalid Service",IF(AND(V888=1,F888=""),"Add Session Mins",IF(AND(E888&gt;0,H888="",T888=""),"Enter Contract Rate",IF(AND(E888="IEP mtg, prep, rept",F888&gt;0),(G888*H888),IF(AND(E888&gt;0,F888&gt;0,H888&gt;0,I888=""),"Enter Travel",IF(AND(F888&gt;0,I888="Y"),(G888*H888)+$M$10,IF(AND(F888&gt;0,I888="N"),(G888*H888),H888))))))))</f>
        <v/>
      </c>
      <c r="K888" s="132">
        <f>J888</f>
        <v/>
      </c>
      <c r="L888" s="148" t="n"/>
      <c r="M888" s="148" t="n"/>
      <c r="N888" s="148" t="n"/>
      <c r="O888" s="87" t="n"/>
      <c r="P888" s="81" t="n"/>
      <c r="Q888" s="81" t="n"/>
      <c r="R888" s="81" t="n"/>
      <c r="S888" s="81" t="n"/>
      <c r="T888" s="136">
        <f>IF(AND(E888&gt;0,U888=0),1,"")</f>
        <v/>
      </c>
      <c r="U888" s="136">
        <f>SUM(X888:AR888)</f>
        <v/>
      </c>
      <c r="V888" s="136">
        <f>IF(E888=$Q$16,0,SUM(X888:AI888))</f>
        <v/>
      </c>
      <c r="W888" s="136">
        <f>SUM(AK888:AR888)</f>
        <v/>
      </c>
      <c r="X888" s="136">
        <f>IF(E888=$X$6,1,"")</f>
        <v/>
      </c>
      <c r="Y888" s="136">
        <f>IF(E888=$Y$6,1,"")</f>
        <v/>
      </c>
      <c r="Z888" s="136">
        <f>IF(E888=$Z$6,1,"")</f>
        <v/>
      </c>
      <c r="AA888" s="136">
        <f>IF(E888=$AA$6,1,"")</f>
        <v/>
      </c>
      <c r="AB888" s="136">
        <f>IF(E888=$AB$6,1,"")</f>
        <v/>
      </c>
      <c r="AC888" s="136">
        <f>IF(E888=$AC$6,1,"")</f>
        <v/>
      </c>
      <c r="AD888" s="136">
        <f>IF(E888=$AD$6,1,"")</f>
        <v/>
      </c>
      <c r="AE888" s="136">
        <f>IF(E888=$AE$6,1,"")</f>
        <v/>
      </c>
      <c r="AF888" s="136">
        <f>IF(E888=$AF$6,1,"")</f>
        <v/>
      </c>
      <c r="AG888" s="136">
        <f>IF(E888=$AG$6,1,"")</f>
        <v/>
      </c>
      <c r="AH888" s="136">
        <f>IF(E888=$AH$6,1,"")</f>
        <v/>
      </c>
      <c r="AI888" s="136">
        <f>IF(E888=$AI$6,1,"")</f>
        <v/>
      </c>
      <c r="AJ888" s="136">
        <f>IF(E888=$AJ$6,1,"")</f>
        <v/>
      </c>
      <c r="AK888" s="81">
        <f>IF(E888=$AK$6,1,"")</f>
        <v/>
      </c>
      <c r="AL888" s="81">
        <f>IF(E888=$AL$6,1,"")</f>
        <v/>
      </c>
      <c r="AM888" s="81">
        <f>IF(E888=$AM$6,1,"")</f>
        <v/>
      </c>
      <c r="AN888" s="81">
        <f>IF(E888=$AN$6,1,"")</f>
        <v/>
      </c>
      <c r="AO888" s="81">
        <f>IF(E888=$AO$6,1,"")</f>
        <v/>
      </c>
      <c r="AP888" s="81">
        <f>IF(E888=$AP$6,1,"")</f>
        <v/>
      </c>
      <c r="AQ888" s="81">
        <f>IF(E888=$AQ$6,1,"")</f>
        <v/>
      </c>
      <c r="AR888" s="81">
        <f>IF(E888=$AR$6,1,"")</f>
        <v/>
      </c>
      <c r="AS888" s="81" t="n"/>
    </row>
    <row r="889" ht="15.75" customHeight="1" s="80">
      <c r="A889" s="157" t="n"/>
      <c r="B889" s="124" t="n"/>
      <c r="C889" s="125" t="n"/>
      <c r="D889" s="126" t="n"/>
      <c r="E889" s="127" t="n"/>
      <c r="F889" s="128" t="n"/>
      <c r="G889" s="129">
        <f>IF(F889="","",ROUND(F889/60,2))</f>
        <v/>
      </c>
      <c r="H889" s="130" t="n"/>
      <c r="I889" s="131" t="n"/>
      <c r="J889" s="131">
        <f>IF(COUNTIF(B889:E889,"*")=0,"",IF(T889=1,"Invalid Service",IF(AND(V889=1,F889=""),"Add Session Mins",IF(AND(E889&gt;0,H889="",T889=""),"Enter Contract Rate",IF(AND(E889="IEP mtg, prep, rept",F889&gt;0),(G889*H889),IF(AND(E889&gt;0,F889&gt;0,H889&gt;0,I889=""),"Enter Travel",IF(AND(F889&gt;0,I889="Y"),(G889*H889)+$M$10,IF(AND(F889&gt;0,I889="N"),(G889*H889),H889))))))))</f>
        <v/>
      </c>
      <c r="K889" s="132">
        <f>J889</f>
        <v/>
      </c>
      <c r="L889" s="148" t="n"/>
      <c r="M889" s="148" t="n"/>
      <c r="N889" s="148" t="n"/>
      <c r="O889" s="87" t="n"/>
      <c r="P889" s="81" t="n"/>
      <c r="Q889" s="81" t="n"/>
      <c r="R889" s="81" t="n"/>
      <c r="S889" s="81" t="n"/>
      <c r="T889" s="136">
        <f>IF(AND(E889&gt;0,U889=0),1,"")</f>
        <v/>
      </c>
      <c r="U889" s="136">
        <f>SUM(X889:AR889)</f>
        <v/>
      </c>
      <c r="V889" s="136">
        <f>IF(E889=$Q$16,0,SUM(X889:AI889))</f>
        <v/>
      </c>
      <c r="W889" s="136">
        <f>SUM(AK889:AR889)</f>
        <v/>
      </c>
      <c r="X889" s="136">
        <f>IF(E889=$X$6,1,"")</f>
        <v/>
      </c>
      <c r="Y889" s="136">
        <f>IF(E889=$Y$6,1,"")</f>
        <v/>
      </c>
      <c r="Z889" s="136">
        <f>IF(E889=$Z$6,1,"")</f>
        <v/>
      </c>
      <c r="AA889" s="136">
        <f>IF(E889=$AA$6,1,"")</f>
        <v/>
      </c>
      <c r="AB889" s="136">
        <f>IF(E889=$AB$6,1,"")</f>
        <v/>
      </c>
      <c r="AC889" s="136">
        <f>IF(E889=$AC$6,1,"")</f>
        <v/>
      </c>
      <c r="AD889" s="136">
        <f>IF(E889=$AD$6,1,"")</f>
        <v/>
      </c>
      <c r="AE889" s="136">
        <f>IF(E889=$AE$6,1,"")</f>
        <v/>
      </c>
      <c r="AF889" s="136">
        <f>IF(E889=$AF$6,1,"")</f>
        <v/>
      </c>
      <c r="AG889" s="136">
        <f>IF(E889=$AG$6,1,"")</f>
        <v/>
      </c>
      <c r="AH889" s="136">
        <f>IF(E889=$AH$6,1,"")</f>
        <v/>
      </c>
      <c r="AI889" s="136">
        <f>IF(E889=$AI$6,1,"")</f>
        <v/>
      </c>
      <c r="AJ889" s="136">
        <f>IF(E889=$AJ$6,1,"")</f>
        <v/>
      </c>
      <c r="AK889" s="81">
        <f>IF(E889=$AK$6,1,"")</f>
        <v/>
      </c>
      <c r="AL889" s="81">
        <f>IF(E889=$AL$6,1,"")</f>
        <v/>
      </c>
      <c r="AM889" s="81">
        <f>IF(E889=$AM$6,1,"")</f>
        <v/>
      </c>
      <c r="AN889" s="81">
        <f>IF(E889=$AN$6,1,"")</f>
        <v/>
      </c>
      <c r="AO889" s="81">
        <f>IF(E889=$AO$6,1,"")</f>
        <v/>
      </c>
      <c r="AP889" s="81">
        <f>IF(E889=$AP$6,1,"")</f>
        <v/>
      </c>
      <c r="AQ889" s="81">
        <f>IF(E889=$AQ$6,1,"")</f>
        <v/>
      </c>
      <c r="AR889" s="81">
        <f>IF(E889=$AR$6,1,"")</f>
        <v/>
      </c>
      <c r="AS889" s="81" t="n"/>
    </row>
    <row r="890" ht="15.75" customHeight="1" s="80">
      <c r="A890" s="157" t="n"/>
      <c r="B890" s="124" t="n"/>
      <c r="C890" s="125" t="n"/>
      <c r="D890" s="126" t="n"/>
      <c r="E890" s="127" t="n"/>
      <c r="F890" s="128" t="n"/>
      <c r="G890" s="129">
        <f>IF(F890="","",ROUND(F890/60,2))</f>
        <v/>
      </c>
      <c r="H890" s="130" t="n"/>
      <c r="I890" s="131" t="n"/>
      <c r="J890" s="131">
        <f>IF(COUNTIF(B890:E890,"*")=0,"",IF(T890=1,"Invalid Service",IF(AND(V890=1,F890=""),"Add Session Mins",IF(AND(E890&gt;0,H890="",T890=""),"Enter Contract Rate",IF(AND(E890="IEP mtg, prep, rept",F890&gt;0),(G890*H890),IF(AND(E890&gt;0,F890&gt;0,H890&gt;0,I890=""),"Enter Travel",IF(AND(F890&gt;0,I890="Y"),(G890*H890)+$M$10,IF(AND(F890&gt;0,I890="N"),(G890*H890),H890))))))))</f>
        <v/>
      </c>
      <c r="K890" s="132">
        <f>J890</f>
        <v/>
      </c>
      <c r="L890" s="148" t="n"/>
      <c r="M890" s="148" t="n"/>
      <c r="N890" s="148" t="n"/>
      <c r="O890" s="87" t="n"/>
      <c r="P890" s="81" t="n"/>
      <c r="Q890" s="81" t="n"/>
      <c r="R890" s="81" t="n"/>
      <c r="S890" s="81" t="n"/>
      <c r="T890" s="136">
        <f>IF(AND(E890&gt;0,U890=0),1,"")</f>
        <v/>
      </c>
      <c r="U890" s="136">
        <f>SUM(X890:AR890)</f>
        <v/>
      </c>
      <c r="V890" s="136">
        <f>IF(E890=$Q$16,0,SUM(X890:AI890))</f>
        <v/>
      </c>
      <c r="W890" s="136">
        <f>SUM(AK890:AR890)</f>
        <v/>
      </c>
      <c r="X890" s="136">
        <f>IF(E890=$X$6,1,"")</f>
        <v/>
      </c>
      <c r="Y890" s="136">
        <f>IF(E890=$Y$6,1,"")</f>
        <v/>
      </c>
      <c r="Z890" s="136">
        <f>IF(E890=$Z$6,1,"")</f>
        <v/>
      </c>
      <c r="AA890" s="136">
        <f>IF(E890=$AA$6,1,"")</f>
        <v/>
      </c>
      <c r="AB890" s="136">
        <f>IF(E890=$AB$6,1,"")</f>
        <v/>
      </c>
      <c r="AC890" s="136">
        <f>IF(E890=$AC$6,1,"")</f>
        <v/>
      </c>
      <c r="AD890" s="136">
        <f>IF(E890=$AD$6,1,"")</f>
        <v/>
      </c>
      <c r="AE890" s="136">
        <f>IF(E890=$AE$6,1,"")</f>
        <v/>
      </c>
      <c r="AF890" s="136">
        <f>IF(E890=$AF$6,1,"")</f>
        <v/>
      </c>
      <c r="AG890" s="136">
        <f>IF(E890=$AG$6,1,"")</f>
        <v/>
      </c>
      <c r="AH890" s="136">
        <f>IF(E890=$AH$6,1,"")</f>
        <v/>
      </c>
      <c r="AI890" s="136">
        <f>IF(E890=$AI$6,1,"")</f>
        <v/>
      </c>
      <c r="AJ890" s="136">
        <f>IF(E890=$AJ$6,1,"")</f>
        <v/>
      </c>
      <c r="AK890" s="81">
        <f>IF(E890=$AK$6,1,"")</f>
        <v/>
      </c>
      <c r="AL890" s="81">
        <f>IF(E890=$AL$6,1,"")</f>
        <v/>
      </c>
      <c r="AM890" s="81">
        <f>IF(E890=$AM$6,1,"")</f>
        <v/>
      </c>
      <c r="AN890" s="81">
        <f>IF(E890=$AN$6,1,"")</f>
        <v/>
      </c>
      <c r="AO890" s="81">
        <f>IF(E890=$AO$6,1,"")</f>
        <v/>
      </c>
      <c r="AP890" s="81">
        <f>IF(E890=$AP$6,1,"")</f>
        <v/>
      </c>
      <c r="AQ890" s="81">
        <f>IF(E890=$AQ$6,1,"")</f>
        <v/>
      </c>
      <c r="AR890" s="81">
        <f>IF(E890=$AR$6,1,"")</f>
        <v/>
      </c>
      <c r="AS890" s="81" t="n"/>
    </row>
    <row r="891" ht="15.75" customHeight="1" s="80">
      <c r="A891" s="157" t="n"/>
      <c r="B891" s="124" t="n"/>
      <c r="C891" s="125" t="n"/>
      <c r="D891" s="126" t="n"/>
      <c r="E891" s="127" t="n"/>
      <c r="F891" s="128" t="n"/>
      <c r="G891" s="129">
        <f>IF(F891="","",ROUND(F891/60,2))</f>
        <v/>
      </c>
      <c r="H891" s="130" t="n"/>
      <c r="I891" s="131" t="n"/>
      <c r="J891" s="131">
        <f>IF(COUNTIF(B891:E891,"*")=0,"",IF(T891=1,"Invalid Service",IF(AND(V891=1,F891=""),"Add Session Mins",IF(AND(E891&gt;0,H891="",T891=""),"Enter Contract Rate",IF(AND(E891="IEP mtg, prep, rept",F891&gt;0),(G891*H891),IF(AND(E891&gt;0,F891&gt;0,H891&gt;0,I891=""),"Enter Travel",IF(AND(F891&gt;0,I891="Y"),(G891*H891)+$M$10,IF(AND(F891&gt;0,I891="N"),(G891*H891),H891))))))))</f>
        <v/>
      </c>
      <c r="K891" s="132">
        <f>J891</f>
        <v/>
      </c>
      <c r="L891" s="148" t="n"/>
      <c r="M891" s="148" t="n"/>
      <c r="N891" s="148" t="n"/>
      <c r="O891" s="87" t="n"/>
      <c r="P891" s="81" t="n"/>
      <c r="Q891" s="81" t="n"/>
      <c r="R891" s="81" t="n"/>
      <c r="S891" s="81" t="n"/>
      <c r="T891" s="136">
        <f>IF(AND(E891&gt;0,U891=0),1,"")</f>
        <v/>
      </c>
      <c r="U891" s="136">
        <f>SUM(X891:AR891)</f>
        <v/>
      </c>
      <c r="V891" s="136">
        <f>IF(E891=$Q$16,0,SUM(X891:AI891))</f>
        <v/>
      </c>
      <c r="W891" s="136">
        <f>SUM(AK891:AR891)</f>
        <v/>
      </c>
      <c r="X891" s="136">
        <f>IF(E891=$X$6,1,"")</f>
        <v/>
      </c>
      <c r="Y891" s="136">
        <f>IF(E891=$Y$6,1,"")</f>
        <v/>
      </c>
      <c r="Z891" s="136">
        <f>IF(E891=$Z$6,1,"")</f>
        <v/>
      </c>
      <c r="AA891" s="136">
        <f>IF(E891=$AA$6,1,"")</f>
        <v/>
      </c>
      <c r="AB891" s="136">
        <f>IF(E891=$AB$6,1,"")</f>
        <v/>
      </c>
      <c r="AC891" s="136">
        <f>IF(E891=$AC$6,1,"")</f>
        <v/>
      </c>
      <c r="AD891" s="136">
        <f>IF(E891=$AD$6,1,"")</f>
        <v/>
      </c>
      <c r="AE891" s="136">
        <f>IF(E891=$AE$6,1,"")</f>
        <v/>
      </c>
      <c r="AF891" s="136">
        <f>IF(E891=$AF$6,1,"")</f>
        <v/>
      </c>
      <c r="AG891" s="136">
        <f>IF(E891=$AG$6,1,"")</f>
        <v/>
      </c>
      <c r="AH891" s="136">
        <f>IF(E891=$AH$6,1,"")</f>
        <v/>
      </c>
      <c r="AI891" s="136">
        <f>IF(E891=$AI$6,1,"")</f>
        <v/>
      </c>
      <c r="AJ891" s="136">
        <f>IF(E891=$AJ$6,1,"")</f>
        <v/>
      </c>
      <c r="AK891" s="81">
        <f>IF(E891=$AK$6,1,"")</f>
        <v/>
      </c>
      <c r="AL891" s="81">
        <f>IF(E891=$AL$6,1,"")</f>
        <v/>
      </c>
      <c r="AM891" s="81">
        <f>IF(E891=$AM$6,1,"")</f>
        <v/>
      </c>
      <c r="AN891" s="81">
        <f>IF(E891=$AN$6,1,"")</f>
        <v/>
      </c>
      <c r="AO891" s="81">
        <f>IF(E891=$AO$6,1,"")</f>
        <v/>
      </c>
      <c r="AP891" s="81">
        <f>IF(E891=$AP$6,1,"")</f>
        <v/>
      </c>
      <c r="AQ891" s="81">
        <f>IF(E891=$AQ$6,1,"")</f>
        <v/>
      </c>
      <c r="AR891" s="81">
        <f>IF(E891=$AR$6,1,"")</f>
        <v/>
      </c>
      <c r="AS891" s="81" t="n"/>
    </row>
    <row r="892" ht="15.75" customHeight="1" s="80">
      <c r="A892" s="157" t="n"/>
      <c r="B892" s="124" t="n"/>
      <c r="C892" s="125" t="n"/>
      <c r="D892" s="126" t="n"/>
      <c r="E892" s="127" t="n"/>
      <c r="F892" s="128" t="n"/>
      <c r="G892" s="129">
        <f>IF(F892="","",ROUND(F892/60,2))</f>
        <v/>
      </c>
      <c r="H892" s="130" t="n"/>
      <c r="I892" s="131" t="n"/>
      <c r="J892" s="131">
        <f>IF(COUNTIF(B892:E892,"*")=0,"",IF(T892=1,"Invalid Service",IF(AND(V892=1,F892=""),"Add Session Mins",IF(AND(E892&gt;0,H892="",T892=""),"Enter Contract Rate",IF(AND(E892="IEP mtg, prep, rept",F892&gt;0),(G892*H892),IF(AND(E892&gt;0,F892&gt;0,H892&gt;0,I892=""),"Enter Travel",IF(AND(F892&gt;0,I892="Y"),(G892*H892)+$M$10,IF(AND(F892&gt;0,I892="N"),(G892*H892),H892))))))))</f>
        <v/>
      </c>
      <c r="K892" s="132">
        <f>J892</f>
        <v/>
      </c>
      <c r="L892" s="148" t="n"/>
      <c r="M892" s="148" t="n"/>
      <c r="N892" s="148" t="n"/>
      <c r="O892" s="87" t="n"/>
      <c r="P892" s="81" t="n"/>
      <c r="Q892" s="81" t="n"/>
      <c r="R892" s="81" t="n"/>
      <c r="S892" s="81" t="n"/>
      <c r="T892" s="136">
        <f>IF(AND(E892&gt;0,U892=0),1,"")</f>
        <v/>
      </c>
      <c r="U892" s="136">
        <f>SUM(X892:AR892)</f>
        <v/>
      </c>
      <c r="V892" s="136">
        <f>IF(E892=$Q$16,0,SUM(X892:AI892))</f>
        <v/>
      </c>
      <c r="W892" s="136">
        <f>SUM(AK892:AR892)</f>
        <v/>
      </c>
      <c r="X892" s="136">
        <f>IF(E892=$X$6,1,"")</f>
        <v/>
      </c>
      <c r="Y892" s="136">
        <f>IF(E892=$Y$6,1,"")</f>
        <v/>
      </c>
      <c r="Z892" s="136">
        <f>IF(E892=$Z$6,1,"")</f>
        <v/>
      </c>
      <c r="AA892" s="136">
        <f>IF(E892=$AA$6,1,"")</f>
        <v/>
      </c>
      <c r="AB892" s="136">
        <f>IF(E892=$AB$6,1,"")</f>
        <v/>
      </c>
      <c r="AC892" s="136">
        <f>IF(E892=$AC$6,1,"")</f>
        <v/>
      </c>
      <c r="AD892" s="136">
        <f>IF(E892=$AD$6,1,"")</f>
        <v/>
      </c>
      <c r="AE892" s="136">
        <f>IF(E892=$AE$6,1,"")</f>
        <v/>
      </c>
      <c r="AF892" s="136">
        <f>IF(E892=$AF$6,1,"")</f>
        <v/>
      </c>
      <c r="AG892" s="136">
        <f>IF(E892=$AG$6,1,"")</f>
        <v/>
      </c>
      <c r="AH892" s="136">
        <f>IF(E892=$AH$6,1,"")</f>
        <v/>
      </c>
      <c r="AI892" s="136">
        <f>IF(E892=$AI$6,1,"")</f>
        <v/>
      </c>
      <c r="AJ892" s="136">
        <f>IF(E892=$AJ$6,1,"")</f>
        <v/>
      </c>
      <c r="AK892" s="81">
        <f>IF(E892=$AK$6,1,"")</f>
        <v/>
      </c>
      <c r="AL892" s="81">
        <f>IF(E892=$AL$6,1,"")</f>
        <v/>
      </c>
      <c r="AM892" s="81">
        <f>IF(E892=$AM$6,1,"")</f>
        <v/>
      </c>
      <c r="AN892" s="81">
        <f>IF(E892=$AN$6,1,"")</f>
        <v/>
      </c>
      <c r="AO892" s="81">
        <f>IF(E892=$AO$6,1,"")</f>
        <v/>
      </c>
      <c r="AP892" s="81">
        <f>IF(E892=$AP$6,1,"")</f>
        <v/>
      </c>
      <c r="AQ892" s="81">
        <f>IF(E892=$AQ$6,1,"")</f>
        <v/>
      </c>
      <c r="AR892" s="81">
        <f>IF(E892=$AR$6,1,"")</f>
        <v/>
      </c>
      <c r="AS892" s="81" t="n"/>
    </row>
    <row r="893" ht="15.75" customHeight="1" s="80">
      <c r="A893" s="157" t="n"/>
      <c r="B893" s="124" t="n"/>
      <c r="C893" s="125" t="n"/>
      <c r="D893" s="126" t="n"/>
      <c r="E893" s="127" t="n"/>
      <c r="F893" s="128" t="n"/>
      <c r="G893" s="129">
        <f>IF(F893="","",ROUND(F893/60,2))</f>
        <v/>
      </c>
      <c r="H893" s="130" t="n"/>
      <c r="I893" s="131" t="n"/>
      <c r="J893" s="131">
        <f>IF(COUNTIF(B893:E893,"*")=0,"",IF(T893=1,"Invalid Service",IF(AND(V893=1,F893=""),"Add Session Mins",IF(AND(E893&gt;0,H893="",T893=""),"Enter Contract Rate",IF(AND(E893="IEP mtg, prep, rept",F893&gt;0),(G893*H893),IF(AND(E893&gt;0,F893&gt;0,H893&gt;0,I893=""),"Enter Travel",IF(AND(F893&gt;0,I893="Y"),(G893*H893)+$M$10,IF(AND(F893&gt;0,I893="N"),(G893*H893),H893))))))))</f>
        <v/>
      </c>
      <c r="K893" s="132">
        <f>J893</f>
        <v/>
      </c>
      <c r="L893" s="148" t="n"/>
      <c r="M893" s="148" t="n"/>
      <c r="N893" s="148" t="n"/>
      <c r="O893" s="87" t="n"/>
      <c r="P893" s="81" t="n"/>
      <c r="Q893" s="81" t="n"/>
      <c r="R893" s="81" t="n"/>
      <c r="S893" s="81" t="n"/>
      <c r="T893" s="136">
        <f>IF(AND(E893&gt;0,U893=0),1,"")</f>
        <v/>
      </c>
      <c r="U893" s="136">
        <f>SUM(X893:AR893)</f>
        <v/>
      </c>
      <c r="V893" s="136">
        <f>IF(E893=$Q$16,0,SUM(X893:AI893))</f>
        <v/>
      </c>
      <c r="W893" s="136">
        <f>SUM(AK893:AR893)</f>
        <v/>
      </c>
      <c r="X893" s="136">
        <f>IF(E893=$X$6,1,"")</f>
        <v/>
      </c>
      <c r="Y893" s="136">
        <f>IF(E893=$Y$6,1,"")</f>
        <v/>
      </c>
      <c r="Z893" s="136">
        <f>IF(E893=$Z$6,1,"")</f>
        <v/>
      </c>
      <c r="AA893" s="136">
        <f>IF(E893=$AA$6,1,"")</f>
        <v/>
      </c>
      <c r="AB893" s="136">
        <f>IF(E893=$AB$6,1,"")</f>
        <v/>
      </c>
      <c r="AC893" s="136">
        <f>IF(E893=$AC$6,1,"")</f>
        <v/>
      </c>
      <c r="AD893" s="136">
        <f>IF(E893=$AD$6,1,"")</f>
        <v/>
      </c>
      <c r="AE893" s="136">
        <f>IF(E893=$AE$6,1,"")</f>
        <v/>
      </c>
      <c r="AF893" s="136">
        <f>IF(E893=$AF$6,1,"")</f>
        <v/>
      </c>
      <c r="AG893" s="136">
        <f>IF(E893=$AG$6,1,"")</f>
        <v/>
      </c>
      <c r="AH893" s="136">
        <f>IF(E893=$AH$6,1,"")</f>
        <v/>
      </c>
      <c r="AI893" s="136">
        <f>IF(E893=$AI$6,1,"")</f>
        <v/>
      </c>
      <c r="AJ893" s="136">
        <f>IF(E893=$AJ$6,1,"")</f>
        <v/>
      </c>
      <c r="AK893" s="81">
        <f>IF(E893=$AK$6,1,"")</f>
        <v/>
      </c>
      <c r="AL893" s="81">
        <f>IF(E893=$AL$6,1,"")</f>
        <v/>
      </c>
      <c r="AM893" s="81">
        <f>IF(E893=$AM$6,1,"")</f>
        <v/>
      </c>
      <c r="AN893" s="81">
        <f>IF(E893=$AN$6,1,"")</f>
        <v/>
      </c>
      <c r="AO893" s="81">
        <f>IF(E893=$AO$6,1,"")</f>
        <v/>
      </c>
      <c r="AP893" s="81">
        <f>IF(E893=$AP$6,1,"")</f>
        <v/>
      </c>
      <c r="AQ893" s="81">
        <f>IF(E893=$AQ$6,1,"")</f>
        <v/>
      </c>
      <c r="AR893" s="81">
        <f>IF(E893=$AR$6,1,"")</f>
        <v/>
      </c>
      <c r="AS893" s="81" t="n"/>
    </row>
    <row r="894" ht="15.75" customHeight="1" s="80">
      <c r="A894" s="157" t="n"/>
      <c r="B894" s="124" t="n"/>
      <c r="C894" s="125" t="n"/>
      <c r="D894" s="126" t="n"/>
      <c r="E894" s="127" t="n"/>
      <c r="F894" s="128" t="n"/>
      <c r="G894" s="129">
        <f>IF(F894="","",ROUND(F894/60,2))</f>
        <v/>
      </c>
      <c r="H894" s="130" t="n"/>
      <c r="I894" s="131" t="n"/>
      <c r="J894" s="131">
        <f>IF(COUNTIF(B894:E894,"*")=0,"",IF(T894=1,"Invalid Service",IF(AND(V894=1,F894=""),"Add Session Mins",IF(AND(E894&gt;0,H894="",T894=""),"Enter Contract Rate",IF(AND(E894="IEP mtg, prep, rept",F894&gt;0),(G894*H894),IF(AND(E894&gt;0,F894&gt;0,H894&gt;0,I894=""),"Enter Travel",IF(AND(F894&gt;0,I894="Y"),(G894*H894)+$M$10,IF(AND(F894&gt;0,I894="N"),(G894*H894),H894))))))))</f>
        <v/>
      </c>
      <c r="K894" s="132">
        <f>J894</f>
        <v/>
      </c>
      <c r="L894" s="148" t="n"/>
      <c r="M894" s="148" t="n"/>
      <c r="N894" s="148" t="n"/>
      <c r="O894" s="87" t="n"/>
      <c r="P894" s="81" t="n"/>
      <c r="Q894" s="81" t="n"/>
      <c r="R894" s="81" t="n"/>
      <c r="S894" s="81" t="n"/>
      <c r="T894" s="136">
        <f>IF(AND(E894&gt;0,U894=0),1,"")</f>
        <v/>
      </c>
      <c r="U894" s="136">
        <f>SUM(X894:AR894)</f>
        <v/>
      </c>
      <c r="V894" s="136">
        <f>IF(E894=$Q$16,0,SUM(X894:AI894))</f>
        <v/>
      </c>
      <c r="W894" s="136">
        <f>SUM(AK894:AR894)</f>
        <v/>
      </c>
      <c r="X894" s="136">
        <f>IF(E894=$X$6,1,"")</f>
        <v/>
      </c>
      <c r="Y894" s="136">
        <f>IF(E894=$Y$6,1,"")</f>
        <v/>
      </c>
      <c r="Z894" s="136">
        <f>IF(E894=$Z$6,1,"")</f>
        <v/>
      </c>
      <c r="AA894" s="136">
        <f>IF(E894=$AA$6,1,"")</f>
        <v/>
      </c>
      <c r="AB894" s="136">
        <f>IF(E894=$AB$6,1,"")</f>
        <v/>
      </c>
      <c r="AC894" s="136">
        <f>IF(E894=$AC$6,1,"")</f>
        <v/>
      </c>
      <c r="AD894" s="136">
        <f>IF(E894=$AD$6,1,"")</f>
        <v/>
      </c>
      <c r="AE894" s="136">
        <f>IF(E894=$AE$6,1,"")</f>
        <v/>
      </c>
      <c r="AF894" s="136">
        <f>IF(E894=$AF$6,1,"")</f>
        <v/>
      </c>
      <c r="AG894" s="136">
        <f>IF(E894=$AG$6,1,"")</f>
        <v/>
      </c>
      <c r="AH894" s="136">
        <f>IF(E894=$AH$6,1,"")</f>
        <v/>
      </c>
      <c r="AI894" s="136">
        <f>IF(E894=$AI$6,1,"")</f>
        <v/>
      </c>
      <c r="AJ894" s="136">
        <f>IF(E894=$AJ$6,1,"")</f>
        <v/>
      </c>
      <c r="AK894" s="81">
        <f>IF(E894=$AK$6,1,"")</f>
        <v/>
      </c>
      <c r="AL894" s="81">
        <f>IF(E894=$AL$6,1,"")</f>
        <v/>
      </c>
      <c r="AM894" s="81">
        <f>IF(E894=$AM$6,1,"")</f>
        <v/>
      </c>
      <c r="AN894" s="81">
        <f>IF(E894=$AN$6,1,"")</f>
        <v/>
      </c>
      <c r="AO894" s="81">
        <f>IF(E894=$AO$6,1,"")</f>
        <v/>
      </c>
      <c r="AP894" s="81">
        <f>IF(E894=$AP$6,1,"")</f>
        <v/>
      </c>
      <c r="AQ894" s="81">
        <f>IF(E894=$AQ$6,1,"")</f>
        <v/>
      </c>
      <c r="AR894" s="81">
        <f>IF(E894=$AR$6,1,"")</f>
        <v/>
      </c>
      <c r="AS894" s="81" t="n"/>
    </row>
    <row r="895" ht="15.75" customHeight="1" s="80">
      <c r="A895" s="157" t="n"/>
      <c r="B895" s="124" t="n"/>
      <c r="C895" s="125" t="n"/>
      <c r="D895" s="126" t="n"/>
      <c r="E895" s="127" t="n"/>
      <c r="F895" s="128" t="n"/>
      <c r="G895" s="129">
        <f>IF(F895="","",ROUND(F895/60,2))</f>
        <v/>
      </c>
      <c r="H895" s="130" t="n"/>
      <c r="I895" s="131" t="n"/>
      <c r="J895" s="131">
        <f>IF(COUNTIF(B895:E895,"*")=0,"",IF(T895=1,"Invalid Service",IF(AND(V895=1,F895=""),"Add Session Mins",IF(AND(E895&gt;0,H895="",T895=""),"Enter Contract Rate",IF(AND(E895="IEP mtg, prep, rept",F895&gt;0),(G895*H895),IF(AND(E895&gt;0,F895&gt;0,H895&gt;0,I895=""),"Enter Travel",IF(AND(F895&gt;0,I895="Y"),(G895*H895)+$M$10,IF(AND(F895&gt;0,I895="N"),(G895*H895),H895))))))))</f>
        <v/>
      </c>
      <c r="K895" s="132">
        <f>J895</f>
        <v/>
      </c>
      <c r="L895" s="148" t="n"/>
      <c r="M895" s="148" t="n"/>
      <c r="N895" s="148" t="n"/>
      <c r="O895" s="87" t="n"/>
      <c r="P895" s="81" t="n"/>
      <c r="Q895" s="81" t="n"/>
      <c r="R895" s="81" t="n"/>
      <c r="S895" s="81" t="n"/>
      <c r="T895" s="136">
        <f>IF(AND(E895&gt;0,U895=0),1,"")</f>
        <v/>
      </c>
      <c r="U895" s="136">
        <f>SUM(X895:AR895)</f>
        <v/>
      </c>
      <c r="V895" s="136">
        <f>IF(E895=$Q$16,0,SUM(X895:AI895))</f>
        <v/>
      </c>
      <c r="W895" s="136">
        <f>SUM(AK895:AR895)</f>
        <v/>
      </c>
      <c r="X895" s="136">
        <f>IF(E895=$X$6,1,"")</f>
        <v/>
      </c>
      <c r="Y895" s="136">
        <f>IF(E895=$Y$6,1,"")</f>
        <v/>
      </c>
      <c r="Z895" s="136">
        <f>IF(E895=$Z$6,1,"")</f>
        <v/>
      </c>
      <c r="AA895" s="136">
        <f>IF(E895=$AA$6,1,"")</f>
        <v/>
      </c>
      <c r="AB895" s="136">
        <f>IF(E895=$AB$6,1,"")</f>
        <v/>
      </c>
      <c r="AC895" s="136">
        <f>IF(E895=$AC$6,1,"")</f>
        <v/>
      </c>
      <c r="AD895" s="136">
        <f>IF(E895=$AD$6,1,"")</f>
        <v/>
      </c>
      <c r="AE895" s="136">
        <f>IF(E895=$AE$6,1,"")</f>
        <v/>
      </c>
      <c r="AF895" s="136">
        <f>IF(E895=$AF$6,1,"")</f>
        <v/>
      </c>
      <c r="AG895" s="136">
        <f>IF(E895=$AG$6,1,"")</f>
        <v/>
      </c>
      <c r="AH895" s="136">
        <f>IF(E895=$AH$6,1,"")</f>
        <v/>
      </c>
      <c r="AI895" s="136">
        <f>IF(E895=$AI$6,1,"")</f>
        <v/>
      </c>
      <c r="AJ895" s="136">
        <f>IF(E895=$AJ$6,1,"")</f>
        <v/>
      </c>
      <c r="AK895" s="81">
        <f>IF(E895=$AK$6,1,"")</f>
        <v/>
      </c>
      <c r="AL895" s="81">
        <f>IF(E895=$AL$6,1,"")</f>
        <v/>
      </c>
      <c r="AM895" s="81">
        <f>IF(E895=$AM$6,1,"")</f>
        <v/>
      </c>
      <c r="AN895" s="81">
        <f>IF(E895=$AN$6,1,"")</f>
        <v/>
      </c>
      <c r="AO895" s="81">
        <f>IF(E895=$AO$6,1,"")</f>
        <v/>
      </c>
      <c r="AP895" s="81">
        <f>IF(E895=$AP$6,1,"")</f>
        <v/>
      </c>
      <c r="AQ895" s="81">
        <f>IF(E895=$AQ$6,1,"")</f>
        <v/>
      </c>
      <c r="AR895" s="81">
        <f>IF(E895=$AR$6,1,"")</f>
        <v/>
      </c>
      <c r="AS895" s="81" t="n"/>
    </row>
    <row r="896" ht="15.75" customHeight="1" s="80">
      <c r="A896" s="157" t="n"/>
      <c r="B896" s="124" t="n"/>
      <c r="C896" s="125" t="n"/>
      <c r="D896" s="126" t="n"/>
      <c r="E896" s="127" t="n"/>
      <c r="F896" s="128" t="n"/>
      <c r="G896" s="129">
        <f>IF(F896="","",ROUND(F896/60,2))</f>
        <v/>
      </c>
      <c r="H896" s="130" t="n"/>
      <c r="I896" s="131" t="n"/>
      <c r="J896" s="131">
        <f>IF(COUNTIF(B896:E896,"*")=0,"",IF(T896=1,"Invalid Service",IF(AND(V896=1,F896=""),"Add Session Mins",IF(AND(E896&gt;0,H896="",T896=""),"Enter Contract Rate",IF(AND(E896="IEP mtg, prep, rept",F896&gt;0),(G896*H896),IF(AND(E896&gt;0,F896&gt;0,H896&gt;0,I896=""),"Enter Travel",IF(AND(F896&gt;0,I896="Y"),(G896*H896)+$M$10,IF(AND(F896&gt;0,I896="N"),(G896*H896),H896))))))))</f>
        <v/>
      </c>
      <c r="K896" s="132">
        <f>J896</f>
        <v/>
      </c>
      <c r="L896" s="148" t="n"/>
      <c r="M896" s="148" t="n"/>
      <c r="N896" s="148" t="n"/>
      <c r="O896" s="87" t="n"/>
      <c r="P896" s="81" t="n"/>
      <c r="Q896" s="81" t="n"/>
      <c r="R896" s="81" t="n"/>
      <c r="S896" s="81" t="n"/>
      <c r="T896" s="136">
        <f>IF(AND(E896&gt;0,U896=0),1,"")</f>
        <v/>
      </c>
      <c r="U896" s="136">
        <f>SUM(X896:AR896)</f>
        <v/>
      </c>
      <c r="V896" s="136">
        <f>IF(E896=$Q$16,0,SUM(X896:AI896))</f>
        <v/>
      </c>
      <c r="W896" s="136">
        <f>SUM(AK896:AR896)</f>
        <v/>
      </c>
      <c r="X896" s="136">
        <f>IF(E896=$X$6,1,"")</f>
        <v/>
      </c>
      <c r="Y896" s="136">
        <f>IF(E896=$Y$6,1,"")</f>
        <v/>
      </c>
      <c r="Z896" s="136">
        <f>IF(E896=$Z$6,1,"")</f>
        <v/>
      </c>
      <c r="AA896" s="136">
        <f>IF(E896=$AA$6,1,"")</f>
        <v/>
      </c>
      <c r="AB896" s="136">
        <f>IF(E896=$AB$6,1,"")</f>
        <v/>
      </c>
      <c r="AC896" s="136">
        <f>IF(E896=$AC$6,1,"")</f>
        <v/>
      </c>
      <c r="AD896" s="136">
        <f>IF(E896=$AD$6,1,"")</f>
        <v/>
      </c>
      <c r="AE896" s="136">
        <f>IF(E896=$AE$6,1,"")</f>
        <v/>
      </c>
      <c r="AF896" s="136">
        <f>IF(E896=$AF$6,1,"")</f>
        <v/>
      </c>
      <c r="AG896" s="136">
        <f>IF(E896=$AG$6,1,"")</f>
        <v/>
      </c>
      <c r="AH896" s="136">
        <f>IF(E896=$AH$6,1,"")</f>
        <v/>
      </c>
      <c r="AI896" s="136">
        <f>IF(E896=$AI$6,1,"")</f>
        <v/>
      </c>
      <c r="AJ896" s="136">
        <f>IF(E896=$AJ$6,1,"")</f>
        <v/>
      </c>
      <c r="AK896" s="81">
        <f>IF(E896=$AK$6,1,"")</f>
        <v/>
      </c>
      <c r="AL896" s="81">
        <f>IF(E896=$AL$6,1,"")</f>
        <v/>
      </c>
      <c r="AM896" s="81">
        <f>IF(E896=$AM$6,1,"")</f>
        <v/>
      </c>
      <c r="AN896" s="81">
        <f>IF(E896=$AN$6,1,"")</f>
        <v/>
      </c>
      <c r="AO896" s="81">
        <f>IF(E896=$AO$6,1,"")</f>
        <v/>
      </c>
      <c r="AP896" s="81">
        <f>IF(E896=$AP$6,1,"")</f>
        <v/>
      </c>
      <c r="AQ896" s="81">
        <f>IF(E896=$AQ$6,1,"")</f>
        <v/>
      </c>
      <c r="AR896" s="81">
        <f>IF(E896=$AR$6,1,"")</f>
        <v/>
      </c>
      <c r="AS896" s="81" t="n"/>
    </row>
    <row r="897" ht="15.75" customHeight="1" s="80">
      <c r="A897" s="157" t="n"/>
      <c r="B897" s="124" t="n"/>
      <c r="C897" s="125" t="n"/>
      <c r="D897" s="126" t="n"/>
      <c r="E897" s="127" t="n"/>
      <c r="F897" s="128" t="n"/>
      <c r="G897" s="129">
        <f>IF(F897="","",ROUND(F897/60,2))</f>
        <v/>
      </c>
      <c r="H897" s="130" t="n"/>
      <c r="I897" s="131" t="n"/>
      <c r="J897" s="131">
        <f>IF(COUNTIF(B897:E897,"*")=0,"",IF(T897=1,"Invalid Service",IF(AND(V897=1,F897=""),"Add Session Mins",IF(AND(E897&gt;0,H897="",T897=""),"Enter Contract Rate",IF(AND(E897="IEP mtg, prep, rept",F897&gt;0),(G897*H897),IF(AND(E897&gt;0,F897&gt;0,H897&gt;0,I897=""),"Enter Travel",IF(AND(F897&gt;0,I897="Y"),(G897*H897)+$M$10,IF(AND(F897&gt;0,I897="N"),(G897*H897),H897))))))))</f>
        <v/>
      </c>
      <c r="K897" s="132">
        <f>J897</f>
        <v/>
      </c>
      <c r="L897" s="148" t="n"/>
      <c r="M897" s="148" t="n"/>
      <c r="N897" s="148" t="n"/>
      <c r="O897" s="87" t="n"/>
      <c r="P897" s="81" t="n"/>
      <c r="Q897" s="81" t="n"/>
      <c r="R897" s="81" t="n"/>
      <c r="S897" s="81" t="n"/>
      <c r="T897" s="136">
        <f>IF(AND(E897&gt;0,U897=0),1,"")</f>
        <v/>
      </c>
      <c r="U897" s="136">
        <f>SUM(X897:AR897)</f>
        <v/>
      </c>
      <c r="V897" s="136">
        <f>IF(E897=$Q$16,0,SUM(X897:AI897))</f>
        <v/>
      </c>
      <c r="W897" s="136">
        <f>SUM(AK897:AR897)</f>
        <v/>
      </c>
      <c r="X897" s="136">
        <f>IF(E897=$X$6,1,"")</f>
        <v/>
      </c>
      <c r="Y897" s="136">
        <f>IF(E897=$Y$6,1,"")</f>
        <v/>
      </c>
      <c r="Z897" s="136">
        <f>IF(E897=$Z$6,1,"")</f>
        <v/>
      </c>
      <c r="AA897" s="136">
        <f>IF(E897=$AA$6,1,"")</f>
        <v/>
      </c>
      <c r="AB897" s="136">
        <f>IF(E897=$AB$6,1,"")</f>
        <v/>
      </c>
      <c r="AC897" s="136">
        <f>IF(E897=$AC$6,1,"")</f>
        <v/>
      </c>
      <c r="AD897" s="136">
        <f>IF(E897=$AD$6,1,"")</f>
        <v/>
      </c>
      <c r="AE897" s="136">
        <f>IF(E897=$AE$6,1,"")</f>
        <v/>
      </c>
      <c r="AF897" s="136">
        <f>IF(E897=$AF$6,1,"")</f>
        <v/>
      </c>
      <c r="AG897" s="136">
        <f>IF(E897=$AG$6,1,"")</f>
        <v/>
      </c>
      <c r="AH897" s="136">
        <f>IF(E897=$AH$6,1,"")</f>
        <v/>
      </c>
      <c r="AI897" s="136">
        <f>IF(E897=$AI$6,1,"")</f>
        <v/>
      </c>
      <c r="AJ897" s="136">
        <f>IF(E897=$AJ$6,1,"")</f>
        <v/>
      </c>
      <c r="AK897" s="81">
        <f>IF(E897=$AK$6,1,"")</f>
        <v/>
      </c>
      <c r="AL897" s="81">
        <f>IF(E897=$AL$6,1,"")</f>
        <v/>
      </c>
      <c r="AM897" s="81">
        <f>IF(E897=$AM$6,1,"")</f>
        <v/>
      </c>
      <c r="AN897" s="81">
        <f>IF(E897=$AN$6,1,"")</f>
        <v/>
      </c>
      <c r="AO897" s="81">
        <f>IF(E897=$AO$6,1,"")</f>
        <v/>
      </c>
      <c r="AP897" s="81">
        <f>IF(E897=$AP$6,1,"")</f>
        <v/>
      </c>
      <c r="AQ897" s="81">
        <f>IF(E897=$AQ$6,1,"")</f>
        <v/>
      </c>
      <c r="AR897" s="81">
        <f>IF(E897=$AR$6,1,"")</f>
        <v/>
      </c>
      <c r="AS897" s="81" t="n"/>
    </row>
    <row r="898" ht="15.75" customHeight="1" s="80">
      <c r="A898" s="157" t="n"/>
      <c r="B898" s="124" t="n"/>
      <c r="C898" s="125" t="n"/>
      <c r="D898" s="126" t="n"/>
      <c r="E898" s="127" t="n"/>
      <c r="F898" s="128" t="n"/>
      <c r="G898" s="129">
        <f>IF(F898="","",ROUND(F898/60,2))</f>
        <v/>
      </c>
      <c r="H898" s="130" t="n"/>
      <c r="I898" s="131" t="n"/>
      <c r="J898" s="131">
        <f>IF(COUNTIF(B898:E898,"*")=0,"",IF(T898=1,"Invalid Service",IF(AND(V898=1,F898=""),"Add Session Mins",IF(AND(E898&gt;0,H898="",T898=""),"Enter Contract Rate",IF(AND(E898="IEP mtg, prep, rept",F898&gt;0),(G898*H898),IF(AND(E898&gt;0,F898&gt;0,H898&gt;0,I898=""),"Enter Travel",IF(AND(F898&gt;0,I898="Y"),(G898*H898)+$M$10,IF(AND(F898&gt;0,I898="N"),(G898*H898),H898))))))))</f>
        <v/>
      </c>
      <c r="K898" s="132">
        <f>J898</f>
        <v/>
      </c>
      <c r="L898" s="148" t="n"/>
      <c r="M898" s="148" t="n"/>
      <c r="N898" s="148" t="n"/>
      <c r="O898" s="87" t="n"/>
      <c r="P898" s="81" t="n"/>
      <c r="Q898" s="81" t="n"/>
      <c r="R898" s="81" t="n"/>
      <c r="S898" s="81" t="n"/>
      <c r="T898" s="136">
        <f>IF(AND(E898&gt;0,U898=0),1,"")</f>
        <v/>
      </c>
      <c r="U898" s="136">
        <f>SUM(X898:AR898)</f>
        <v/>
      </c>
      <c r="V898" s="136">
        <f>IF(E898=$Q$16,0,SUM(X898:AI898))</f>
        <v/>
      </c>
      <c r="W898" s="136">
        <f>SUM(AK898:AR898)</f>
        <v/>
      </c>
      <c r="X898" s="136">
        <f>IF(E898=$X$6,1,"")</f>
        <v/>
      </c>
      <c r="Y898" s="136">
        <f>IF(E898=$Y$6,1,"")</f>
        <v/>
      </c>
      <c r="Z898" s="136">
        <f>IF(E898=$Z$6,1,"")</f>
        <v/>
      </c>
      <c r="AA898" s="136">
        <f>IF(E898=$AA$6,1,"")</f>
        <v/>
      </c>
      <c r="AB898" s="136">
        <f>IF(E898=$AB$6,1,"")</f>
        <v/>
      </c>
      <c r="AC898" s="136">
        <f>IF(E898=$AC$6,1,"")</f>
        <v/>
      </c>
      <c r="AD898" s="136">
        <f>IF(E898=$AD$6,1,"")</f>
        <v/>
      </c>
      <c r="AE898" s="136">
        <f>IF(E898=$AE$6,1,"")</f>
        <v/>
      </c>
      <c r="AF898" s="136">
        <f>IF(E898=$AF$6,1,"")</f>
        <v/>
      </c>
      <c r="AG898" s="136">
        <f>IF(E898=$AG$6,1,"")</f>
        <v/>
      </c>
      <c r="AH898" s="136">
        <f>IF(E898=$AH$6,1,"")</f>
        <v/>
      </c>
      <c r="AI898" s="136">
        <f>IF(E898=$AI$6,1,"")</f>
        <v/>
      </c>
      <c r="AJ898" s="136">
        <f>IF(E898=$AJ$6,1,"")</f>
        <v/>
      </c>
      <c r="AK898" s="81">
        <f>IF(E898=$AK$6,1,"")</f>
        <v/>
      </c>
      <c r="AL898" s="81">
        <f>IF(E898=$AL$6,1,"")</f>
        <v/>
      </c>
      <c r="AM898" s="81">
        <f>IF(E898=$AM$6,1,"")</f>
        <v/>
      </c>
      <c r="AN898" s="81">
        <f>IF(E898=$AN$6,1,"")</f>
        <v/>
      </c>
      <c r="AO898" s="81">
        <f>IF(E898=$AO$6,1,"")</f>
        <v/>
      </c>
      <c r="AP898" s="81">
        <f>IF(E898=$AP$6,1,"")</f>
        <v/>
      </c>
      <c r="AQ898" s="81">
        <f>IF(E898=$AQ$6,1,"")</f>
        <v/>
      </c>
      <c r="AR898" s="81">
        <f>IF(E898=$AR$6,1,"")</f>
        <v/>
      </c>
      <c r="AS898" s="81" t="n"/>
    </row>
    <row r="899" ht="15.75" customHeight="1" s="80">
      <c r="A899" s="157" t="n"/>
      <c r="B899" s="124" t="n"/>
      <c r="C899" s="125" t="n"/>
      <c r="D899" s="126" t="n"/>
      <c r="E899" s="127" t="n"/>
      <c r="F899" s="128" t="n"/>
      <c r="G899" s="129">
        <f>IF(F899="","",ROUND(F899/60,2))</f>
        <v/>
      </c>
      <c r="H899" s="130" t="n"/>
      <c r="I899" s="131" t="n"/>
      <c r="J899" s="131">
        <f>IF(COUNTIF(B899:E899,"*")=0,"",IF(T899=1,"Invalid Service",IF(AND(V899=1,F899=""),"Add Session Mins",IF(AND(E899&gt;0,H899="",T899=""),"Enter Contract Rate",IF(AND(E899="IEP mtg, prep, rept",F899&gt;0),(G899*H899),IF(AND(E899&gt;0,F899&gt;0,H899&gt;0,I899=""),"Enter Travel",IF(AND(F899&gt;0,I899="Y"),(G899*H899)+$M$10,IF(AND(F899&gt;0,I899="N"),(G899*H899),H899))))))))</f>
        <v/>
      </c>
      <c r="K899" s="132">
        <f>J899</f>
        <v/>
      </c>
      <c r="L899" s="148" t="n"/>
      <c r="M899" s="148" t="n"/>
      <c r="N899" s="148" t="n"/>
      <c r="O899" s="87" t="n"/>
      <c r="P899" s="81" t="n"/>
      <c r="Q899" s="81" t="n"/>
      <c r="R899" s="81" t="n"/>
      <c r="S899" s="81" t="n"/>
      <c r="T899" s="136">
        <f>IF(AND(E899&gt;0,U899=0),1,"")</f>
        <v/>
      </c>
      <c r="U899" s="136">
        <f>SUM(X899:AR899)</f>
        <v/>
      </c>
      <c r="V899" s="136">
        <f>IF(E899=$Q$16,0,SUM(X899:AI899))</f>
        <v/>
      </c>
      <c r="W899" s="136">
        <f>SUM(AK899:AR899)</f>
        <v/>
      </c>
      <c r="X899" s="136">
        <f>IF(E899=$X$6,1,"")</f>
        <v/>
      </c>
      <c r="Y899" s="136">
        <f>IF(E899=$Y$6,1,"")</f>
        <v/>
      </c>
      <c r="Z899" s="136">
        <f>IF(E899=$Z$6,1,"")</f>
        <v/>
      </c>
      <c r="AA899" s="136">
        <f>IF(E899=$AA$6,1,"")</f>
        <v/>
      </c>
      <c r="AB899" s="136">
        <f>IF(E899=$AB$6,1,"")</f>
        <v/>
      </c>
      <c r="AC899" s="136">
        <f>IF(E899=$AC$6,1,"")</f>
        <v/>
      </c>
      <c r="AD899" s="136">
        <f>IF(E899=$AD$6,1,"")</f>
        <v/>
      </c>
      <c r="AE899" s="136">
        <f>IF(E899=$AE$6,1,"")</f>
        <v/>
      </c>
      <c r="AF899" s="136">
        <f>IF(E899=$AF$6,1,"")</f>
        <v/>
      </c>
      <c r="AG899" s="136">
        <f>IF(E899=$AG$6,1,"")</f>
        <v/>
      </c>
      <c r="AH899" s="136">
        <f>IF(E899=$AH$6,1,"")</f>
        <v/>
      </c>
      <c r="AI899" s="136">
        <f>IF(E899=$AI$6,1,"")</f>
        <v/>
      </c>
      <c r="AJ899" s="136">
        <f>IF(E899=$AJ$6,1,"")</f>
        <v/>
      </c>
      <c r="AK899" s="81">
        <f>IF(E899=$AK$6,1,"")</f>
        <v/>
      </c>
      <c r="AL899" s="81">
        <f>IF(E899=$AL$6,1,"")</f>
        <v/>
      </c>
      <c r="AM899" s="81">
        <f>IF(E899=$AM$6,1,"")</f>
        <v/>
      </c>
      <c r="AN899" s="81">
        <f>IF(E899=$AN$6,1,"")</f>
        <v/>
      </c>
      <c r="AO899" s="81">
        <f>IF(E899=$AO$6,1,"")</f>
        <v/>
      </c>
      <c r="AP899" s="81">
        <f>IF(E899=$AP$6,1,"")</f>
        <v/>
      </c>
      <c r="AQ899" s="81">
        <f>IF(E899=$AQ$6,1,"")</f>
        <v/>
      </c>
      <c r="AR899" s="81">
        <f>IF(E899=$AR$6,1,"")</f>
        <v/>
      </c>
      <c r="AS899" s="81" t="n"/>
    </row>
    <row r="900" ht="15.75" customHeight="1" s="80">
      <c r="A900" s="157" t="n"/>
      <c r="B900" s="124" t="n"/>
      <c r="C900" s="125" t="n"/>
      <c r="D900" s="126" t="n"/>
      <c r="E900" s="127" t="n"/>
      <c r="F900" s="128" t="n"/>
      <c r="G900" s="129">
        <f>IF(F900="","",ROUND(F900/60,2))</f>
        <v/>
      </c>
      <c r="H900" s="130" t="n"/>
      <c r="I900" s="131" t="n"/>
      <c r="J900" s="131">
        <f>IF(COUNTIF(B900:E900,"*")=0,"",IF(T900=1,"Invalid Service",IF(AND(V900=1,F900=""),"Add Session Mins",IF(AND(E900&gt;0,H900="",T900=""),"Enter Contract Rate",IF(AND(E900="IEP mtg, prep, rept",F900&gt;0),(G900*H900),IF(AND(E900&gt;0,F900&gt;0,H900&gt;0,I900=""),"Enter Travel",IF(AND(F900&gt;0,I900="Y"),(G900*H900)+$M$10,IF(AND(F900&gt;0,I900="N"),(G900*H900),H900))))))))</f>
        <v/>
      </c>
      <c r="K900" s="132">
        <f>J900</f>
        <v/>
      </c>
      <c r="L900" s="148" t="n"/>
      <c r="M900" s="148" t="n"/>
      <c r="N900" s="148" t="n"/>
      <c r="O900" s="87" t="n"/>
      <c r="P900" s="81" t="n"/>
      <c r="Q900" s="81" t="n"/>
      <c r="R900" s="81" t="n"/>
      <c r="S900" s="81" t="n"/>
      <c r="T900" s="136">
        <f>IF(AND(E900&gt;0,U900=0),1,"")</f>
        <v/>
      </c>
      <c r="U900" s="136">
        <f>SUM(X900:AR900)</f>
        <v/>
      </c>
      <c r="V900" s="136">
        <f>IF(E900=$Q$16,0,SUM(X900:AI900))</f>
        <v/>
      </c>
      <c r="W900" s="136">
        <f>SUM(AK900:AR900)</f>
        <v/>
      </c>
      <c r="X900" s="136">
        <f>IF(E900=$X$6,1,"")</f>
        <v/>
      </c>
      <c r="Y900" s="136">
        <f>IF(E900=$Y$6,1,"")</f>
        <v/>
      </c>
      <c r="Z900" s="136">
        <f>IF(E900=$Z$6,1,"")</f>
        <v/>
      </c>
      <c r="AA900" s="136">
        <f>IF(E900=$AA$6,1,"")</f>
        <v/>
      </c>
      <c r="AB900" s="136">
        <f>IF(E900=$AB$6,1,"")</f>
        <v/>
      </c>
      <c r="AC900" s="136">
        <f>IF(E900=$AC$6,1,"")</f>
        <v/>
      </c>
      <c r="AD900" s="136">
        <f>IF(E900=$AD$6,1,"")</f>
        <v/>
      </c>
      <c r="AE900" s="136">
        <f>IF(E900=$AE$6,1,"")</f>
        <v/>
      </c>
      <c r="AF900" s="136">
        <f>IF(E900=$AF$6,1,"")</f>
        <v/>
      </c>
      <c r="AG900" s="136">
        <f>IF(E900=$AG$6,1,"")</f>
        <v/>
      </c>
      <c r="AH900" s="136">
        <f>IF(E900=$AH$6,1,"")</f>
        <v/>
      </c>
      <c r="AI900" s="136">
        <f>IF(E900=$AI$6,1,"")</f>
        <v/>
      </c>
      <c r="AJ900" s="136">
        <f>IF(E900=$AJ$6,1,"")</f>
        <v/>
      </c>
      <c r="AK900" s="81">
        <f>IF(E900=$AK$6,1,"")</f>
        <v/>
      </c>
      <c r="AL900" s="81">
        <f>IF(E900=$AL$6,1,"")</f>
        <v/>
      </c>
      <c r="AM900" s="81">
        <f>IF(E900=$AM$6,1,"")</f>
        <v/>
      </c>
      <c r="AN900" s="81">
        <f>IF(E900=$AN$6,1,"")</f>
        <v/>
      </c>
      <c r="AO900" s="81">
        <f>IF(E900=$AO$6,1,"")</f>
        <v/>
      </c>
      <c r="AP900" s="81">
        <f>IF(E900=$AP$6,1,"")</f>
        <v/>
      </c>
      <c r="AQ900" s="81">
        <f>IF(E900=$AQ$6,1,"")</f>
        <v/>
      </c>
      <c r="AR900" s="81">
        <f>IF(E900=$AR$6,1,"")</f>
        <v/>
      </c>
      <c r="AS900" s="81" t="n"/>
    </row>
    <row r="901" ht="15.75" customHeight="1" s="80">
      <c r="A901" s="157" t="n"/>
      <c r="B901" s="124" t="n"/>
      <c r="C901" s="125" t="n"/>
      <c r="D901" s="126" t="n"/>
      <c r="E901" s="127" t="n"/>
      <c r="F901" s="128" t="n"/>
      <c r="G901" s="129">
        <f>IF(F901="","",ROUND(F901/60,2))</f>
        <v/>
      </c>
      <c r="H901" s="130" t="n"/>
      <c r="I901" s="131" t="n"/>
      <c r="J901" s="131">
        <f>IF(COUNTIF(B901:E901,"*")=0,"",IF(T901=1,"Invalid Service",IF(AND(V901=1,F901=""),"Add Session Mins",IF(AND(E901&gt;0,H901="",T901=""),"Enter Contract Rate",IF(AND(E901="IEP mtg, prep, rept",F901&gt;0),(G901*H901),IF(AND(E901&gt;0,F901&gt;0,H901&gt;0,I901=""),"Enter Travel",IF(AND(F901&gt;0,I901="Y"),(G901*H901)+$M$10,IF(AND(F901&gt;0,I901="N"),(G901*H901),H901))))))))</f>
        <v/>
      </c>
      <c r="K901" s="132">
        <f>J901</f>
        <v/>
      </c>
      <c r="L901" s="148" t="n"/>
      <c r="M901" s="148" t="n"/>
      <c r="N901" s="148" t="n"/>
      <c r="O901" s="87" t="n"/>
      <c r="P901" s="81" t="n"/>
      <c r="Q901" s="81" t="n"/>
      <c r="R901" s="81" t="n"/>
      <c r="S901" s="81" t="n"/>
      <c r="T901" s="136">
        <f>IF(AND(E901&gt;0,U901=0),1,"")</f>
        <v/>
      </c>
      <c r="U901" s="136">
        <f>SUM(X901:AR901)</f>
        <v/>
      </c>
      <c r="V901" s="136">
        <f>IF(E901=$Q$16,0,SUM(X901:AI901))</f>
        <v/>
      </c>
      <c r="W901" s="136">
        <f>SUM(AK901:AR901)</f>
        <v/>
      </c>
      <c r="X901" s="136">
        <f>IF(E901=$X$6,1,"")</f>
        <v/>
      </c>
      <c r="Y901" s="136">
        <f>IF(E901=$Y$6,1,"")</f>
        <v/>
      </c>
      <c r="Z901" s="136">
        <f>IF(E901=$Z$6,1,"")</f>
        <v/>
      </c>
      <c r="AA901" s="136">
        <f>IF(E901=$AA$6,1,"")</f>
        <v/>
      </c>
      <c r="AB901" s="136">
        <f>IF(E901=$AB$6,1,"")</f>
        <v/>
      </c>
      <c r="AC901" s="136">
        <f>IF(E901=$AC$6,1,"")</f>
        <v/>
      </c>
      <c r="AD901" s="136">
        <f>IF(E901=$AD$6,1,"")</f>
        <v/>
      </c>
      <c r="AE901" s="136">
        <f>IF(E901=$AE$6,1,"")</f>
        <v/>
      </c>
      <c r="AF901" s="136">
        <f>IF(E901=$AF$6,1,"")</f>
        <v/>
      </c>
      <c r="AG901" s="136">
        <f>IF(E901=$AG$6,1,"")</f>
        <v/>
      </c>
      <c r="AH901" s="136">
        <f>IF(E901=$AH$6,1,"")</f>
        <v/>
      </c>
      <c r="AI901" s="136">
        <f>IF(E901=$AI$6,1,"")</f>
        <v/>
      </c>
      <c r="AJ901" s="136">
        <f>IF(E901=$AJ$6,1,"")</f>
        <v/>
      </c>
      <c r="AK901" s="81">
        <f>IF(E901=$AK$6,1,"")</f>
        <v/>
      </c>
      <c r="AL901" s="81">
        <f>IF(E901=$AL$6,1,"")</f>
        <v/>
      </c>
      <c r="AM901" s="81">
        <f>IF(E901=$AM$6,1,"")</f>
        <v/>
      </c>
      <c r="AN901" s="81">
        <f>IF(E901=$AN$6,1,"")</f>
        <v/>
      </c>
      <c r="AO901" s="81">
        <f>IF(E901=$AO$6,1,"")</f>
        <v/>
      </c>
      <c r="AP901" s="81">
        <f>IF(E901=$AP$6,1,"")</f>
        <v/>
      </c>
      <c r="AQ901" s="81">
        <f>IF(E901=$AQ$6,1,"")</f>
        <v/>
      </c>
      <c r="AR901" s="81">
        <f>IF(E901=$AR$6,1,"")</f>
        <v/>
      </c>
      <c r="AS901" s="81" t="n"/>
    </row>
    <row r="902" ht="15.75" customHeight="1" s="80">
      <c r="A902" s="157" t="n"/>
      <c r="B902" s="124" t="n"/>
      <c r="C902" s="125" t="n"/>
      <c r="D902" s="126" t="n"/>
      <c r="E902" s="127" t="n"/>
      <c r="F902" s="128" t="n"/>
      <c r="G902" s="129">
        <f>IF(F902="","",ROUND(F902/60,2))</f>
        <v/>
      </c>
      <c r="H902" s="130" t="n"/>
      <c r="I902" s="131" t="n"/>
      <c r="J902" s="131">
        <f>IF(COUNTIF(B902:E902,"*")=0,"",IF(T902=1,"Invalid Service",IF(AND(V902=1,F902=""),"Add Session Mins",IF(AND(E902&gt;0,H902="",T902=""),"Enter Contract Rate",IF(AND(E902="IEP mtg, prep, rept",F902&gt;0),(G902*H902),IF(AND(E902&gt;0,F902&gt;0,H902&gt;0,I902=""),"Enter Travel",IF(AND(F902&gt;0,I902="Y"),(G902*H902)+$M$10,IF(AND(F902&gt;0,I902="N"),(G902*H902),H902))))))))</f>
        <v/>
      </c>
      <c r="K902" s="132">
        <f>J902</f>
        <v/>
      </c>
      <c r="L902" s="148" t="n"/>
      <c r="M902" s="148" t="n"/>
      <c r="N902" s="148" t="n"/>
      <c r="O902" s="87" t="n"/>
      <c r="P902" s="81" t="n"/>
      <c r="Q902" s="81" t="n"/>
      <c r="R902" s="81" t="n"/>
      <c r="S902" s="81" t="n"/>
      <c r="T902" s="136">
        <f>IF(AND(E902&gt;0,U902=0),1,"")</f>
        <v/>
      </c>
      <c r="U902" s="136">
        <f>SUM(X902:AR902)</f>
        <v/>
      </c>
      <c r="V902" s="136">
        <f>IF(E902=$Q$16,0,SUM(X902:AI902))</f>
        <v/>
      </c>
      <c r="W902" s="136">
        <f>SUM(AK902:AR902)</f>
        <v/>
      </c>
      <c r="X902" s="136">
        <f>IF(E902=$X$6,1,"")</f>
        <v/>
      </c>
      <c r="Y902" s="136">
        <f>IF(E902=$Y$6,1,"")</f>
        <v/>
      </c>
      <c r="Z902" s="136">
        <f>IF(E902=$Z$6,1,"")</f>
        <v/>
      </c>
      <c r="AA902" s="136">
        <f>IF(E902=$AA$6,1,"")</f>
        <v/>
      </c>
      <c r="AB902" s="136">
        <f>IF(E902=$AB$6,1,"")</f>
        <v/>
      </c>
      <c r="AC902" s="136">
        <f>IF(E902=$AC$6,1,"")</f>
        <v/>
      </c>
      <c r="AD902" s="136">
        <f>IF(E902=$AD$6,1,"")</f>
        <v/>
      </c>
      <c r="AE902" s="136">
        <f>IF(E902=$AE$6,1,"")</f>
        <v/>
      </c>
      <c r="AF902" s="136">
        <f>IF(E902=$AF$6,1,"")</f>
        <v/>
      </c>
      <c r="AG902" s="136">
        <f>IF(E902=$AG$6,1,"")</f>
        <v/>
      </c>
      <c r="AH902" s="136">
        <f>IF(E902=$AH$6,1,"")</f>
        <v/>
      </c>
      <c r="AI902" s="136">
        <f>IF(E902=$AI$6,1,"")</f>
        <v/>
      </c>
      <c r="AJ902" s="136">
        <f>IF(E902=$AJ$6,1,"")</f>
        <v/>
      </c>
      <c r="AK902" s="81">
        <f>IF(E902=$AK$6,1,"")</f>
        <v/>
      </c>
      <c r="AL902" s="81">
        <f>IF(E902=$AL$6,1,"")</f>
        <v/>
      </c>
      <c r="AM902" s="81">
        <f>IF(E902=$AM$6,1,"")</f>
        <v/>
      </c>
      <c r="AN902" s="81">
        <f>IF(E902=$AN$6,1,"")</f>
        <v/>
      </c>
      <c r="AO902" s="81">
        <f>IF(E902=$AO$6,1,"")</f>
        <v/>
      </c>
      <c r="AP902" s="81">
        <f>IF(E902=$AP$6,1,"")</f>
        <v/>
      </c>
      <c r="AQ902" s="81">
        <f>IF(E902=$AQ$6,1,"")</f>
        <v/>
      </c>
      <c r="AR902" s="81">
        <f>IF(E902=$AR$6,1,"")</f>
        <v/>
      </c>
      <c r="AS902" s="81" t="n"/>
    </row>
    <row r="903" ht="15.75" customHeight="1" s="80">
      <c r="A903" s="157" t="n"/>
      <c r="B903" s="124" t="n"/>
      <c r="C903" s="125" t="n"/>
      <c r="D903" s="126" t="n"/>
      <c r="E903" s="127" t="n"/>
      <c r="F903" s="128" t="n"/>
      <c r="G903" s="129">
        <f>IF(F903="","",ROUND(F903/60,2))</f>
        <v/>
      </c>
      <c r="H903" s="130" t="n"/>
      <c r="I903" s="131" t="n"/>
      <c r="J903" s="131">
        <f>IF(COUNTIF(B903:E903,"*")=0,"",IF(T903=1,"Invalid Service",IF(AND(V903=1,F903=""),"Add Session Mins",IF(AND(E903&gt;0,H903="",T903=""),"Enter Contract Rate",IF(AND(E903="IEP mtg, prep, rept",F903&gt;0),(G903*H903),IF(AND(E903&gt;0,F903&gt;0,H903&gt;0,I903=""),"Enter Travel",IF(AND(F903&gt;0,I903="Y"),(G903*H903)+$M$10,IF(AND(F903&gt;0,I903="N"),(G903*H903),H903))))))))</f>
        <v/>
      </c>
      <c r="K903" s="132">
        <f>J903</f>
        <v/>
      </c>
      <c r="L903" s="148" t="n"/>
      <c r="M903" s="148" t="n"/>
      <c r="N903" s="148" t="n"/>
      <c r="O903" s="87" t="n"/>
      <c r="P903" s="81" t="n"/>
      <c r="Q903" s="81" t="n"/>
      <c r="R903" s="81" t="n"/>
      <c r="S903" s="81" t="n"/>
      <c r="T903" s="136">
        <f>IF(AND(E903&gt;0,U903=0),1,"")</f>
        <v/>
      </c>
      <c r="U903" s="136">
        <f>SUM(X903:AR903)</f>
        <v/>
      </c>
      <c r="V903" s="136">
        <f>IF(E903=$Q$16,0,SUM(X903:AI903))</f>
        <v/>
      </c>
      <c r="W903" s="136">
        <f>SUM(AK903:AR903)</f>
        <v/>
      </c>
      <c r="X903" s="136">
        <f>IF(E903=$X$6,1,"")</f>
        <v/>
      </c>
      <c r="Y903" s="136">
        <f>IF(E903=$Y$6,1,"")</f>
        <v/>
      </c>
      <c r="Z903" s="136">
        <f>IF(E903=$Z$6,1,"")</f>
        <v/>
      </c>
      <c r="AA903" s="136">
        <f>IF(E903=$AA$6,1,"")</f>
        <v/>
      </c>
      <c r="AB903" s="136">
        <f>IF(E903=$AB$6,1,"")</f>
        <v/>
      </c>
      <c r="AC903" s="136">
        <f>IF(E903=$AC$6,1,"")</f>
        <v/>
      </c>
      <c r="AD903" s="136">
        <f>IF(E903=$AD$6,1,"")</f>
        <v/>
      </c>
      <c r="AE903" s="136">
        <f>IF(E903=$AE$6,1,"")</f>
        <v/>
      </c>
      <c r="AF903" s="136">
        <f>IF(E903=$AF$6,1,"")</f>
        <v/>
      </c>
      <c r="AG903" s="136">
        <f>IF(E903=$AG$6,1,"")</f>
        <v/>
      </c>
      <c r="AH903" s="136">
        <f>IF(E903=$AH$6,1,"")</f>
        <v/>
      </c>
      <c r="AI903" s="136">
        <f>IF(E903=$AI$6,1,"")</f>
        <v/>
      </c>
      <c r="AJ903" s="136">
        <f>IF(E903=$AJ$6,1,"")</f>
        <v/>
      </c>
      <c r="AK903" s="81">
        <f>IF(E903=$AK$6,1,"")</f>
        <v/>
      </c>
      <c r="AL903" s="81">
        <f>IF(E903=$AL$6,1,"")</f>
        <v/>
      </c>
      <c r="AM903" s="81">
        <f>IF(E903=$AM$6,1,"")</f>
        <v/>
      </c>
      <c r="AN903" s="81">
        <f>IF(E903=$AN$6,1,"")</f>
        <v/>
      </c>
      <c r="AO903" s="81">
        <f>IF(E903=$AO$6,1,"")</f>
        <v/>
      </c>
      <c r="AP903" s="81">
        <f>IF(E903=$AP$6,1,"")</f>
        <v/>
      </c>
      <c r="AQ903" s="81">
        <f>IF(E903=$AQ$6,1,"")</f>
        <v/>
      </c>
      <c r="AR903" s="81">
        <f>IF(E903=$AR$6,1,"")</f>
        <v/>
      </c>
      <c r="AS903" s="81" t="n"/>
    </row>
    <row r="904" ht="15.75" customHeight="1" s="80">
      <c r="A904" s="157" t="n"/>
      <c r="B904" s="124" t="n"/>
      <c r="C904" s="125" t="n"/>
      <c r="D904" s="126" t="n"/>
      <c r="E904" s="127" t="n"/>
      <c r="F904" s="128" t="n"/>
      <c r="G904" s="129">
        <f>IF(F904="","",ROUND(F904/60,2))</f>
        <v/>
      </c>
      <c r="H904" s="130" t="n"/>
      <c r="I904" s="131" t="n"/>
      <c r="J904" s="131">
        <f>IF(COUNTIF(B904:E904,"*")=0,"",IF(T904=1,"Invalid Service",IF(AND(V904=1,F904=""),"Add Session Mins",IF(AND(E904&gt;0,H904="",T904=""),"Enter Contract Rate",IF(AND(E904="IEP mtg, prep, rept",F904&gt;0),(G904*H904),IF(AND(E904&gt;0,F904&gt;0,H904&gt;0,I904=""),"Enter Travel",IF(AND(F904&gt;0,I904="Y"),(G904*H904)+$M$10,IF(AND(F904&gt;0,I904="N"),(G904*H904),H904))))))))</f>
        <v/>
      </c>
      <c r="K904" s="132">
        <f>J904</f>
        <v/>
      </c>
      <c r="L904" s="148" t="n"/>
      <c r="M904" s="148" t="n"/>
      <c r="N904" s="148" t="n"/>
      <c r="O904" s="87" t="n"/>
      <c r="P904" s="81" t="n"/>
      <c r="Q904" s="81" t="n"/>
      <c r="R904" s="81" t="n"/>
      <c r="S904" s="81" t="n"/>
      <c r="T904" s="136">
        <f>IF(AND(E904&gt;0,U904=0),1,"")</f>
        <v/>
      </c>
      <c r="U904" s="136">
        <f>SUM(X904:AR904)</f>
        <v/>
      </c>
      <c r="V904" s="136">
        <f>IF(E904=$Q$16,0,SUM(X904:AI904))</f>
        <v/>
      </c>
      <c r="W904" s="136">
        <f>SUM(AK904:AR904)</f>
        <v/>
      </c>
      <c r="X904" s="136">
        <f>IF(E904=$X$6,1,"")</f>
        <v/>
      </c>
      <c r="Y904" s="136">
        <f>IF(E904=$Y$6,1,"")</f>
        <v/>
      </c>
      <c r="Z904" s="136">
        <f>IF(E904=$Z$6,1,"")</f>
        <v/>
      </c>
      <c r="AA904" s="136">
        <f>IF(E904=$AA$6,1,"")</f>
        <v/>
      </c>
      <c r="AB904" s="136">
        <f>IF(E904=$AB$6,1,"")</f>
        <v/>
      </c>
      <c r="AC904" s="136">
        <f>IF(E904=$AC$6,1,"")</f>
        <v/>
      </c>
      <c r="AD904" s="136">
        <f>IF(E904=$AD$6,1,"")</f>
        <v/>
      </c>
      <c r="AE904" s="136">
        <f>IF(E904=$AE$6,1,"")</f>
        <v/>
      </c>
      <c r="AF904" s="136">
        <f>IF(E904=$AF$6,1,"")</f>
        <v/>
      </c>
      <c r="AG904" s="136">
        <f>IF(E904=$AG$6,1,"")</f>
        <v/>
      </c>
      <c r="AH904" s="136">
        <f>IF(E904=$AH$6,1,"")</f>
        <v/>
      </c>
      <c r="AI904" s="136">
        <f>IF(E904=$AI$6,1,"")</f>
        <v/>
      </c>
      <c r="AJ904" s="136">
        <f>IF(E904=$AJ$6,1,"")</f>
        <v/>
      </c>
      <c r="AK904" s="81">
        <f>IF(E904=$AK$6,1,"")</f>
        <v/>
      </c>
      <c r="AL904" s="81">
        <f>IF(E904=$AL$6,1,"")</f>
        <v/>
      </c>
      <c r="AM904" s="81">
        <f>IF(E904=$AM$6,1,"")</f>
        <v/>
      </c>
      <c r="AN904" s="81">
        <f>IF(E904=$AN$6,1,"")</f>
        <v/>
      </c>
      <c r="AO904" s="81">
        <f>IF(E904=$AO$6,1,"")</f>
        <v/>
      </c>
      <c r="AP904" s="81">
        <f>IF(E904=$AP$6,1,"")</f>
        <v/>
      </c>
      <c r="AQ904" s="81">
        <f>IF(E904=$AQ$6,1,"")</f>
        <v/>
      </c>
      <c r="AR904" s="81">
        <f>IF(E904=$AR$6,1,"")</f>
        <v/>
      </c>
      <c r="AS904" s="81" t="n"/>
    </row>
    <row r="905" ht="15.75" customHeight="1" s="80">
      <c r="A905" s="157" t="n"/>
      <c r="B905" s="124" t="n"/>
      <c r="C905" s="125" t="n"/>
      <c r="D905" s="126" t="n"/>
      <c r="E905" s="127" t="n"/>
      <c r="F905" s="128" t="n"/>
      <c r="G905" s="129">
        <f>IF(F905="","",ROUND(F905/60,2))</f>
        <v/>
      </c>
      <c r="H905" s="130" t="n"/>
      <c r="I905" s="131" t="n"/>
      <c r="J905" s="131">
        <f>IF(COUNTIF(B905:E905,"*")=0,"",IF(T905=1,"Invalid Service",IF(AND(V905=1,F905=""),"Add Session Mins",IF(AND(E905&gt;0,H905="",T905=""),"Enter Contract Rate",IF(AND(E905="IEP mtg, prep, rept",F905&gt;0),(G905*H905),IF(AND(E905&gt;0,F905&gt;0,H905&gt;0,I905=""),"Enter Travel",IF(AND(F905&gt;0,I905="Y"),(G905*H905)+$M$10,IF(AND(F905&gt;0,I905="N"),(G905*H905),H905))))))))</f>
        <v/>
      </c>
      <c r="K905" s="132">
        <f>J905</f>
        <v/>
      </c>
      <c r="L905" s="148" t="n"/>
      <c r="M905" s="148" t="n"/>
      <c r="N905" s="148" t="n"/>
      <c r="O905" s="87" t="n"/>
      <c r="P905" s="81" t="n"/>
      <c r="Q905" s="81" t="n"/>
      <c r="R905" s="81" t="n"/>
      <c r="S905" s="81" t="n"/>
      <c r="T905" s="136">
        <f>IF(AND(E905&gt;0,U905=0),1,"")</f>
        <v/>
      </c>
      <c r="U905" s="136">
        <f>SUM(X905:AR905)</f>
        <v/>
      </c>
      <c r="V905" s="136">
        <f>IF(E905=$Q$16,0,SUM(X905:AI905))</f>
        <v/>
      </c>
      <c r="W905" s="136">
        <f>SUM(AK905:AR905)</f>
        <v/>
      </c>
      <c r="X905" s="136">
        <f>IF(E905=$X$6,1,"")</f>
        <v/>
      </c>
      <c r="Y905" s="136">
        <f>IF(E905=$Y$6,1,"")</f>
        <v/>
      </c>
      <c r="Z905" s="136">
        <f>IF(E905=$Z$6,1,"")</f>
        <v/>
      </c>
      <c r="AA905" s="136">
        <f>IF(E905=$AA$6,1,"")</f>
        <v/>
      </c>
      <c r="AB905" s="136">
        <f>IF(E905=$AB$6,1,"")</f>
        <v/>
      </c>
      <c r="AC905" s="136">
        <f>IF(E905=$AC$6,1,"")</f>
        <v/>
      </c>
      <c r="AD905" s="136">
        <f>IF(E905=$AD$6,1,"")</f>
        <v/>
      </c>
      <c r="AE905" s="136">
        <f>IF(E905=$AE$6,1,"")</f>
        <v/>
      </c>
      <c r="AF905" s="136">
        <f>IF(E905=$AF$6,1,"")</f>
        <v/>
      </c>
      <c r="AG905" s="136">
        <f>IF(E905=$AG$6,1,"")</f>
        <v/>
      </c>
      <c r="AH905" s="136">
        <f>IF(E905=$AH$6,1,"")</f>
        <v/>
      </c>
      <c r="AI905" s="136">
        <f>IF(E905=$AI$6,1,"")</f>
        <v/>
      </c>
      <c r="AJ905" s="136">
        <f>IF(E905=$AJ$6,1,"")</f>
        <v/>
      </c>
      <c r="AK905" s="81">
        <f>IF(E905=$AK$6,1,"")</f>
        <v/>
      </c>
      <c r="AL905" s="81">
        <f>IF(E905=$AL$6,1,"")</f>
        <v/>
      </c>
      <c r="AM905" s="81">
        <f>IF(E905=$AM$6,1,"")</f>
        <v/>
      </c>
      <c r="AN905" s="81">
        <f>IF(E905=$AN$6,1,"")</f>
        <v/>
      </c>
      <c r="AO905" s="81">
        <f>IF(E905=$AO$6,1,"")</f>
        <v/>
      </c>
      <c r="AP905" s="81">
        <f>IF(E905=$AP$6,1,"")</f>
        <v/>
      </c>
      <c r="AQ905" s="81">
        <f>IF(E905=$AQ$6,1,"")</f>
        <v/>
      </c>
      <c r="AR905" s="81">
        <f>IF(E905=$AR$6,1,"")</f>
        <v/>
      </c>
      <c r="AS905" s="81" t="n"/>
    </row>
    <row r="906" ht="15.75" customHeight="1" s="80">
      <c r="A906" s="157" t="n"/>
      <c r="B906" s="124" t="n"/>
      <c r="C906" s="125" t="n"/>
      <c r="D906" s="126" t="n"/>
      <c r="E906" s="127" t="n"/>
      <c r="F906" s="128" t="n"/>
      <c r="G906" s="129">
        <f>IF(F906="","",ROUND(F906/60,2))</f>
        <v/>
      </c>
      <c r="H906" s="130" t="n"/>
      <c r="I906" s="131" t="n"/>
      <c r="J906" s="131">
        <f>IF(COUNTIF(B906:E906,"*")=0,"",IF(T906=1,"Invalid Service",IF(AND(V906=1,F906=""),"Add Session Mins",IF(AND(E906&gt;0,H906="",T906=""),"Enter Contract Rate",IF(AND(E906="IEP mtg, prep, rept",F906&gt;0),(G906*H906),IF(AND(E906&gt;0,F906&gt;0,H906&gt;0,I906=""),"Enter Travel",IF(AND(F906&gt;0,I906="Y"),(G906*H906)+$M$10,IF(AND(F906&gt;0,I906="N"),(G906*H906),H906))))))))</f>
        <v/>
      </c>
      <c r="K906" s="132">
        <f>J906</f>
        <v/>
      </c>
      <c r="L906" s="148" t="n"/>
      <c r="M906" s="148" t="n"/>
      <c r="N906" s="148" t="n"/>
      <c r="O906" s="87" t="n"/>
      <c r="P906" s="81" t="n"/>
      <c r="Q906" s="81" t="n"/>
      <c r="R906" s="81" t="n"/>
      <c r="S906" s="81" t="n"/>
      <c r="T906" s="136">
        <f>IF(AND(E906&gt;0,U906=0),1,"")</f>
        <v/>
      </c>
      <c r="U906" s="136">
        <f>SUM(X906:AR906)</f>
        <v/>
      </c>
      <c r="V906" s="136">
        <f>IF(E906=$Q$16,0,SUM(X906:AI906))</f>
        <v/>
      </c>
      <c r="W906" s="136">
        <f>SUM(AK906:AR906)</f>
        <v/>
      </c>
      <c r="X906" s="136">
        <f>IF(E906=$X$6,1,"")</f>
        <v/>
      </c>
      <c r="Y906" s="136">
        <f>IF(E906=$Y$6,1,"")</f>
        <v/>
      </c>
      <c r="Z906" s="136">
        <f>IF(E906=$Z$6,1,"")</f>
        <v/>
      </c>
      <c r="AA906" s="136">
        <f>IF(E906=$AA$6,1,"")</f>
        <v/>
      </c>
      <c r="AB906" s="136">
        <f>IF(E906=$AB$6,1,"")</f>
        <v/>
      </c>
      <c r="AC906" s="136">
        <f>IF(E906=$AC$6,1,"")</f>
        <v/>
      </c>
      <c r="AD906" s="136">
        <f>IF(E906=$AD$6,1,"")</f>
        <v/>
      </c>
      <c r="AE906" s="136">
        <f>IF(E906=$AE$6,1,"")</f>
        <v/>
      </c>
      <c r="AF906" s="136">
        <f>IF(E906=$AF$6,1,"")</f>
        <v/>
      </c>
      <c r="AG906" s="136">
        <f>IF(E906=$AG$6,1,"")</f>
        <v/>
      </c>
      <c r="AH906" s="136">
        <f>IF(E906=$AH$6,1,"")</f>
        <v/>
      </c>
      <c r="AI906" s="136">
        <f>IF(E906=$AI$6,1,"")</f>
        <v/>
      </c>
      <c r="AJ906" s="136">
        <f>IF(E906=$AJ$6,1,"")</f>
        <v/>
      </c>
      <c r="AK906" s="81">
        <f>IF(E906=$AK$6,1,"")</f>
        <v/>
      </c>
      <c r="AL906" s="81">
        <f>IF(E906=$AL$6,1,"")</f>
        <v/>
      </c>
      <c r="AM906" s="81">
        <f>IF(E906=$AM$6,1,"")</f>
        <v/>
      </c>
      <c r="AN906" s="81">
        <f>IF(E906=$AN$6,1,"")</f>
        <v/>
      </c>
      <c r="AO906" s="81">
        <f>IF(E906=$AO$6,1,"")</f>
        <v/>
      </c>
      <c r="AP906" s="81">
        <f>IF(E906=$AP$6,1,"")</f>
        <v/>
      </c>
      <c r="AQ906" s="81">
        <f>IF(E906=$AQ$6,1,"")</f>
        <v/>
      </c>
      <c r="AR906" s="81">
        <f>IF(E906=$AR$6,1,"")</f>
        <v/>
      </c>
      <c r="AS906" s="81" t="n"/>
    </row>
    <row r="907" ht="15.75" customHeight="1" s="80">
      <c r="A907" s="157" t="n"/>
      <c r="B907" s="124" t="n"/>
      <c r="C907" s="125" t="n"/>
      <c r="D907" s="126" t="n"/>
      <c r="E907" s="127" t="n"/>
      <c r="F907" s="128" t="n"/>
      <c r="G907" s="129">
        <f>IF(F907="","",ROUND(F907/60,2))</f>
        <v/>
      </c>
      <c r="H907" s="130" t="n"/>
      <c r="I907" s="131" t="n"/>
      <c r="J907" s="131">
        <f>IF(COUNTIF(B907:E907,"*")=0,"",IF(T907=1,"Invalid Service",IF(AND(V907=1,F907=""),"Add Session Mins",IF(AND(E907&gt;0,H907="",T907=""),"Enter Contract Rate",IF(AND(E907="IEP mtg, prep, rept",F907&gt;0),(G907*H907),IF(AND(E907&gt;0,F907&gt;0,H907&gt;0,I907=""),"Enter Travel",IF(AND(F907&gt;0,I907="Y"),(G907*H907)+$M$10,IF(AND(F907&gt;0,I907="N"),(G907*H907),H907))))))))</f>
        <v/>
      </c>
      <c r="K907" s="132">
        <f>J907</f>
        <v/>
      </c>
      <c r="L907" s="148" t="n"/>
      <c r="M907" s="148" t="n"/>
      <c r="N907" s="148" t="n"/>
      <c r="O907" s="87" t="n"/>
      <c r="P907" s="81" t="n"/>
      <c r="Q907" s="81" t="n"/>
      <c r="R907" s="81" t="n"/>
      <c r="S907" s="81" t="n"/>
      <c r="T907" s="136">
        <f>IF(AND(E907&gt;0,U907=0),1,"")</f>
        <v/>
      </c>
      <c r="U907" s="136">
        <f>SUM(X907:AR907)</f>
        <v/>
      </c>
      <c r="V907" s="136">
        <f>IF(E907=$Q$16,0,SUM(X907:AI907))</f>
        <v/>
      </c>
      <c r="W907" s="136">
        <f>SUM(AK907:AR907)</f>
        <v/>
      </c>
      <c r="X907" s="136">
        <f>IF(E907=$X$6,1,"")</f>
        <v/>
      </c>
      <c r="Y907" s="136">
        <f>IF(E907=$Y$6,1,"")</f>
        <v/>
      </c>
      <c r="Z907" s="136">
        <f>IF(E907=$Z$6,1,"")</f>
        <v/>
      </c>
      <c r="AA907" s="136">
        <f>IF(E907=$AA$6,1,"")</f>
        <v/>
      </c>
      <c r="AB907" s="136">
        <f>IF(E907=$AB$6,1,"")</f>
        <v/>
      </c>
      <c r="AC907" s="136">
        <f>IF(E907=$AC$6,1,"")</f>
        <v/>
      </c>
      <c r="AD907" s="136">
        <f>IF(E907=$AD$6,1,"")</f>
        <v/>
      </c>
      <c r="AE907" s="136">
        <f>IF(E907=$AE$6,1,"")</f>
        <v/>
      </c>
      <c r="AF907" s="136">
        <f>IF(E907=$AF$6,1,"")</f>
        <v/>
      </c>
      <c r="AG907" s="136">
        <f>IF(E907=$AG$6,1,"")</f>
        <v/>
      </c>
      <c r="AH907" s="136">
        <f>IF(E907=$AH$6,1,"")</f>
        <v/>
      </c>
      <c r="AI907" s="136">
        <f>IF(E907=$AI$6,1,"")</f>
        <v/>
      </c>
      <c r="AJ907" s="136">
        <f>IF(E907=$AJ$6,1,"")</f>
        <v/>
      </c>
      <c r="AK907" s="81">
        <f>IF(E907=$AK$6,1,"")</f>
        <v/>
      </c>
      <c r="AL907" s="81">
        <f>IF(E907=$AL$6,1,"")</f>
        <v/>
      </c>
      <c r="AM907" s="81">
        <f>IF(E907=$AM$6,1,"")</f>
        <v/>
      </c>
      <c r="AN907" s="81">
        <f>IF(E907=$AN$6,1,"")</f>
        <v/>
      </c>
      <c r="AO907" s="81">
        <f>IF(E907=$AO$6,1,"")</f>
        <v/>
      </c>
      <c r="AP907" s="81">
        <f>IF(E907=$AP$6,1,"")</f>
        <v/>
      </c>
      <c r="AQ907" s="81">
        <f>IF(E907=$AQ$6,1,"")</f>
        <v/>
      </c>
      <c r="AR907" s="81">
        <f>IF(E907=$AR$6,1,"")</f>
        <v/>
      </c>
      <c r="AS907" s="81" t="n"/>
    </row>
    <row r="908" ht="15.75" customHeight="1" s="80">
      <c r="A908" s="157" t="n"/>
      <c r="B908" s="124" t="n"/>
      <c r="C908" s="125" t="n"/>
      <c r="D908" s="126" t="n"/>
      <c r="E908" s="127" t="n"/>
      <c r="F908" s="128" t="n"/>
      <c r="G908" s="129">
        <f>IF(F908="","",ROUND(F908/60,2))</f>
        <v/>
      </c>
      <c r="H908" s="130" t="n"/>
      <c r="I908" s="131" t="n"/>
      <c r="J908" s="131">
        <f>IF(COUNTIF(B908:E908,"*")=0,"",IF(T908=1,"Invalid Service",IF(AND(V908=1,F908=""),"Add Session Mins",IF(AND(E908&gt;0,H908="",T908=""),"Enter Contract Rate",IF(AND(E908="IEP mtg, prep, rept",F908&gt;0),(G908*H908),IF(AND(E908&gt;0,F908&gt;0,H908&gt;0,I908=""),"Enter Travel",IF(AND(F908&gt;0,I908="Y"),(G908*H908)+$M$10,IF(AND(F908&gt;0,I908="N"),(G908*H908),H908))))))))</f>
        <v/>
      </c>
      <c r="K908" s="132">
        <f>J908</f>
        <v/>
      </c>
      <c r="L908" s="148" t="n"/>
      <c r="M908" s="148" t="n"/>
      <c r="N908" s="148" t="n"/>
      <c r="O908" s="87" t="n"/>
      <c r="P908" s="81" t="n"/>
      <c r="Q908" s="81" t="n"/>
      <c r="R908" s="81" t="n"/>
      <c r="S908" s="81" t="n"/>
      <c r="T908" s="136">
        <f>IF(AND(E908&gt;0,U908=0),1,"")</f>
        <v/>
      </c>
      <c r="U908" s="136">
        <f>SUM(X908:AR908)</f>
        <v/>
      </c>
      <c r="V908" s="136">
        <f>IF(E908=$Q$16,0,SUM(X908:AI908))</f>
        <v/>
      </c>
      <c r="W908" s="136">
        <f>SUM(AK908:AR908)</f>
        <v/>
      </c>
      <c r="X908" s="136">
        <f>IF(E908=$X$6,1,"")</f>
        <v/>
      </c>
      <c r="Y908" s="136">
        <f>IF(E908=$Y$6,1,"")</f>
        <v/>
      </c>
      <c r="Z908" s="136">
        <f>IF(E908=$Z$6,1,"")</f>
        <v/>
      </c>
      <c r="AA908" s="136">
        <f>IF(E908=$AA$6,1,"")</f>
        <v/>
      </c>
      <c r="AB908" s="136">
        <f>IF(E908=$AB$6,1,"")</f>
        <v/>
      </c>
      <c r="AC908" s="136">
        <f>IF(E908=$AC$6,1,"")</f>
        <v/>
      </c>
      <c r="AD908" s="136">
        <f>IF(E908=$AD$6,1,"")</f>
        <v/>
      </c>
      <c r="AE908" s="136">
        <f>IF(E908=$AE$6,1,"")</f>
        <v/>
      </c>
      <c r="AF908" s="136">
        <f>IF(E908=$AF$6,1,"")</f>
        <v/>
      </c>
      <c r="AG908" s="136">
        <f>IF(E908=$AG$6,1,"")</f>
        <v/>
      </c>
      <c r="AH908" s="136">
        <f>IF(E908=$AH$6,1,"")</f>
        <v/>
      </c>
      <c r="AI908" s="136">
        <f>IF(E908=$AI$6,1,"")</f>
        <v/>
      </c>
      <c r="AJ908" s="136">
        <f>IF(E908=$AJ$6,1,"")</f>
        <v/>
      </c>
      <c r="AK908" s="81">
        <f>IF(E908=$AK$6,1,"")</f>
        <v/>
      </c>
      <c r="AL908" s="81">
        <f>IF(E908=$AL$6,1,"")</f>
        <v/>
      </c>
      <c r="AM908" s="81">
        <f>IF(E908=$AM$6,1,"")</f>
        <v/>
      </c>
      <c r="AN908" s="81">
        <f>IF(E908=$AN$6,1,"")</f>
        <v/>
      </c>
      <c r="AO908" s="81">
        <f>IF(E908=$AO$6,1,"")</f>
        <v/>
      </c>
      <c r="AP908" s="81">
        <f>IF(E908=$AP$6,1,"")</f>
        <v/>
      </c>
      <c r="AQ908" s="81">
        <f>IF(E908=$AQ$6,1,"")</f>
        <v/>
      </c>
      <c r="AR908" s="81">
        <f>IF(E908=$AR$6,1,"")</f>
        <v/>
      </c>
      <c r="AS908" s="81" t="n"/>
    </row>
    <row r="909" ht="15.75" customHeight="1" s="80">
      <c r="A909" s="157" t="n"/>
      <c r="B909" s="124" t="n"/>
      <c r="C909" s="125" t="n"/>
      <c r="D909" s="126" t="n"/>
      <c r="E909" s="127" t="n"/>
      <c r="F909" s="128" t="n"/>
      <c r="G909" s="129">
        <f>IF(F909="","",ROUND(F909/60,2))</f>
        <v/>
      </c>
      <c r="H909" s="130" t="n"/>
      <c r="I909" s="131" t="n"/>
      <c r="J909" s="131">
        <f>IF(COUNTIF(B909:E909,"*")=0,"",IF(T909=1,"Invalid Service",IF(AND(V909=1,F909=""),"Add Session Mins",IF(AND(E909&gt;0,H909="",T909=""),"Enter Contract Rate",IF(AND(E909="IEP mtg, prep, rept",F909&gt;0),(G909*H909),IF(AND(E909&gt;0,F909&gt;0,H909&gt;0,I909=""),"Enter Travel",IF(AND(F909&gt;0,I909="Y"),(G909*H909)+$M$10,IF(AND(F909&gt;0,I909="N"),(G909*H909),H909))))))))</f>
        <v/>
      </c>
      <c r="K909" s="132">
        <f>J909</f>
        <v/>
      </c>
      <c r="L909" s="148" t="n"/>
      <c r="M909" s="148" t="n"/>
      <c r="N909" s="148" t="n"/>
      <c r="O909" s="87" t="n"/>
      <c r="P909" s="81" t="n"/>
      <c r="Q909" s="81" t="n"/>
      <c r="R909" s="81" t="n"/>
      <c r="S909" s="81" t="n"/>
      <c r="T909" s="136">
        <f>IF(AND(E909&gt;0,U909=0),1,"")</f>
        <v/>
      </c>
      <c r="U909" s="136">
        <f>SUM(X909:AR909)</f>
        <v/>
      </c>
      <c r="V909" s="136">
        <f>IF(E909=$Q$16,0,SUM(X909:AI909))</f>
        <v/>
      </c>
      <c r="W909" s="136">
        <f>SUM(AK909:AR909)</f>
        <v/>
      </c>
      <c r="X909" s="136">
        <f>IF(E909=$X$6,1,"")</f>
        <v/>
      </c>
      <c r="Y909" s="136">
        <f>IF(E909=$Y$6,1,"")</f>
        <v/>
      </c>
      <c r="Z909" s="136">
        <f>IF(E909=$Z$6,1,"")</f>
        <v/>
      </c>
      <c r="AA909" s="136">
        <f>IF(E909=$AA$6,1,"")</f>
        <v/>
      </c>
      <c r="AB909" s="136">
        <f>IF(E909=$AB$6,1,"")</f>
        <v/>
      </c>
      <c r="AC909" s="136">
        <f>IF(E909=$AC$6,1,"")</f>
        <v/>
      </c>
      <c r="AD909" s="136">
        <f>IF(E909=$AD$6,1,"")</f>
        <v/>
      </c>
      <c r="AE909" s="136">
        <f>IF(E909=$AE$6,1,"")</f>
        <v/>
      </c>
      <c r="AF909" s="136">
        <f>IF(E909=$AF$6,1,"")</f>
        <v/>
      </c>
      <c r="AG909" s="136">
        <f>IF(E909=$AG$6,1,"")</f>
        <v/>
      </c>
      <c r="AH909" s="136">
        <f>IF(E909=$AH$6,1,"")</f>
        <v/>
      </c>
      <c r="AI909" s="136">
        <f>IF(E909=$AI$6,1,"")</f>
        <v/>
      </c>
      <c r="AJ909" s="136">
        <f>IF(E909=$AJ$6,1,"")</f>
        <v/>
      </c>
      <c r="AK909" s="81">
        <f>IF(E909=$AK$6,1,"")</f>
        <v/>
      </c>
      <c r="AL909" s="81">
        <f>IF(E909=$AL$6,1,"")</f>
        <v/>
      </c>
      <c r="AM909" s="81">
        <f>IF(E909=$AM$6,1,"")</f>
        <v/>
      </c>
      <c r="AN909" s="81">
        <f>IF(E909=$AN$6,1,"")</f>
        <v/>
      </c>
      <c r="AO909" s="81">
        <f>IF(E909=$AO$6,1,"")</f>
        <v/>
      </c>
      <c r="AP909" s="81">
        <f>IF(E909=$AP$6,1,"")</f>
        <v/>
      </c>
      <c r="AQ909" s="81">
        <f>IF(E909=$AQ$6,1,"")</f>
        <v/>
      </c>
      <c r="AR909" s="81">
        <f>IF(E909=$AR$6,1,"")</f>
        <v/>
      </c>
      <c r="AS909" s="81" t="n"/>
    </row>
    <row r="910" ht="15.75" customHeight="1" s="80">
      <c r="A910" s="157" t="n"/>
      <c r="B910" s="124" t="n"/>
      <c r="C910" s="125" t="n"/>
      <c r="D910" s="126" t="n"/>
      <c r="E910" s="127" t="n"/>
      <c r="F910" s="128" t="n"/>
      <c r="G910" s="129">
        <f>IF(F910="","",ROUND(F910/60,2))</f>
        <v/>
      </c>
      <c r="H910" s="130" t="n"/>
      <c r="I910" s="131" t="n"/>
      <c r="J910" s="131">
        <f>IF(COUNTIF(B910:E910,"*")=0,"",IF(T910=1,"Invalid Service",IF(AND(V910=1,F910=""),"Add Session Mins",IF(AND(E910&gt;0,H910="",T910=""),"Enter Contract Rate",IF(AND(E910="IEP mtg, prep, rept",F910&gt;0),(G910*H910),IF(AND(E910&gt;0,F910&gt;0,H910&gt;0,I910=""),"Enter Travel",IF(AND(F910&gt;0,I910="Y"),(G910*H910)+$M$10,IF(AND(F910&gt;0,I910="N"),(G910*H910),H910))))))))</f>
        <v/>
      </c>
      <c r="K910" s="132">
        <f>J910</f>
        <v/>
      </c>
      <c r="L910" s="148" t="n"/>
      <c r="M910" s="148" t="n"/>
      <c r="N910" s="148" t="n"/>
      <c r="O910" s="87" t="n"/>
      <c r="P910" s="81" t="n"/>
      <c r="Q910" s="81" t="n"/>
      <c r="R910" s="81" t="n"/>
      <c r="S910" s="81" t="n"/>
      <c r="T910" s="136">
        <f>IF(AND(E910&gt;0,U910=0),1,"")</f>
        <v/>
      </c>
      <c r="U910" s="136">
        <f>SUM(X910:AR910)</f>
        <v/>
      </c>
      <c r="V910" s="136">
        <f>IF(E910=$Q$16,0,SUM(X910:AI910))</f>
        <v/>
      </c>
      <c r="W910" s="136">
        <f>SUM(AK910:AR910)</f>
        <v/>
      </c>
      <c r="X910" s="136">
        <f>IF(E910=$X$6,1,"")</f>
        <v/>
      </c>
      <c r="Y910" s="136">
        <f>IF(E910=$Y$6,1,"")</f>
        <v/>
      </c>
      <c r="Z910" s="136">
        <f>IF(E910=$Z$6,1,"")</f>
        <v/>
      </c>
      <c r="AA910" s="136">
        <f>IF(E910=$AA$6,1,"")</f>
        <v/>
      </c>
      <c r="AB910" s="136">
        <f>IF(E910=$AB$6,1,"")</f>
        <v/>
      </c>
      <c r="AC910" s="136">
        <f>IF(E910=$AC$6,1,"")</f>
        <v/>
      </c>
      <c r="AD910" s="136">
        <f>IF(E910=$AD$6,1,"")</f>
        <v/>
      </c>
      <c r="AE910" s="136">
        <f>IF(E910=$AE$6,1,"")</f>
        <v/>
      </c>
      <c r="AF910" s="136">
        <f>IF(E910=$AF$6,1,"")</f>
        <v/>
      </c>
      <c r="AG910" s="136">
        <f>IF(E910=$AG$6,1,"")</f>
        <v/>
      </c>
      <c r="AH910" s="136">
        <f>IF(E910=$AH$6,1,"")</f>
        <v/>
      </c>
      <c r="AI910" s="136">
        <f>IF(E910=$AI$6,1,"")</f>
        <v/>
      </c>
      <c r="AJ910" s="136">
        <f>IF(E910=$AJ$6,1,"")</f>
        <v/>
      </c>
      <c r="AK910" s="81">
        <f>IF(E910=$AK$6,1,"")</f>
        <v/>
      </c>
      <c r="AL910" s="81">
        <f>IF(E910=$AL$6,1,"")</f>
        <v/>
      </c>
      <c r="AM910" s="81">
        <f>IF(E910=$AM$6,1,"")</f>
        <v/>
      </c>
      <c r="AN910" s="81">
        <f>IF(E910=$AN$6,1,"")</f>
        <v/>
      </c>
      <c r="AO910" s="81">
        <f>IF(E910=$AO$6,1,"")</f>
        <v/>
      </c>
      <c r="AP910" s="81">
        <f>IF(E910=$AP$6,1,"")</f>
        <v/>
      </c>
      <c r="AQ910" s="81">
        <f>IF(E910=$AQ$6,1,"")</f>
        <v/>
      </c>
      <c r="AR910" s="81">
        <f>IF(E910=$AR$6,1,"")</f>
        <v/>
      </c>
      <c r="AS910" s="81" t="n"/>
    </row>
    <row r="911" ht="15.75" customHeight="1" s="80">
      <c r="A911" s="157" t="n"/>
      <c r="B911" s="124" t="n"/>
      <c r="C911" s="125" t="n"/>
      <c r="D911" s="126" t="n"/>
      <c r="E911" s="127" t="n"/>
      <c r="F911" s="128" t="n"/>
      <c r="G911" s="129">
        <f>IF(F911="","",ROUND(F911/60,2))</f>
        <v/>
      </c>
      <c r="H911" s="130" t="n"/>
      <c r="I911" s="131" t="n"/>
      <c r="J911" s="131">
        <f>IF(COUNTIF(B911:E911,"*")=0,"",IF(T911=1,"Invalid Service",IF(AND(V911=1,F911=""),"Add Session Mins",IF(AND(E911&gt;0,H911="",T911=""),"Enter Contract Rate",IF(AND(E911="IEP mtg, prep, rept",F911&gt;0),(G911*H911),IF(AND(E911&gt;0,F911&gt;0,H911&gt;0,I911=""),"Enter Travel",IF(AND(F911&gt;0,I911="Y"),(G911*H911)+$M$10,IF(AND(F911&gt;0,I911="N"),(G911*H911),H911))))))))</f>
        <v/>
      </c>
      <c r="K911" s="132">
        <f>J911</f>
        <v/>
      </c>
      <c r="L911" s="148" t="n"/>
      <c r="M911" s="148" t="n"/>
      <c r="N911" s="148" t="n"/>
      <c r="O911" s="87" t="n"/>
      <c r="P911" s="81" t="n"/>
      <c r="Q911" s="81" t="n"/>
      <c r="R911" s="81" t="n"/>
      <c r="S911" s="81" t="n"/>
      <c r="T911" s="136">
        <f>IF(AND(E911&gt;0,U911=0),1,"")</f>
        <v/>
      </c>
      <c r="U911" s="136">
        <f>SUM(X911:AR911)</f>
        <v/>
      </c>
      <c r="V911" s="136">
        <f>IF(E911=$Q$16,0,SUM(X911:AI911))</f>
        <v/>
      </c>
      <c r="W911" s="136">
        <f>SUM(AK911:AR911)</f>
        <v/>
      </c>
      <c r="X911" s="136">
        <f>IF(E911=$X$6,1,"")</f>
        <v/>
      </c>
      <c r="Y911" s="136">
        <f>IF(E911=$Y$6,1,"")</f>
        <v/>
      </c>
      <c r="Z911" s="136">
        <f>IF(E911=$Z$6,1,"")</f>
        <v/>
      </c>
      <c r="AA911" s="136">
        <f>IF(E911=$AA$6,1,"")</f>
        <v/>
      </c>
      <c r="AB911" s="136">
        <f>IF(E911=$AB$6,1,"")</f>
        <v/>
      </c>
      <c r="AC911" s="136">
        <f>IF(E911=$AC$6,1,"")</f>
        <v/>
      </c>
      <c r="AD911" s="136">
        <f>IF(E911=$AD$6,1,"")</f>
        <v/>
      </c>
      <c r="AE911" s="136">
        <f>IF(E911=$AE$6,1,"")</f>
        <v/>
      </c>
      <c r="AF911" s="136">
        <f>IF(E911=$AF$6,1,"")</f>
        <v/>
      </c>
      <c r="AG911" s="136">
        <f>IF(E911=$AG$6,1,"")</f>
        <v/>
      </c>
      <c r="AH911" s="136">
        <f>IF(E911=$AH$6,1,"")</f>
        <v/>
      </c>
      <c r="AI911" s="136">
        <f>IF(E911=$AI$6,1,"")</f>
        <v/>
      </c>
      <c r="AJ911" s="136">
        <f>IF(E911=$AJ$6,1,"")</f>
        <v/>
      </c>
      <c r="AK911" s="81">
        <f>IF(E911=$AK$6,1,"")</f>
        <v/>
      </c>
      <c r="AL911" s="81">
        <f>IF(E911=$AL$6,1,"")</f>
        <v/>
      </c>
      <c r="AM911" s="81">
        <f>IF(E911=$AM$6,1,"")</f>
        <v/>
      </c>
      <c r="AN911" s="81">
        <f>IF(E911=$AN$6,1,"")</f>
        <v/>
      </c>
      <c r="AO911" s="81">
        <f>IF(E911=$AO$6,1,"")</f>
        <v/>
      </c>
      <c r="AP911" s="81">
        <f>IF(E911=$AP$6,1,"")</f>
        <v/>
      </c>
      <c r="AQ911" s="81">
        <f>IF(E911=$AQ$6,1,"")</f>
        <v/>
      </c>
      <c r="AR911" s="81">
        <f>IF(E911=$AR$6,1,"")</f>
        <v/>
      </c>
      <c r="AS911" s="81" t="n"/>
    </row>
    <row r="912" ht="15.75" customHeight="1" s="80">
      <c r="A912" s="157" t="n"/>
      <c r="B912" s="124" t="n"/>
      <c r="C912" s="125" t="n"/>
      <c r="D912" s="126" t="n"/>
      <c r="E912" s="127" t="n"/>
      <c r="F912" s="128" t="n"/>
      <c r="G912" s="129">
        <f>IF(F912="","",ROUND(F912/60,2))</f>
        <v/>
      </c>
      <c r="H912" s="130" t="n"/>
      <c r="I912" s="131" t="n"/>
      <c r="J912" s="131">
        <f>IF(COUNTIF(B912:E912,"*")=0,"",IF(T912=1,"Invalid Service",IF(AND(V912=1,F912=""),"Add Session Mins",IF(AND(E912&gt;0,H912="",T912=""),"Enter Contract Rate",IF(AND(E912="IEP mtg, prep, rept",F912&gt;0),(G912*H912),IF(AND(E912&gt;0,F912&gt;0,H912&gt;0,I912=""),"Enter Travel",IF(AND(F912&gt;0,I912="Y"),(G912*H912)+$M$10,IF(AND(F912&gt;0,I912="N"),(G912*H912),H912))))))))</f>
        <v/>
      </c>
      <c r="K912" s="132">
        <f>J912</f>
        <v/>
      </c>
      <c r="L912" s="148" t="n"/>
      <c r="M912" s="148" t="n"/>
      <c r="N912" s="148" t="n"/>
      <c r="O912" s="87" t="n"/>
      <c r="P912" s="81" t="n"/>
      <c r="Q912" s="81" t="n"/>
      <c r="R912" s="81" t="n"/>
      <c r="S912" s="81" t="n"/>
      <c r="T912" s="136">
        <f>IF(AND(E912&gt;0,U912=0),1,"")</f>
        <v/>
      </c>
      <c r="U912" s="136">
        <f>SUM(X912:AR912)</f>
        <v/>
      </c>
      <c r="V912" s="136">
        <f>IF(E912=$Q$16,0,SUM(X912:AI912))</f>
        <v/>
      </c>
      <c r="W912" s="136">
        <f>SUM(AK912:AR912)</f>
        <v/>
      </c>
      <c r="X912" s="136">
        <f>IF(E912=$X$6,1,"")</f>
        <v/>
      </c>
      <c r="Y912" s="136">
        <f>IF(E912=$Y$6,1,"")</f>
        <v/>
      </c>
      <c r="Z912" s="136">
        <f>IF(E912=$Z$6,1,"")</f>
        <v/>
      </c>
      <c r="AA912" s="136">
        <f>IF(E912=$AA$6,1,"")</f>
        <v/>
      </c>
      <c r="AB912" s="136">
        <f>IF(E912=$AB$6,1,"")</f>
        <v/>
      </c>
      <c r="AC912" s="136">
        <f>IF(E912=$AC$6,1,"")</f>
        <v/>
      </c>
      <c r="AD912" s="136">
        <f>IF(E912=$AD$6,1,"")</f>
        <v/>
      </c>
      <c r="AE912" s="136">
        <f>IF(E912=$AE$6,1,"")</f>
        <v/>
      </c>
      <c r="AF912" s="136">
        <f>IF(E912=$AF$6,1,"")</f>
        <v/>
      </c>
      <c r="AG912" s="136">
        <f>IF(E912=$AG$6,1,"")</f>
        <v/>
      </c>
      <c r="AH912" s="136">
        <f>IF(E912=$AH$6,1,"")</f>
        <v/>
      </c>
      <c r="AI912" s="136">
        <f>IF(E912=$AI$6,1,"")</f>
        <v/>
      </c>
      <c r="AJ912" s="136">
        <f>IF(E912=$AJ$6,1,"")</f>
        <v/>
      </c>
      <c r="AK912" s="81">
        <f>IF(E912=$AK$6,1,"")</f>
        <v/>
      </c>
      <c r="AL912" s="81">
        <f>IF(E912=$AL$6,1,"")</f>
        <v/>
      </c>
      <c r="AM912" s="81">
        <f>IF(E912=$AM$6,1,"")</f>
        <v/>
      </c>
      <c r="AN912" s="81">
        <f>IF(E912=$AN$6,1,"")</f>
        <v/>
      </c>
      <c r="AO912" s="81">
        <f>IF(E912=$AO$6,1,"")</f>
        <v/>
      </c>
      <c r="AP912" s="81">
        <f>IF(E912=$AP$6,1,"")</f>
        <v/>
      </c>
      <c r="AQ912" s="81">
        <f>IF(E912=$AQ$6,1,"")</f>
        <v/>
      </c>
      <c r="AR912" s="81">
        <f>IF(E912=$AR$6,1,"")</f>
        <v/>
      </c>
      <c r="AS912" s="81" t="n"/>
    </row>
    <row r="913" ht="15.75" customHeight="1" s="80">
      <c r="A913" s="157" t="n"/>
      <c r="B913" s="124" t="n"/>
      <c r="C913" s="125" t="n"/>
      <c r="D913" s="126" t="n"/>
      <c r="E913" s="127" t="n"/>
      <c r="F913" s="128" t="n"/>
      <c r="G913" s="129">
        <f>IF(F913="","",ROUND(F913/60,2))</f>
        <v/>
      </c>
      <c r="H913" s="130" t="n"/>
      <c r="I913" s="131" t="n"/>
      <c r="J913" s="131">
        <f>IF(COUNTIF(B913:E913,"*")=0,"",IF(T913=1,"Invalid Service",IF(AND(V913=1,F913=""),"Add Session Mins",IF(AND(E913&gt;0,H913="",T913=""),"Enter Contract Rate",IF(AND(E913="IEP mtg, prep, rept",F913&gt;0),(G913*H913),IF(AND(E913&gt;0,F913&gt;0,H913&gt;0,I913=""),"Enter Travel",IF(AND(F913&gt;0,I913="Y"),(G913*H913)+$M$10,IF(AND(F913&gt;0,I913="N"),(G913*H913),H913))))))))</f>
        <v/>
      </c>
      <c r="K913" s="132">
        <f>J913</f>
        <v/>
      </c>
      <c r="L913" s="148" t="n"/>
      <c r="M913" s="148" t="n"/>
      <c r="N913" s="148" t="n"/>
      <c r="O913" s="87" t="n"/>
      <c r="P913" s="81" t="n"/>
      <c r="Q913" s="81" t="n"/>
      <c r="R913" s="81" t="n"/>
      <c r="S913" s="81" t="n"/>
      <c r="T913" s="136">
        <f>IF(AND(E913&gt;0,U913=0),1,"")</f>
        <v/>
      </c>
      <c r="U913" s="136">
        <f>SUM(X913:AR913)</f>
        <v/>
      </c>
      <c r="V913" s="136">
        <f>IF(E913=$Q$16,0,SUM(X913:AI913))</f>
        <v/>
      </c>
      <c r="W913" s="136">
        <f>SUM(AK913:AR913)</f>
        <v/>
      </c>
      <c r="X913" s="136">
        <f>IF(E913=$X$6,1,"")</f>
        <v/>
      </c>
      <c r="Y913" s="136">
        <f>IF(E913=$Y$6,1,"")</f>
        <v/>
      </c>
      <c r="Z913" s="136">
        <f>IF(E913=$Z$6,1,"")</f>
        <v/>
      </c>
      <c r="AA913" s="136">
        <f>IF(E913=$AA$6,1,"")</f>
        <v/>
      </c>
      <c r="AB913" s="136">
        <f>IF(E913=$AB$6,1,"")</f>
        <v/>
      </c>
      <c r="AC913" s="136">
        <f>IF(E913=$AC$6,1,"")</f>
        <v/>
      </c>
      <c r="AD913" s="136">
        <f>IF(E913=$AD$6,1,"")</f>
        <v/>
      </c>
      <c r="AE913" s="136">
        <f>IF(E913=$AE$6,1,"")</f>
        <v/>
      </c>
      <c r="AF913" s="136">
        <f>IF(E913=$AF$6,1,"")</f>
        <v/>
      </c>
      <c r="AG913" s="136">
        <f>IF(E913=$AG$6,1,"")</f>
        <v/>
      </c>
      <c r="AH913" s="136">
        <f>IF(E913=$AH$6,1,"")</f>
        <v/>
      </c>
      <c r="AI913" s="136">
        <f>IF(E913=$AI$6,1,"")</f>
        <v/>
      </c>
      <c r="AJ913" s="136">
        <f>IF(E913=$AJ$6,1,"")</f>
        <v/>
      </c>
      <c r="AK913" s="81">
        <f>IF(E913=$AK$6,1,"")</f>
        <v/>
      </c>
      <c r="AL913" s="81">
        <f>IF(E913=$AL$6,1,"")</f>
        <v/>
      </c>
      <c r="AM913" s="81">
        <f>IF(E913=$AM$6,1,"")</f>
        <v/>
      </c>
      <c r="AN913" s="81">
        <f>IF(E913=$AN$6,1,"")</f>
        <v/>
      </c>
      <c r="AO913" s="81">
        <f>IF(E913=$AO$6,1,"")</f>
        <v/>
      </c>
      <c r="AP913" s="81">
        <f>IF(E913=$AP$6,1,"")</f>
        <v/>
      </c>
      <c r="AQ913" s="81">
        <f>IF(E913=$AQ$6,1,"")</f>
        <v/>
      </c>
      <c r="AR913" s="81">
        <f>IF(E913=$AR$6,1,"")</f>
        <v/>
      </c>
      <c r="AS913" s="81" t="n"/>
    </row>
    <row r="914" ht="15.75" customHeight="1" s="80">
      <c r="A914" s="157" t="n"/>
      <c r="B914" s="124" t="n"/>
      <c r="C914" s="125" t="n"/>
      <c r="D914" s="126" t="n"/>
      <c r="E914" s="127" t="n"/>
      <c r="F914" s="128" t="n"/>
      <c r="G914" s="129">
        <f>IF(F914="","",ROUND(F914/60,2))</f>
        <v/>
      </c>
      <c r="H914" s="130" t="n"/>
      <c r="I914" s="131" t="n"/>
      <c r="J914" s="131">
        <f>IF(COUNTIF(B914:E914,"*")=0,"",IF(T914=1,"Invalid Service",IF(AND(V914=1,F914=""),"Add Session Mins",IF(AND(E914&gt;0,H914="",T914=""),"Enter Contract Rate",IF(AND(E914="IEP mtg, prep, rept",F914&gt;0),(G914*H914),IF(AND(E914&gt;0,F914&gt;0,H914&gt;0,I914=""),"Enter Travel",IF(AND(F914&gt;0,I914="Y"),(G914*H914)+$M$10,IF(AND(F914&gt;0,I914="N"),(G914*H914),H914))))))))</f>
        <v/>
      </c>
      <c r="K914" s="132">
        <f>J914</f>
        <v/>
      </c>
      <c r="L914" s="148" t="n"/>
      <c r="M914" s="148" t="n"/>
      <c r="N914" s="148" t="n"/>
      <c r="O914" s="87" t="n"/>
      <c r="P914" s="81" t="n"/>
      <c r="Q914" s="81" t="n"/>
      <c r="R914" s="81" t="n"/>
      <c r="S914" s="81" t="n"/>
      <c r="T914" s="136">
        <f>IF(AND(E914&gt;0,U914=0),1,"")</f>
        <v/>
      </c>
      <c r="U914" s="136">
        <f>SUM(X914:AR914)</f>
        <v/>
      </c>
      <c r="V914" s="136">
        <f>IF(E914=$Q$16,0,SUM(X914:AI914))</f>
        <v/>
      </c>
      <c r="W914" s="136">
        <f>SUM(AK914:AR914)</f>
        <v/>
      </c>
      <c r="X914" s="136">
        <f>IF(E914=$X$6,1,"")</f>
        <v/>
      </c>
      <c r="Y914" s="136">
        <f>IF(E914=$Y$6,1,"")</f>
        <v/>
      </c>
      <c r="Z914" s="136">
        <f>IF(E914=$Z$6,1,"")</f>
        <v/>
      </c>
      <c r="AA914" s="136">
        <f>IF(E914=$AA$6,1,"")</f>
        <v/>
      </c>
      <c r="AB914" s="136">
        <f>IF(E914=$AB$6,1,"")</f>
        <v/>
      </c>
      <c r="AC914" s="136">
        <f>IF(E914=$AC$6,1,"")</f>
        <v/>
      </c>
      <c r="AD914" s="136">
        <f>IF(E914=$AD$6,1,"")</f>
        <v/>
      </c>
      <c r="AE914" s="136">
        <f>IF(E914=$AE$6,1,"")</f>
        <v/>
      </c>
      <c r="AF914" s="136">
        <f>IF(E914=$AF$6,1,"")</f>
        <v/>
      </c>
      <c r="AG914" s="136">
        <f>IF(E914=$AG$6,1,"")</f>
        <v/>
      </c>
      <c r="AH914" s="136">
        <f>IF(E914=$AH$6,1,"")</f>
        <v/>
      </c>
      <c r="AI914" s="136">
        <f>IF(E914=$AI$6,1,"")</f>
        <v/>
      </c>
      <c r="AJ914" s="136">
        <f>IF(E914=$AJ$6,1,"")</f>
        <v/>
      </c>
      <c r="AK914" s="81">
        <f>IF(E914=$AK$6,1,"")</f>
        <v/>
      </c>
      <c r="AL914" s="81">
        <f>IF(E914=$AL$6,1,"")</f>
        <v/>
      </c>
      <c r="AM914" s="81">
        <f>IF(E914=$AM$6,1,"")</f>
        <v/>
      </c>
      <c r="AN914" s="81">
        <f>IF(E914=$AN$6,1,"")</f>
        <v/>
      </c>
      <c r="AO914" s="81">
        <f>IF(E914=$AO$6,1,"")</f>
        <v/>
      </c>
      <c r="AP914" s="81">
        <f>IF(E914=$AP$6,1,"")</f>
        <v/>
      </c>
      <c r="AQ914" s="81">
        <f>IF(E914=$AQ$6,1,"")</f>
        <v/>
      </c>
      <c r="AR914" s="81">
        <f>IF(E914=$AR$6,1,"")</f>
        <v/>
      </c>
      <c r="AS914" s="81" t="n"/>
    </row>
    <row r="915" ht="15.75" customHeight="1" s="80">
      <c r="A915" s="157" t="n"/>
      <c r="B915" s="124" t="n"/>
      <c r="C915" s="125" t="n"/>
      <c r="D915" s="126" t="n"/>
      <c r="E915" s="127" t="n"/>
      <c r="F915" s="128" t="n"/>
      <c r="G915" s="129">
        <f>IF(F915="","",ROUND(F915/60,2))</f>
        <v/>
      </c>
      <c r="H915" s="130" t="n"/>
      <c r="I915" s="131" t="n"/>
      <c r="J915" s="131">
        <f>IF(COUNTIF(B915:E915,"*")=0,"",IF(T915=1,"Invalid Service",IF(AND(V915=1,F915=""),"Add Session Mins",IF(AND(E915&gt;0,H915="",T915=""),"Enter Contract Rate",IF(AND(E915="IEP mtg, prep, rept",F915&gt;0),(G915*H915),IF(AND(E915&gt;0,F915&gt;0,H915&gt;0,I915=""),"Enter Travel",IF(AND(F915&gt;0,I915="Y"),(G915*H915)+$M$10,IF(AND(F915&gt;0,I915="N"),(G915*H915),H915))))))))</f>
        <v/>
      </c>
      <c r="K915" s="132">
        <f>J915</f>
        <v/>
      </c>
      <c r="L915" s="148" t="n"/>
      <c r="M915" s="148" t="n"/>
      <c r="N915" s="148" t="n"/>
      <c r="O915" s="87" t="n"/>
      <c r="P915" s="81" t="n"/>
      <c r="Q915" s="81" t="n"/>
      <c r="R915" s="81" t="n"/>
      <c r="S915" s="81" t="n"/>
      <c r="T915" s="136">
        <f>IF(AND(E915&gt;0,U915=0),1,"")</f>
        <v/>
      </c>
      <c r="U915" s="136">
        <f>SUM(X915:AR915)</f>
        <v/>
      </c>
      <c r="V915" s="136">
        <f>IF(E915=$Q$16,0,SUM(X915:AI915))</f>
        <v/>
      </c>
      <c r="W915" s="136">
        <f>SUM(AK915:AR915)</f>
        <v/>
      </c>
      <c r="X915" s="136">
        <f>IF(E915=$X$6,1,"")</f>
        <v/>
      </c>
      <c r="Y915" s="136">
        <f>IF(E915=$Y$6,1,"")</f>
        <v/>
      </c>
      <c r="Z915" s="136">
        <f>IF(E915=$Z$6,1,"")</f>
        <v/>
      </c>
      <c r="AA915" s="136">
        <f>IF(E915=$AA$6,1,"")</f>
        <v/>
      </c>
      <c r="AB915" s="136">
        <f>IF(E915=$AB$6,1,"")</f>
        <v/>
      </c>
      <c r="AC915" s="136">
        <f>IF(E915=$AC$6,1,"")</f>
        <v/>
      </c>
      <c r="AD915" s="136">
        <f>IF(E915=$AD$6,1,"")</f>
        <v/>
      </c>
      <c r="AE915" s="136">
        <f>IF(E915=$AE$6,1,"")</f>
        <v/>
      </c>
      <c r="AF915" s="136">
        <f>IF(E915=$AF$6,1,"")</f>
        <v/>
      </c>
      <c r="AG915" s="136">
        <f>IF(E915=$AG$6,1,"")</f>
        <v/>
      </c>
      <c r="AH915" s="136">
        <f>IF(E915=$AH$6,1,"")</f>
        <v/>
      </c>
      <c r="AI915" s="136">
        <f>IF(E915=$AI$6,1,"")</f>
        <v/>
      </c>
      <c r="AJ915" s="136">
        <f>IF(E915=$AJ$6,1,"")</f>
        <v/>
      </c>
      <c r="AK915" s="81">
        <f>IF(E915=$AK$6,1,"")</f>
        <v/>
      </c>
      <c r="AL915" s="81">
        <f>IF(E915=$AL$6,1,"")</f>
        <v/>
      </c>
      <c r="AM915" s="81">
        <f>IF(E915=$AM$6,1,"")</f>
        <v/>
      </c>
      <c r="AN915" s="81">
        <f>IF(E915=$AN$6,1,"")</f>
        <v/>
      </c>
      <c r="AO915" s="81">
        <f>IF(E915=$AO$6,1,"")</f>
        <v/>
      </c>
      <c r="AP915" s="81">
        <f>IF(E915=$AP$6,1,"")</f>
        <v/>
      </c>
      <c r="AQ915" s="81">
        <f>IF(E915=$AQ$6,1,"")</f>
        <v/>
      </c>
      <c r="AR915" s="81">
        <f>IF(E915=$AR$6,1,"")</f>
        <v/>
      </c>
      <c r="AS915" s="81" t="n"/>
    </row>
    <row r="916" ht="15.75" customHeight="1" s="80">
      <c r="A916" s="157" t="n"/>
      <c r="B916" s="124" t="n"/>
      <c r="C916" s="125" t="n"/>
      <c r="D916" s="126" t="n"/>
      <c r="E916" s="127" t="n"/>
      <c r="F916" s="128" t="n"/>
      <c r="G916" s="129">
        <f>IF(F916="","",ROUND(F916/60,2))</f>
        <v/>
      </c>
      <c r="H916" s="130" t="n"/>
      <c r="I916" s="131" t="n"/>
      <c r="J916" s="131">
        <f>IF(COUNTIF(B916:E916,"*")=0,"",IF(T916=1,"Invalid Service",IF(AND(V916=1,F916=""),"Add Session Mins",IF(AND(E916&gt;0,H916="",T916=""),"Enter Contract Rate",IF(AND(E916="IEP mtg, prep, rept",F916&gt;0),(G916*H916),IF(AND(E916&gt;0,F916&gt;0,H916&gt;0,I916=""),"Enter Travel",IF(AND(F916&gt;0,I916="Y"),(G916*H916)+$M$10,IF(AND(F916&gt;0,I916="N"),(G916*H916),H916))))))))</f>
        <v/>
      </c>
      <c r="K916" s="132">
        <f>J916</f>
        <v/>
      </c>
      <c r="L916" s="148" t="n"/>
      <c r="M916" s="148" t="n"/>
      <c r="N916" s="148" t="n"/>
      <c r="O916" s="87" t="n"/>
      <c r="P916" s="81" t="n"/>
      <c r="Q916" s="81" t="n"/>
      <c r="R916" s="81" t="n"/>
      <c r="S916" s="81" t="n"/>
      <c r="T916" s="136">
        <f>IF(AND(E916&gt;0,U916=0),1,"")</f>
        <v/>
      </c>
      <c r="U916" s="136">
        <f>SUM(X916:AR916)</f>
        <v/>
      </c>
      <c r="V916" s="136">
        <f>IF(E916=$Q$16,0,SUM(X916:AI916))</f>
        <v/>
      </c>
      <c r="W916" s="136">
        <f>SUM(AK916:AR916)</f>
        <v/>
      </c>
      <c r="X916" s="136">
        <f>IF(E916=$X$6,1,"")</f>
        <v/>
      </c>
      <c r="Y916" s="136">
        <f>IF(E916=$Y$6,1,"")</f>
        <v/>
      </c>
      <c r="Z916" s="136">
        <f>IF(E916=$Z$6,1,"")</f>
        <v/>
      </c>
      <c r="AA916" s="136">
        <f>IF(E916=$AA$6,1,"")</f>
        <v/>
      </c>
      <c r="AB916" s="136">
        <f>IF(E916=$AB$6,1,"")</f>
        <v/>
      </c>
      <c r="AC916" s="136">
        <f>IF(E916=$AC$6,1,"")</f>
        <v/>
      </c>
      <c r="AD916" s="136">
        <f>IF(E916=$AD$6,1,"")</f>
        <v/>
      </c>
      <c r="AE916" s="136">
        <f>IF(E916=$AE$6,1,"")</f>
        <v/>
      </c>
      <c r="AF916" s="136">
        <f>IF(E916=$AF$6,1,"")</f>
        <v/>
      </c>
      <c r="AG916" s="136">
        <f>IF(E916=$AG$6,1,"")</f>
        <v/>
      </c>
      <c r="AH916" s="136">
        <f>IF(E916=$AH$6,1,"")</f>
        <v/>
      </c>
      <c r="AI916" s="136">
        <f>IF(E916=$AI$6,1,"")</f>
        <v/>
      </c>
      <c r="AJ916" s="136">
        <f>IF(E916=$AJ$6,1,"")</f>
        <v/>
      </c>
      <c r="AK916" s="81">
        <f>IF(E916=$AK$6,1,"")</f>
        <v/>
      </c>
      <c r="AL916" s="81">
        <f>IF(E916=$AL$6,1,"")</f>
        <v/>
      </c>
      <c r="AM916" s="81">
        <f>IF(E916=$AM$6,1,"")</f>
        <v/>
      </c>
      <c r="AN916" s="81">
        <f>IF(E916=$AN$6,1,"")</f>
        <v/>
      </c>
      <c r="AO916" s="81">
        <f>IF(E916=$AO$6,1,"")</f>
        <v/>
      </c>
      <c r="AP916" s="81">
        <f>IF(E916=$AP$6,1,"")</f>
        <v/>
      </c>
      <c r="AQ916" s="81">
        <f>IF(E916=$AQ$6,1,"")</f>
        <v/>
      </c>
      <c r="AR916" s="81">
        <f>IF(E916=$AR$6,1,"")</f>
        <v/>
      </c>
      <c r="AS916" s="81" t="n"/>
    </row>
    <row r="917" ht="15.75" customHeight="1" s="80">
      <c r="A917" s="157" t="n"/>
      <c r="B917" s="124" t="n"/>
      <c r="C917" s="125" t="n"/>
      <c r="D917" s="126" t="n"/>
      <c r="E917" s="127" t="n"/>
      <c r="F917" s="128" t="n"/>
      <c r="G917" s="129">
        <f>IF(F917="","",ROUND(F917/60,2))</f>
        <v/>
      </c>
      <c r="H917" s="130" t="n"/>
      <c r="I917" s="131" t="n"/>
      <c r="J917" s="131">
        <f>IF(COUNTIF(B917:E917,"*")=0,"",IF(T917=1,"Invalid Service",IF(AND(V917=1,F917=""),"Add Session Mins",IF(AND(E917&gt;0,H917="",T917=""),"Enter Contract Rate",IF(AND(E917="IEP mtg, prep, rept",F917&gt;0),(G917*H917),IF(AND(E917&gt;0,F917&gt;0,H917&gt;0,I917=""),"Enter Travel",IF(AND(F917&gt;0,I917="Y"),(G917*H917)+$M$10,IF(AND(F917&gt;0,I917="N"),(G917*H917),H917))))))))</f>
        <v/>
      </c>
      <c r="K917" s="132">
        <f>J917</f>
        <v/>
      </c>
      <c r="L917" s="148" t="n"/>
      <c r="M917" s="148" t="n"/>
      <c r="N917" s="148" t="n"/>
      <c r="O917" s="87" t="n"/>
      <c r="P917" s="81" t="n"/>
      <c r="Q917" s="81" t="n"/>
      <c r="R917" s="81" t="n"/>
      <c r="S917" s="81" t="n"/>
      <c r="T917" s="136">
        <f>IF(AND(E917&gt;0,U917=0),1,"")</f>
        <v/>
      </c>
      <c r="U917" s="136">
        <f>SUM(X917:AR917)</f>
        <v/>
      </c>
      <c r="V917" s="136">
        <f>IF(E917=$Q$16,0,SUM(X917:AI917))</f>
        <v/>
      </c>
      <c r="W917" s="136">
        <f>SUM(AK917:AR917)</f>
        <v/>
      </c>
      <c r="X917" s="136">
        <f>IF(E917=$X$6,1,"")</f>
        <v/>
      </c>
      <c r="Y917" s="136">
        <f>IF(E917=$Y$6,1,"")</f>
        <v/>
      </c>
      <c r="Z917" s="136">
        <f>IF(E917=$Z$6,1,"")</f>
        <v/>
      </c>
      <c r="AA917" s="136">
        <f>IF(E917=$AA$6,1,"")</f>
        <v/>
      </c>
      <c r="AB917" s="136">
        <f>IF(E917=$AB$6,1,"")</f>
        <v/>
      </c>
      <c r="AC917" s="136">
        <f>IF(E917=$AC$6,1,"")</f>
        <v/>
      </c>
      <c r="AD917" s="136">
        <f>IF(E917=$AD$6,1,"")</f>
        <v/>
      </c>
      <c r="AE917" s="136">
        <f>IF(E917=$AE$6,1,"")</f>
        <v/>
      </c>
      <c r="AF917" s="136">
        <f>IF(E917=$AF$6,1,"")</f>
        <v/>
      </c>
      <c r="AG917" s="136">
        <f>IF(E917=$AG$6,1,"")</f>
        <v/>
      </c>
      <c r="AH917" s="136">
        <f>IF(E917=$AH$6,1,"")</f>
        <v/>
      </c>
      <c r="AI917" s="136">
        <f>IF(E917=$AI$6,1,"")</f>
        <v/>
      </c>
      <c r="AJ917" s="136">
        <f>IF(E917=$AJ$6,1,"")</f>
        <v/>
      </c>
      <c r="AK917" s="81">
        <f>IF(E917=$AK$6,1,"")</f>
        <v/>
      </c>
      <c r="AL917" s="81">
        <f>IF(E917=$AL$6,1,"")</f>
        <v/>
      </c>
      <c r="AM917" s="81">
        <f>IF(E917=$AM$6,1,"")</f>
        <v/>
      </c>
      <c r="AN917" s="81">
        <f>IF(E917=$AN$6,1,"")</f>
        <v/>
      </c>
      <c r="AO917" s="81">
        <f>IF(E917=$AO$6,1,"")</f>
        <v/>
      </c>
      <c r="AP917" s="81">
        <f>IF(E917=$AP$6,1,"")</f>
        <v/>
      </c>
      <c r="AQ917" s="81">
        <f>IF(E917=$AQ$6,1,"")</f>
        <v/>
      </c>
      <c r="AR917" s="81">
        <f>IF(E917=$AR$6,1,"")</f>
        <v/>
      </c>
      <c r="AS917" s="81" t="n"/>
    </row>
    <row r="918" ht="15.75" customHeight="1" s="80">
      <c r="A918" s="157" t="n"/>
      <c r="B918" s="124" t="n"/>
      <c r="C918" s="125" t="n"/>
      <c r="D918" s="126" t="n"/>
      <c r="E918" s="127" t="n"/>
      <c r="F918" s="128" t="n"/>
      <c r="G918" s="129">
        <f>IF(F918="","",ROUND(F918/60,2))</f>
        <v/>
      </c>
      <c r="H918" s="130" t="n"/>
      <c r="I918" s="131" t="n"/>
      <c r="J918" s="131">
        <f>IF(COUNTIF(B918:E918,"*")=0,"",IF(T918=1,"Invalid Service",IF(AND(V918=1,F918=""),"Add Session Mins",IF(AND(E918&gt;0,H918="",T918=""),"Enter Contract Rate",IF(AND(E918="IEP mtg, prep, rept",F918&gt;0),(G918*H918),IF(AND(E918&gt;0,F918&gt;0,H918&gt;0,I918=""),"Enter Travel",IF(AND(F918&gt;0,I918="Y"),(G918*H918)+$M$10,IF(AND(F918&gt;0,I918="N"),(G918*H918),H918))))))))</f>
        <v/>
      </c>
      <c r="K918" s="132">
        <f>J918</f>
        <v/>
      </c>
      <c r="L918" s="148" t="n"/>
      <c r="M918" s="148" t="n"/>
      <c r="N918" s="148" t="n"/>
      <c r="O918" s="87" t="n"/>
      <c r="P918" s="81" t="n"/>
      <c r="Q918" s="81" t="n"/>
      <c r="R918" s="81" t="n"/>
      <c r="S918" s="81" t="n"/>
      <c r="T918" s="136">
        <f>IF(AND(E918&gt;0,U918=0),1,"")</f>
        <v/>
      </c>
      <c r="U918" s="136">
        <f>SUM(X918:AR918)</f>
        <v/>
      </c>
      <c r="V918" s="136">
        <f>IF(E918=$Q$16,0,SUM(X918:AI918))</f>
        <v/>
      </c>
      <c r="W918" s="136">
        <f>SUM(AK918:AR918)</f>
        <v/>
      </c>
      <c r="X918" s="136">
        <f>IF(E918=$X$6,1,"")</f>
        <v/>
      </c>
      <c r="Y918" s="136">
        <f>IF(E918=$Y$6,1,"")</f>
        <v/>
      </c>
      <c r="Z918" s="136">
        <f>IF(E918=$Z$6,1,"")</f>
        <v/>
      </c>
      <c r="AA918" s="136">
        <f>IF(E918=$AA$6,1,"")</f>
        <v/>
      </c>
      <c r="AB918" s="136">
        <f>IF(E918=$AB$6,1,"")</f>
        <v/>
      </c>
      <c r="AC918" s="136">
        <f>IF(E918=$AC$6,1,"")</f>
        <v/>
      </c>
      <c r="AD918" s="136">
        <f>IF(E918=$AD$6,1,"")</f>
        <v/>
      </c>
      <c r="AE918" s="136">
        <f>IF(E918=$AE$6,1,"")</f>
        <v/>
      </c>
      <c r="AF918" s="136">
        <f>IF(E918=$AF$6,1,"")</f>
        <v/>
      </c>
      <c r="AG918" s="136">
        <f>IF(E918=$AG$6,1,"")</f>
        <v/>
      </c>
      <c r="AH918" s="136">
        <f>IF(E918=$AH$6,1,"")</f>
        <v/>
      </c>
      <c r="AI918" s="136">
        <f>IF(E918=$AI$6,1,"")</f>
        <v/>
      </c>
      <c r="AJ918" s="136">
        <f>IF(E918=$AJ$6,1,"")</f>
        <v/>
      </c>
      <c r="AK918" s="81">
        <f>IF(E918=$AK$6,1,"")</f>
        <v/>
      </c>
      <c r="AL918" s="81">
        <f>IF(E918=$AL$6,1,"")</f>
        <v/>
      </c>
      <c r="AM918" s="81">
        <f>IF(E918=$AM$6,1,"")</f>
        <v/>
      </c>
      <c r="AN918" s="81">
        <f>IF(E918=$AN$6,1,"")</f>
        <v/>
      </c>
      <c r="AO918" s="81">
        <f>IF(E918=$AO$6,1,"")</f>
        <v/>
      </c>
      <c r="AP918" s="81">
        <f>IF(E918=$AP$6,1,"")</f>
        <v/>
      </c>
      <c r="AQ918" s="81">
        <f>IF(E918=$AQ$6,1,"")</f>
        <v/>
      </c>
      <c r="AR918" s="81">
        <f>IF(E918=$AR$6,1,"")</f>
        <v/>
      </c>
      <c r="AS918" s="81" t="n"/>
    </row>
    <row r="919" ht="15.75" customHeight="1" s="80">
      <c r="A919" s="157" t="n"/>
      <c r="B919" s="124" t="n"/>
      <c r="C919" s="125" t="n"/>
      <c r="D919" s="126" t="n"/>
      <c r="E919" s="127" t="n"/>
      <c r="F919" s="128" t="n"/>
      <c r="G919" s="129">
        <f>IF(F919="","",ROUND(F919/60,2))</f>
        <v/>
      </c>
      <c r="H919" s="130" t="n"/>
      <c r="I919" s="131" t="n"/>
      <c r="J919" s="131">
        <f>IF(COUNTIF(B919:E919,"*")=0,"",IF(T919=1,"Invalid Service",IF(AND(V919=1,F919=""),"Add Session Mins",IF(AND(E919&gt;0,H919="",T919=""),"Enter Contract Rate",IF(AND(E919="IEP mtg, prep, rept",F919&gt;0),(G919*H919),IF(AND(E919&gt;0,F919&gt;0,H919&gt;0,I919=""),"Enter Travel",IF(AND(F919&gt;0,I919="Y"),(G919*H919)+$M$10,IF(AND(F919&gt;0,I919="N"),(G919*H919),H919))))))))</f>
        <v/>
      </c>
      <c r="K919" s="132">
        <f>J919</f>
        <v/>
      </c>
      <c r="L919" s="148" t="n"/>
      <c r="M919" s="148" t="n"/>
      <c r="N919" s="148" t="n"/>
      <c r="O919" s="87" t="n"/>
      <c r="P919" s="81" t="n"/>
      <c r="Q919" s="81" t="n"/>
      <c r="R919" s="81" t="n"/>
      <c r="S919" s="81" t="n"/>
      <c r="T919" s="136">
        <f>IF(AND(E919&gt;0,U919=0),1,"")</f>
        <v/>
      </c>
      <c r="U919" s="136">
        <f>SUM(X919:AR919)</f>
        <v/>
      </c>
      <c r="V919" s="136">
        <f>IF(E919=$Q$16,0,SUM(X919:AI919))</f>
        <v/>
      </c>
      <c r="W919" s="136">
        <f>SUM(AK919:AR919)</f>
        <v/>
      </c>
      <c r="X919" s="136">
        <f>IF(E919=$X$6,1,"")</f>
        <v/>
      </c>
      <c r="Y919" s="136">
        <f>IF(E919=$Y$6,1,"")</f>
        <v/>
      </c>
      <c r="Z919" s="136">
        <f>IF(E919=$Z$6,1,"")</f>
        <v/>
      </c>
      <c r="AA919" s="136">
        <f>IF(E919=$AA$6,1,"")</f>
        <v/>
      </c>
      <c r="AB919" s="136">
        <f>IF(E919=$AB$6,1,"")</f>
        <v/>
      </c>
      <c r="AC919" s="136">
        <f>IF(E919=$AC$6,1,"")</f>
        <v/>
      </c>
      <c r="AD919" s="136">
        <f>IF(E919=$AD$6,1,"")</f>
        <v/>
      </c>
      <c r="AE919" s="136">
        <f>IF(E919=$AE$6,1,"")</f>
        <v/>
      </c>
      <c r="AF919" s="136">
        <f>IF(E919=$AF$6,1,"")</f>
        <v/>
      </c>
      <c r="AG919" s="136">
        <f>IF(E919=$AG$6,1,"")</f>
        <v/>
      </c>
      <c r="AH919" s="136">
        <f>IF(E919=$AH$6,1,"")</f>
        <v/>
      </c>
      <c r="AI919" s="136">
        <f>IF(E919=$AI$6,1,"")</f>
        <v/>
      </c>
      <c r="AJ919" s="136">
        <f>IF(E919=$AJ$6,1,"")</f>
        <v/>
      </c>
      <c r="AK919" s="81">
        <f>IF(E919=$AK$6,1,"")</f>
        <v/>
      </c>
      <c r="AL919" s="81">
        <f>IF(E919=$AL$6,1,"")</f>
        <v/>
      </c>
      <c r="AM919" s="81">
        <f>IF(E919=$AM$6,1,"")</f>
        <v/>
      </c>
      <c r="AN919" s="81">
        <f>IF(E919=$AN$6,1,"")</f>
        <v/>
      </c>
      <c r="AO919" s="81">
        <f>IF(E919=$AO$6,1,"")</f>
        <v/>
      </c>
      <c r="AP919" s="81">
        <f>IF(E919=$AP$6,1,"")</f>
        <v/>
      </c>
      <c r="AQ919" s="81">
        <f>IF(E919=$AQ$6,1,"")</f>
        <v/>
      </c>
      <c r="AR919" s="81">
        <f>IF(E919=$AR$6,1,"")</f>
        <v/>
      </c>
      <c r="AS919" s="81" t="n"/>
    </row>
    <row r="920" ht="15.75" customHeight="1" s="80">
      <c r="A920" s="157" t="n"/>
      <c r="B920" s="124" t="n"/>
      <c r="C920" s="125" t="n"/>
      <c r="D920" s="126" t="n"/>
      <c r="E920" s="127" t="n"/>
      <c r="F920" s="128" t="n"/>
      <c r="G920" s="129">
        <f>IF(F920="","",ROUND(F920/60,2))</f>
        <v/>
      </c>
      <c r="H920" s="130" t="n"/>
      <c r="I920" s="131" t="n"/>
      <c r="J920" s="131">
        <f>IF(COUNTIF(B920:E920,"*")=0,"",IF(T920=1,"Invalid Service",IF(AND(V920=1,F920=""),"Add Session Mins",IF(AND(E920&gt;0,H920="",T920=""),"Enter Contract Rate",IF(AND(E920="IEP mtg, prep, rept",F920&gt;0),(G920*H920),IF(AND(E920&gt;0,F920&gt;0,H920&gt;0,I920=""),"Enter Travel",IF(AND(F920&gt;0,I920="Y"),(G920*H920)+$M$10,IF(AND(F920&gt;0,I920="N"),(G920*H920),H920))))))))</f>
        <v/>
      </c>
      <c r="K920" s="132">
        <f>J920</f>
        <v/>
      </c>
      <c r="L920" s="148" t="n"/>
      <c r="M920" s="148" t="n"/>
      <c r="N920" s="148" t="n"/>
      <c r="O920" s="87" t="n"/>
      <c r="P920" s="81" t="n"/>
      <c r="Q920" s="81" t="n"/>
      <c r="R920" s="81" t="n"/>
      <c r="S920" s="81" t="n"/>
      <c r="T920" s="136">
        <f>IF(AND(E920&gt;0,U920=0),1,"")</f>
        <v/>
      </c>
      <c r="U920" s="136">
        <f>SUM(X920:AR920)</f>
        <v/>
      </c>
      <c r="V920" s="136">
        <f>IF(E920=$Q$16,0,SUM(X920:AI920))</f>
        <v/>
      </c>
      <c r="W920" s="136">
        <f>SUM(AK920:AR920)</f>
        <v/>
      </c>
      <c r="X920" s="136">
        <f>IF(E920=$X$6,1,"")</f>
        <v/>
      </c>
      <c r="Y920" s="136">
        <f>IF(E920=$Y$6,1,"")</f>
        <v/>
      </c>
      <c r="Z920" s="136">
        <f>IF(E920=$Z$6,1,"")</f>
        <v/>
      </c>
      <c r="AA920" s="136">
        <f>IF(E920=$AA$6,1,"")</f>
        <v/>
      </c>
      <c r="AB920" s="136">
        <f>IF(E920=$AB$6,1,"")</f>
        <v/>
      </c>
      <c r="AC920" s="136">
        <f>IF(E920=$AC$6,1,"")</f>
        <v/>
      </c>
      <c r="AD920" s="136">
        <f>IF(E920=$AD$6,1,"")</f>
        <v/>
      </c>
      <c r="AE920" s="136">
        <f>IF(E920=$AE$6,1,"")</f>
        <v/>
      </c>
      <c r="AF920" s="136">
        <f>IF(E920=$AF$6,1,"")</f>
        <v/>
      </c>
      <c r="AG920" s="136">
        <f>IF(E920=$AG$6,1,"")</f>
        <v/>
      </c>
      <c r="AH920" s="136">
        <f>IF(E920=$AH$6,1,"")</f>
        <v/>
      </c>
      <c r="AI920" s="136">
        <f>IF(E920=$AI$6,1,"")</f>
        <v/>
      </c>
      <c r="AJ920" s="136">
        <f>IF(E920=$AJ$6,1,"")</f>
        <v/>
      </c>
      <c r="AK920" s="81">
        <f>IF(E920=$AK$6,1,"")</f>
        <v/>
      </c>
      <c r="AL920" s="81">
        <f>IF(E920=$AL$6,1,"")</f>
        <v/>
      </c>
      <c r="AM920" s="81">
        <f>IF(E920=$AM$6,1,"")</f>
        <v/>
      </c>
      <c r="AN920" s="81">
        <f>IF(E920=$AN$6,1,"")</f>
        <v/>
      </c>
      <c r="AO920" s="81">
        <f>IF(E920=$AO$6,1,"")</f>
        <v/>
      </c>
      <c r="AP920" s="81">
        <f>IF(E920=$AP$6,1,"")</f>
        <v/>
      </c>
      <c r="AQ920" s="81">
        <f>IF(E920=$AQ$6,1,"")</f>
        <v/>
      </c>
      <c r="AR920" s="81">
        <f>IF(E920=$AR$6,1,"")</f>
        <v/>
      </c>
      <c r="AS920" s="81" t="n"/>
    </row>
    <row r="921" ht="15.75" customHeight="1" s="80">
      <c r="A921" s="157" t="n"/>
      <c r="B921" s="124" t="n"/>
      <c r="C921" s="125" t="n"/>
      <c r="D921" s="126" t="n"/>
      <c r="E921" s="127" t="n"/>
      <c r="F921" s="128" t="n"/>
      <c r="G921" s="129">
        <f>IF(F921="","",ROUND(F921/60,2))</f>
        <v/>
      </c>
      <c r="H921" s="130" t="n"/>
      <c r="I921" s="131" t="n"/>
      <c r="J921" s="131">
        <f>IF(COUNTIF(B921:E921,"*")=0,"",IF(T921=1,"Invalid Service",IF(AND(V921=1,F921=""),"Add Session Mins",IF(AND(E921&gt;0,H921="",T921=""),"Enter Contract Rate",IF(AND(E921="IEP mtg, prep, rept",F921&gt;0),(G921*H921),IF(AND(E921&gt;0,F921&gt;0,H921&gt;0,I921=""),"Enter Travel",IF(AND(F921&gt;0,I921="Y"),(G921*H921)+$M$10,IF(AND(F921&gt;0,I921="N"),(G921*H921),H921))))))))</f>
        <v/>
      </c>
      <c r="K921" s="132">
        <f>J921</f>
        <v/>
      </c>
      <c r="L921" s="148" t="n"/>
      <c r="M921" s="148" t="n"/>
      <c r="N921" s="148" t="n"/>
      <c r="O921" s="87" t="n"/>
      <c r="P921" s="81" t="n"/>
      <c r="Q921" s="81" t="n"/>
      <c r="R921" s="81" t="n"/>
      <c r="S921" s="81" t="n"/>
      <c r="T921" s="136">
        <f>IF(AND(E921&gt;0,U921=0),1,"")</f>
        <v/>
      </c>
      <c r="U921" s="136">
        <f>SUM(X921:AR921)</f>
        <v/>
      </c>
      <c r="V921" s="136">
        <f>IF(E921=$Q$16,0,SUM(X921:AI921))</f>
        <v/>
      </c>
      <c r="W921" s="136">
        <f>SUM(AK921:AR921)</f>
        <v/>
      </c>
      <c r="X921" s="136">
        <f>IF(E921=$X$6,1,"")</f>
        <v/>
      </c>
      <c r="Y921" s="136">
        <f>IF(E921=$Y$6,1,"")</f>
        <v/>
      </c>
      <c r="Z921" s="136">
        <f>IF(E921=$Z$6,1,"")</f>
        <v/>
      </c>
      <c r="AA921" s="136">
        <f>IF(E921=$AA$6,1,"")</f>
        <v/>
      </c>
      <c r="AB921" s="136">
        <f>IF(E921=$AB$6,1,"")</f>
        <v/>
      </c>
      <c r="AC921" s="136">
        <f>IF(E921=$AC$6,1,"")</f>
        <v/>
      </c>
      <c r="AD921" s="136">
        <f>IF(E921=$AD$6,1,"")</f>
        <v/>
      </c>
      <c r="AE921" s="136">
        <f>IF(E921=$AE$6,1,"")</f>
        <v/>
      </c>
      <c r="AF921" s="136">
        <f>IF(E921=$AF$6,1,"")</f>
        <v/>
      </c>
      <c r="AG921" s="136">
        <f>IF(E921=$AG$6,1,"")</f>
        <v/>
      </c>
      <c r="AH921" s="136">
        <f>IF(E921=$AH$6,1,"")</f>
        <v/>
      </c>
      <c r="AI921" s="136">
        <f>IF(E921=$AI$6,1,"")</f>
        <v/>
      </c>
      <c r="AJ921" s="136">
        <f>IF(E921=$AJ$6,1,"")</f>
        <v/>
      </c>
      <c r="AK921" s="81">
        <f>IF(E921=$AK$6,1,"")</f>
        <v/>
      </c>
      <c r="AL921" s="81">
        <f>IF(E921=$AL$6,1,"")</f>
        <v/>
      </c>
      <c r="AM921" s="81">
        <f>IF(E921=$AM$6,1,"")</f>
        <v/>
      </c>
      <c r="AN921" s="81">
        <f>IF(E921=$AN$6,1,"")</f>
        <v/>
      </c>
      <c r="AO921" s="81">
        <f>IF(E921=$AO$6,1,"")</f>
        <v/>
      </c>
      <c r="AP921" s="81">
        <f>IF(E921=$AP$6,1,"")</f>
        <v/>
      </c>
      <c r="AQ921" s="81">
        <f>IF(E921=$AQ$6,1,"")</f>
        <v/>
      </c>
      <c r="AR921" s="81">
        <f>IF(E921=$AR$6,1,"")</f>
        <v/>
      </c>
      <c r="AS921" s="81" t="n"/>
    </row>
    <row r="922" ht="15.75" customHeight="1" s="80">
      <c r="A922" s="157" t="n"/>
      <c r="B922" s="124" t="n"/>
      <c r="C922" s="125" t="n"/>
      <c r="D922" s="126" t="n"/>
      <c r="E922" s="127" t="n"/>
      <c r="F922" s="128" t="n"/>
      <c r="G922" s="129">
        <f>IF(F922="","",ROUND(F922/60,2))</f>
        <v/>
      </c>
      <c r="H922" s="130" t="n"/>
      <c r="I922" s="131" t="n"/>
      <c r="J922" s="131">
        <f>IF(COUNTIF(B922:E922,"*")=0,"",IF(T922=1,"Invalid Service",IF(AND(V922=1,F922=""),"Add Session Mins",IF(AND(E922&gt;0,H922="",T922=""),"Enter Contract Rate",IF(AND(E922="IEP mtg, prep, rept",F922&gt;0),(G922*H922),IF(AND(E922&gt;0,F922&gt;0,H922&gt;0,I922=""),"Enter Travel",IF(AND(F922&gt;0,I922="Y"),(G922*H922)+$M$10,IF(AND(F922&gt;0,I922="N"),(G922*H922),H922))))))))</f>
        <v/>
      </c>
      <c r="K922" s="132">
        <f>J922</f>
        <v/>
      </c>
      <c r="L922" s="148" t="n"/>
      <c r="M922" s="148" t="n"/>
      <c r="N922" s="148" t="n"/>
      <c r="O922" s="87" t="n"/>
      <c r="P922" s="81" t="n"/>
      <c r="Q922" s="81" t="n"/>
      <c r="R922" s="81" t="n"/>
      <c r="S922" s="81" t="n"/>
      <c r="T922" s="136">
        <f>IF(AND(E922&gt;0,U922=0),1,"")</f>
        <v/>
      </c>
      <c r="U922" s="136">
        <f>SUM(X922:AR922)</f>
        <v/>
      </c>
      <c r="V922" s="136">
        <f>IF(E922=$Q$16,0,SUM(X922:AI922))</f>
        <v/>
      </c>
      <c r="W922" s="136">
        <f>SUM(AK922:AR922)</f>
        <v/>
      </c>
      <c r="X922" s="136">
        <f>IF(E922=$X$6,1,"")</f>
        <v/>
      </c>
      <c r="Y922" s="136">
        <f>IF(E922=$Y$6,1,"")</f>
        <v/>
      </c>
      <c r="Z922" s="136">
        <f>IF(E922=$Z$6,1,"")</f>
        <v/>
      </c>
      <c r="AA922" s="136">
        <f>IF(E922=$AA$6,1,"")</f>
        <v/>
      </c>
      <c r="AB922" s="136">
        <f>IF(E922=$AB$6,1,"")</f>
        <v/>
      </c>
      <c r="AC922" s="136">
        <f>IF(E922=$AC$6,1,"")</f>
        <v/>
      </c>
      <c r="AD922" s="136">
        <f>IF(E922=$AD$6,1,"")</f>
        <v/>
      </c>
      <c r="AE922" s="136">
        <f>IF(E922=$AE$6,1,"")</f>
        <v/>
      </c>
      <c r="AF922" s="136">
        <f>IF(E922=$AF$6,1,"")</f>
        <v/>
      </c>
      <c r="AG922" s="136">
        <f>IF(E922=$AG$6,1,"")</f>
        <v/>
      </c>
      <c r="AH922" s="136">
        <f>IF(E922=$AH$6,1,"")</f>
        <v/>
      </c>
      <c r="AI922" s="136">
        <f>IF(E922=$AI$6,1,"")</f>
        <v/>
      </c>
      <c r="AJ922" s="136">
        <f>IF(E922=$AJ$6,1,"")</f>
        <v/>
      </c>
      <c r="AK922" s="81">
        <f>IF(E922=$AK$6,1,"")</f>
        <v/>
      </c>
      <c r="AL922" s="81">
        <f>IF(E922=$AL$6,1,"")</f>
        <v/>
      </c>
      <c r="AM922" s="81">
        <f>IF(E922=$AM$6,1,"")</f>
        <v/>
      </c>
      <c r="AN922" s="81">
        <f>IF(E922=$AN$6,1,"")</f>
        <v/>
      </c>
      <c r="AO922" s="81">
        <f>IF(E922=$AO$6,1,"")</f>
        <v/>
      </c>
      <c r="AP922" s="81">
        <f>IF(E922=$AP$6,1,"")</f>
        <v/>
      </c>
      <c r="AQ922" s="81">
        <f>IF(E922=$AQ$6,1,"")</f>
        <v/>
      </c>
      <c r="AR922" s="81">
        <f>IF(E922=$AR$6,1,"")</f>
        <v/>
      </c>
      <c r="AS922" s="81" t="n"/>
    </row>
    <row r="923" ht="15.75" customHeight="1" s="80">
      <c r="A923" s="157" t="n"/>
      <c r="B923" s="124" t="n"/>
      <c r="C923" s="125" t="n"/>
      <c r="D923" s="126" t="n"/>
      <c r="E923" s="127" t="n"/>
      <c r="F923" s="128" t="n"/>
      <c r="G923" s="129">
        <f>IF(F923="","",ROUND(F923/60,2))</f>
        <v/>
      </c>
      <c r="H923" s="130" t="n"/>
      <c r="I923" s="131" t="n"/>
      <c r="J923" s="131">
        <f>IF(COUNTIF(B923:E923,"*")=0,"",IF(T923=1,"Invalid Service",IF(AND(V923=1,F923=""),"Add Session Mins",IF(AND(E923&gt;0,H923="",T923=""),"Enter Contract Rate",IF(AND(E923="IEP mtg, prep, rept",F923&gt;0),(G923*H923),IF(AND(E923&gt;0,F923&gt;0,H923&gt;0,I923=""),"Enter Travel",IF(AND(F923&gt;0,I923="Y"),(G923*H923)+$M$10,IF(AND(F923&gt;0,I923="N"),(G923*H923),H923))))))))</f>
        <v/>
      </c>
      <c r="K923" s="132">
        <f>J923</f>
        <v/>
      </c>
      <c r="L923" s="148" t="n"/>
      <c r="M923" s="148" t="n"/>
      <c r="N923" s="148" t="n"/>
      <c r="O923" s="87" t="n"/>
      <c r="P923" s="81" t="n"/>
      <c r="Q923" s="81" t="n"/>
      <c r="R923" s="81" t="n"/>
      <c r="S923" s="81" t="n"/>
      <c r="T923" s="136">
        <f>IF(AND(E923&gt;0,U923=0),1,"")</f>
        <v/>
      </c>
      <c r="U923" s="136">
        <f>SUM(X923:AR923)</f>
        <v/>
      </c>
      <c r="V923" s="136">
        <f>IF(E923=$Q$16,0,SUM(X923:AI923))</f>
        <v/>
      </c>
      <c r="W923" s="136">
        <f>SUM(AK923:AR923)</f>
        <v/>
      </c>
      <c r="X923" s="136">
        <f>IF(E923=$X$6,1,"")</f>
        <v/>
      </c>
      <c r="Y923" s="136">
        <f>IF(E923=$Y$6,1,"")</f>
        <v/>
      </c>
      <c r="Z923" s="136">
        <f>IF(E923=$Z$6,1,"")</f>
        <v/>
      </c>
      <c r="AA923" s="136">
        <f>IF(E923=$AA$6,1,"")</f>
        <v/>
      </c>
      <c r="AB923" s="136">
        <f>IF(E923=$AB$6,1,"")</f>
        <v/>
      </c>
      <c r="AC923" s="136">
        <f>IF(E923=$AC$6,1,"")</f>
        <v/>
      </c>
      <c r="AD923" s="136">
        <f>IF(E923=$AD$6,1,"")</f>
        <v/>
      </c>
      <c r="AE923" s="136">
        <f>IF(E923=$AE$6,1,"")</f>
        <v/>
      </c>
      <c r="AF923" s="136">
        <f>IF(E923=$AF$6,1,"")</f>
        <v/>
      </c>
      <c r="AG923" s="136">
        <f>IF(E923=$AG$6,1,"")</f>
        <v/>
      </c>
      <c r="AH923" s="136">
        <f>IF(E923=$AH$6,1,"")</f>
        <v/>
      </c>
      <c r="AI923" s="136">
        <f>IF(E923=$AI$6,1,"")</f>
        <v/>
      </c>
      <c r="AJ923" s="136">
        <f>IF(E923=$AJ$6,1,"")</f>
        <v/>
      </c>
      <c r="AK923" s="81">
        <f>IF(E923=$AK$6,1,"")</f>
        <v/>
      </c>
      <c r="AL923" s="81">
        <f>IF(E923=$AL$6,1,"")</f>
        <v/>
      </c>
      <c r="AM923" s="81">
        <f>IF(E923=$AM$6,1,"")</f>
        <v/>
      </c>
      <c r="AN923" s="81">
        <f>IF(E923=$AN$6,1,"")</f>
        <v/>
      </c>
      <c r="AO923" s="81">
        <f>IF(E923=$AO$6,1,"")</f>
        <v/>
      </c>
      <c r="AP923" s="81">
        <f>IF(E923=$AP$6,1,"")</f>
        <v/>
      </c>
      <c r="AQ923" s="81">
        <f>IF(E923=$AQ$6,1,"")</f>
        <v/>
      </c>
      <c r="AR923" s="81">
        <f>IF(E923=$AR$6,1,"")</f>
        <v/>
      </c>
      <c r="AS923" s="81" t="n"/>
    </row>
    <row r="924" ht="15.75" customHeight="1" s="80">
      <c r="A924" s="157" t="n"/>
      <c r="B924" s="124" t="n"/>
      <c r="C924" s="125" t="n"/>
      <c r="D924" s="126" t="n"/>
      <c r="E924" s="127" t="n"/>
      <c r="F924" s="128" t="n"/>
      <c r="G924" s="129">
        <f>IF(F924="","",ROUND(F924/60,2))</f>
        <v/>
      </c>
      <c r="H924" s="130" t="n"/>
      <c r="I924" s="131" t="n"/>
      <c r="J924" s="131">
        <f>IF(COUNTIF(B924:E924,"*")=0,"",IF(T924=1,"Invalid Service",IF(AND(V924=1,F924=""),"Add Session Mins",IF(AND(E924&gt;0,H924="",T924=""),"Enter Contract Rate",IF(AND(E924="IEP mtg, prep, rept",F924&gt;0),(G924*H924),IF(AND(E924&gt;0,F924&gt;0,H924&gt;0,I924=""),"Enter Travel",IF(AND(F924&gt;0,I924="Y"),(G924*H924)+$M$10,IF(AND(F924&gt;0,I924="N"),(G924*H924),H924))))))))</f>
        <v/>
      </c>
      <c r="K924" s="132">
        <f>J924</f>
        <v/>
      </c>
      <c r="L924" s="148" t="n"/>
      <c r="M924" s="148" t="n"/>
      <c r="N924" s="148" t="n"/>
      <c r="O924" s="87" t="n"/>
      <c r="P924" s="81" t="n"/>
      <c r="Q924" s="81" t="n"/>
      <c r="R924" s="81" t="n"/>
      <c r="S924" s="81" t="n"/>
      <c r="T924" s="136">
        <f>IF(AND(E924&gt;0,U924=0),1,"")</f>
        <v/>
      </c>
      <c r="U924" s="136">
        <f>SUM(X924:AR924)</f>
        <v/>
      </c>
      <c r="V924" s="136">
        <f>IF(E924=$Q$16,0,SUM(X924:AI924))</f>
        <v/>
      </c>
      <c r="W924" s="136">
        <f>SUM(AK924:AR924)</f>
        <v/>
      </c>
      <c r="X924" s="136">
        <f>IF(E924=$X$6,1,"")</f>
        <v/>
      </c>
      <c r="Y924" s="136">
        <f>IF(E924=$Y$6,1,"")</f>
        <v/>
      </c>
      <c r="Z924" s="136">
        <f>IF(E924=$Z$6,1,"")</f>
        <v/>
      </c>
      <c r="AA924" s="136">
        <f>IF(E924=$AA$6,1,"")</f>
        <v/>
      </c>
      <c r="AB924" s="136">
        <f>IF(E924=$AB$6,1,"")</f>
        <v/>
      </c>
      <c r="AC924" s="136">
        <f>IF(E924=$AC$6,1,"")</f>
        <v/>
      </c>
      <c r="AD924" s="136">
        <f>IF(E924=$AD$6,1,"")</f>
        <v/>
      </c>
      <c r="AE924" s="136">
        <f>IF(E924=$AE$6,1,"")</f>
        <v/>
      </c>
      <c r="AF924" s="136">
        <f>IF(E924=$AF$6,1,"")</f>
        <v/>
      </c>
      <c r="AG924" s="136">
        <f>IF(E924=$AG$6,1,"")</f>
        <v/>
      </c>
      <c r="AH924" s="136">
        <f>IF(E924=$AH$6,1,"")</f>
        <v/>
      </c>
      <c r="AI924" s="136">
        <f>IF(E924=$AI$6,1,"")</f>
        <v/>
      </c>
      <c r="AJ924" s="136">
        <f>IF(E924=$AJ$6,1,"")</f>
        <v/>
      </c>
      <c r="AK924" s="81">
        <f>IF(E924=$AK$6,1,"")</f>
        <v/>
      </c>
      <c r="AL924" s="81">
        <f>IF(E924=$AL$6,1,"")</f>
        <v/>
      </c>
      <c r="AM924" s="81">
        <f>IF(E924=$AM$6,1,"")</f>
        <v/>
      </c>
      <c r="AN924" s="81">
        <f>IF(E924=$AN$6,1,"")</f>
        <v/>
      </c>
      <c r="AO924" s="81">
        <f>IF(E924=$AO$6,1,"")</f>
        <v/>
      </c>
      <c r="AP924" s="81">
        <f>IF(E924=$AP$6,1,"")</f>
        <v/>
      </c>
      <c r="AQ924" s="81">
        <f>IF(E924=$AQ$6,1,"")</f>
        <v/>
      </c>
      <c r="AR924" s="81">
        <f>IF(E924=$AR$6,1,"")</f>
        <v/>
      </c>
      <c r="AS924" s="81" t="n"/>
    </row>
    <row r="925" ht="15.75" customHeight="1" s="80">
      <c r="A925" s="157" t="n"/>
      <c r="B925" s="124" t="n"/>
      <c r="C925" s="125" t="n"/>
      <c r="D925" s="126" t="n"/>
      <c r="E925" s="127" t="n"/>
      <c r="F925" s="128" t="n"/>
      <c r="G925" s="129">
        <f>IF(F925="","",ROUND(F925/60,2))</f>
        <v/>
      </c>
      <c r="H925" s="130" t="n"/>
      <c r="I925" s="131" t="n"/>
      <c r="J925" s="131">
        <f>IF(COUNTIF(B925:E925,"*")=0,"",IF(T925=1,"Invalid Service",IF(AND(V925=1,F925=""),"Add Session Mins",IF(AND(E925&gt;0,H925="",T925=""),"Enter Contract Rate",IF(AND(E925="IEP mtg, prep, rept",F925&gt;0),(G925*H925),IF(AND(E925&gt;0,F925&gt;0,H925&gt;0,I925=""),"Enter Travel",IF(AND(F925&gt;0,I925="Y"),(G925*H925)+$M$10,IF(AND(F925&gt;0,I925="N"),(G925*H925),H925))))))))</f>
        <v/>
      </c>
      <c r="K925" s="132">
        <f>J925</f>
        <v/>
      </c>
      <c r="L925" s="148" t="n"/>
      <c r="M925" s="148" t="n"/>
      <c r="N925" s="148" t="n"/>
      <c r="O925" s="87" t="n"/>
      <c r="P925" s="81" t="n"/>
      <c r="Q925" s="81" t="n"/>
      <c r="R925" s="81" t="n"/>
      <c r="S925" s="81" t="n"/>
      <c r="T925" s="136">
        <f>IF(AND(E925&gt;0,U925=0),1,"")</f>
        <v/>
      </c>
      <c r="U925" s="136">
        <f>SUM(X925:AR925)</f>
        <v/>
      </c>
      <c r="V925" s="136">
        <f>IF(E925=$Q$16,0,SUM(X925:AI925))</f>
        <v/>
      </c>
      <c r="W925" s="136">
        <f>SUM(AK925:AR925)</f>
        <v/>
      </c>
      <c r="X925" s="136">
        <f>IF(E925=$X$6,1,"")</f>
        <v/>
      </c>
      <c r="Y925" s="136">
        <f>IF(E925=$Y$6,1,"")</f>
        <v/>
      </c>
      <c r="Z925" s="136">
        <f>IF(E925=$Z$6,1,"")</f>
        <v/>
      </c>
      <c r="AA925" s="136">
        <f>IF(E925=$AA$6,1,"")</f>
        <v/>
      </c>
      <c r="AB925" s="136">
        <f>IF(E925=$AB$6,1,"")</f>
        <v/>
      </c>
      <c r="AC925" s="136">
        <f>IF(E925=$AC$6,1,"")</f>
        <v/>
      </c>
      <c r="AD925" s="136">
        <f>IF(E925=$AD$6,1,"")</f>
        <v/>
      </c>
      <c r="AE925" s="136">
        <f>IF(E925=$AE$6,1,"")</f>
        <v/>
      </c>
      <c r="AF925" s="136">
        <f>IF(E925=$AF$6,1,"")</f>
        <v/>
      </c>
      <c r="AG925" s="136">
        <f>IF(E925=$AG$6,1,"")</f>
        <v/>
      </c>
      <c r="AH925" s="136">
        <f>IF(E925=$AH$6,1,"")</f>
        <v/>
      </c>
      <c r="AI925" s="136">
        <f>IF(E925=$AI$6,1,"")</f>
        <v/>
      </c>
      <c r="AJ925" s="136">
        <f>IF(E925=$AJ$6,1,"")</f>
        <v/>
      </c>
      <c r="AK925" s="81">
        <f>IF(E925=$AK$6,1,"")</f>
        <v/>
      </c>
      <c r="AL925" s="81">
        <f>IF(E925=$AL$6,1,"")</f>
        <v/>
      </c>
      <c r="AM925" s="81">
        <f>IF(E925=$AM$6,1,"")</f>
        <v/>
      </c>
      <c r="AN925" s="81">
        <f>IF(E925=$AN$6,1,"")</f>
        <v/>
      </c>
      <c r="AO925" s="81">
        <f>IF(E925=$AO$6,1,"")</f>
        <v/>
      </c>
      <c r="AP925" s="81">
        <f>IF(E925=$AP$6,1,"")</f>
        <v/>
      </c>
      <c r="AQ925" s="81">
        <f>IF(E925=$AQ$6,1,"")</f>
        <v/>
      </c>
      <c r="AR925" s="81">
        <f>IF(E925=$AR$6,1,"")</f>
        <v/>
      </c>
      <c r="AS925" s="81" t="n"/>
    </row>
    <row r="926" ht="15.75" customHeight="1" s="80">
      <c r="A926" s="157" t="n"/>
      <c r="B926" s="124" t="n"/>
      <c r="C926" s="125" t="n"/>
      <c r="D926" s="126" t="n"/>
      <c r="E926" s="127" t="n"/>
      <c r="F926" s="128" t="n"/>
      <c r="G926" s="129">
        <f>IF(F926="","",ROUND(F926/60,2))</f>
        <v/>
      </c>
      <c r="H926" s="130" t="n"/>
      <c r="I926" s="131" t="n"/>
      <c r="J926" s="131">
        <f>IF(COUNTIF(B926:E926,"*")=0,"",IF(T926=1,"Invalid Service",IF(AND(V926=1,F926=""),"Add Session Mins",IF(AND(E926&gt;0,H926="",T926=""),"Enter Contract Rate",IF(AND(E926="IEP mtg, prep, rept",F926&gt;0),(G926*H926),IF(AND(E926&gt;0,F926&gt;0,H926&gt;0,I926=""),"Enter Travel",IF(AND(F926&gt;0,I926="Y"),(G926*H926)+$M$10,IF(AND(F926&gt;0,I926="N"),(G926*H926),H926))))))))</f>
        <v/>
      </c>
      <c r="K926" s="132">
        <f>J926</f>
        <v/>
      </c>
      <c r="L926" s="148" t="n"/>
      <c r="M926" s="148" t="n"/>
      <c r="N926" s="148" t="n"/>
      <c r="O926" s="87" t="n"/>
      <c r="P926" s="81" t="n"/>
      <c r="Q926" s="81" t="n"/>
      <c r="R926" s="81" t="n"/>
      <c r="S926" s="81" t="n"/>
      <c r="T926" s="136">
        <f>IF(AND(E926&gt;0,U926=0),1,"")</f>
        <v/>
      </c>
      <c r="U926" s="136">
        <f>SUM(X926:AR926)</f>
        <v/>
      </c>
      <c r="V926" s="136">
        <f>IF(E926=$Q$16,0,SUM(X926:AI926))</f>
        <v/>
      </c>
      <c r="W926" s="136">
        <f>SUM(AK926:AR926)</f>
        <v/>
      </c>
      <c r="X926" s="136">
        <f>IF(E926=$X$6,1,"")</f>
        <v/>
      </c>
      <c r="Y926" s="136">
        <f>IF(E926=$Y$6,1,"")</f>
        <v/>
      </c>
      <c r="Z926" s="136">
        <f>IF(E926=$Z$6,1,"")</f>
        <v/>
      </c>
      <c r="AA926" s="136">
        <f>IF(E926=$AA$6,1,"")</f>
        <v/>
      </c>
      <c r="AB926" s="136">
        <f>IF(E926=$AB$6,1,"")</f>
        <v/>
      </c>
      <c r="AC926" s="136">
        <f>IF(E926=$AC$6,1,"")</f>
        <v/>
      </c>
      <c r="AD926" s="136">
        <f>IF(E926=$AD$6,1,"")</f>
        <v/>
      </c>
      <c r="AE926" s="136">
        <f>IF(E926=$AE$6,1,"")</f>
        <v/>
      </c>
      <c r="AF926" s="136">
        <f>IF(E926=$AF$6,1,"")</f>
        <v/>
      </c>
      <c r="AG926" s="136">
        <f>IF(E926=$AG$6,1,"")</f>
        <v/>
      </c>
      <c r="AH926" s="136">
        <f>IF(E926=$AH$6,1,"")</f>
        <v/>
      </c>
      <c r="AI926" s="136">
        <f>IF(E926=$AI$6,1,"")</f>
        <v/>
      </c>
      <c r="AJ926" s="136">
        <f>IF(E926=$AJ$6,1,"")</f>
        <v/>
      </c>
      <c r="AK926" s="81">
        <f>IF(E926=$AK$6,1,"")</f>
        <v/>
      </c>
      <c r="AL926" s="81">
        <f>IF(E926=$AL$6,1,"")</f>
        <v/>
      </c>
      <c r="AM926" s="81">
        <f>IF(E926=$AM$6,1,"")</f>
        <v/>
      </c>
      <c r="AN926" s="81">
        <f>IF(E926=$AN$6,1,"")</f>
        <v/>
      </c>
      <c r="AO926" s="81">
        <f>IF(E926=$AO$6,1,"")</f>
        <v/>
      </c>
      <c r="AP926" s="81">
        <f>IF(E926=$AP$6,1,"")</f>
        <v/>
      </c>
      <c r="AQ926" s="81">
        <f>IF(E926=$AQ$6,1,"")</f>
        <v/>
      </c>
      <c r="AR926" s="81">
        <f>IF(E926=$AR$6,1,"")</f>
        <v/>
      </c>
      <c r="AS926" s="81" t="n"/>
    </row>
    <row r="927" ht="15.75" customHeight="1" s="80">
      <c r="A927" s="157" t="n"/>
      <c r="B927" s="124" t="n"/>
      <c r="C927" s="125" t="n"/>
      <c r="D927" s="126" t="n"/>
      <c r="E927" s="127" t="n"/>
      <c r="F927" s="128" t="n"/>
      <c r="G927" s="129">
        <f>IF(F927="","",ROUND(F927/60,2))</f>
        <v/>
      </c>
      <c r="H927" s="130" t="n"/>
      <c r="I927" s="131" t="n"/>
      <c r="J927" s="131">
        <f>IF(COUNTIF(B927:E927,"*")=0,"",IF(T927=1,"Invalid Service",IF(AND(V927=1,F927=""),"Add Session Mins",IF(AND(E927&gt;0,H927="",T927=""),"Enter Contract Rate",IF(AND(E927="IEP mtg, prep, rept",F927&gt;0),(G927*H927),IF(AND(E927&gt;0,F927&gt;0,H927&gt;0,I927=""),"Enter Travel",IF(AND(F927&gt;0,I927="Y"),(G927*H927)+$M$10,IF(AND(F927&gt;0,I927="N"),(G927*H927),H927))))))))</f>
        <v/>
      </c>
      <c r="K927" s="132">
        <f>J927</f>
        <v/>
      </c>
      <c r="L927" s="148" t="n"/>
      <c r="M927" s="148" t="n"/>
      <c r="N927" s="148" t="n"/>
      <c r="O927" s="87" t="n"/>
      <c r="P927" s="81" t="n"/>
      <c r="Q927" s="81" t="n"/>
      <c r="R927" s="81" t="n"/>
      <c r="S927" s="81" t="n"/>
      <c r="T927" s="136">
        <f>IF(AND(E927&gt;0,U927=0),1,"")</f>
        <v/>
      </c>
      <c r="U927" s="136">
        <f>SUM(X927:AR927)</f>
        <v/>
      </c>
      <c r="V927" s="136">
        <f>IF(E927=$Q$16,0,SUM(X927:AI927))</f>
        <v/>
      </c>
      <c r="W927" s="136">
        <f>SUM(AK927:AR927)</f>
        <v/>
      </c>
      <c r="X927" s="136">
        <f>IF(E927=$X$6,1,"")</f>
        <v/>
      </c>
      <c r="Y927" s="136">
        <f>IF(E927=$Y$6,1,"")</f>
        <v/>
      </c>
      <c r="Z927" s="136">
        <f>IF(E927=$Z$6,1,"")</f>
        <v/>
      </c>
      <c r="AA927" s="136">
        <f>IF(E927=$AA$6,1,"")</f>
        <v/>
      </c>
      <c r="AB927" s="136">
        <f>IF(E927=$AB$6,1,"")</f>
        <v/>
      </c>
      <c r="AC927" s="136">
        <f>IF(E927=$AC$6,1,"")</f>
        <v/>
      </c>
      <c r="AD927" s="136">
        <f>IF(E927=$AD$6,1,"")</f>
        <v/>
      </c>
      <c r="AE927" s="136">
        <f>IF(E927=$AE$6,1,"")</f>
        <v/>
      </c>
      <c r="AF927" s="136">
        <f>IF(E927=$AF$6,1,"")</f>
        <v/>
      </c>
      <c r="AG927" s="136">
        <f>IF(E927=$AG$6,1,"")</f>
        <v/>
      </c>
      <c r="AH927" s="136">
        <f>IF(E927=$AH$6,1,"")</f>
        <v/>
      </c>
      <c r="AI927" s="136">
        <f>IF(E927=$AI$6,1,"")</f>
        <v/>
      </c>
      <c r="AJ927" s="136">
        <f>IF(E927=$AJ$6,1,"")</f>
        <v/>
      </c>
      <c r="AK927" s="81">
        <f>IF(E927=$AK$6,1,"")</f>
        <v/>
      </c>
      <c r="AL927" s="81">
        <f>IF(E927=$AL$6,1,"")</f>
        <v/>
      </c>
      <c r="AM927" s="81">
        <f>IF(E927=$AM$6,1,"")</f>
        <v/>
      </c>
      <c r="AN927" s="81">
        <f>IF(E927=$AN$6,1,"")</f>
        <v/>
      </c>
      <c r="AO927" s="81">
        <f>IF(E927=$AO$6,1,"")</f>
        <v/>
      </c>
      <c r="AP927" s="81">
        <f>IF(E927=$AP$6,1,"")</f>
        <v/>
      </c>
      <c r="AQ927" s="81">
        <f>IF(E927=$AQ$6,1,"")</f>
        <v/>
      </c>
      <c r="AR927" s="81">
        <f>IF(E927=$AR$6,1,"")</f>
        <v/>
      </c>
      <c r="AS927" s="81" t="n"/>
    </row>
    <row r="928" ht="15.75" customHeight="1" s="80">
      <c r="A928" s="157" t="n"/>
      <c r="B928" s="124" t="n"/>
      <c r="C928" s="125" t="n"/>
      <c r="D928" s="126" t="n"/>
      <c r="E928" s="127" t="n"/>
      <c r="F928" s="128" t="n"/>
      <c r="G928" s="129">
        <f>IF(F928="","",ROUND(F928/60,2))</f>
        <v/>
      </c>
      <c r="H928" s="130" t="n"/>
      <c r="I928" s="131" t="n"/>
      <c r="J928" s="131">
        <f>IF(COUNTIF(B928:E928,"*")=0,"",IF(T928=1,"Invalid Service",IF(AND(V928=1,F928=""),"Add Session Mins",IF(AND(E928&gt;0,H928="",T928=""),"Enter Contract Rate",IF(AND(E928="IEP mtg, prep, rept",F928&gt;0),(G928*H928),IF(AND(E928&gt;0,F928&gt;0,H928&gt;0,I928=""),"Enter Travel",IF(AND(F928&gt;0,I928="Y"),(G928*H928)+$M$10,IF(AND(F928&gt;0,I928="N"),(G928*H928),H928))))))))</f>
        <v/>
      </c>
      <c r="K928" s="132">
        <f>J928</f>
        <v/>
      </c>
      <c r="L928" s="148" t="n"/>
      <c r="M928" s="148" t="n"/>
      <c r="N928" s="148" t="n"/>
      <c r="O928" s="87" t="n"/>
      <c r="P928" s="81" t="n"/>
      <c r="Q928" s="81" t="n"/>
      <c r="R928" s="81" t="n"/>
      <c r="S928" s="81" t="n"/>
      <c r="T928" s="136">
        <f>IF(AND(E928&gt;0,U928=0),1,"")</f>
        <v/>
      </c>
      <c r="U928" s="136">
        <f>SUM(X928:AR928)</f>
        <v/>
      </c>
      <c r="V928" s="136">
        <f>IF(E928=$Q$16,0,SUM(X928:AI928))</f>
        <v/>
      </c>
      <c r="W928" s="136">
        <f>SUM(AK928:AR928)</f>
        <v/>
      </c>
      <c r="X928" s="136">
        <f>IF(E928=$X$6,1,"")</f>
        <v/>
      </c>
      <c r="Y928" s="136">
        <f>IF(E928=$Y$6,1,"")</f>
        <v/>
      </c>
      <c r="Z928" s="136">
        <f>IF(E928=$Z$6,1,"")</f>
        <v/>
      </c>
      <c r="AA928" s="136">
        <f>IF(E928=$AA$6,1,"")</f>
        <v/>
      </c>
      <c r="AB928" s="136">
        <f>IF(E928=$AB$6,1,"")</f>
        <v/>
      </c>
      <c r="AC928" s="136">
        <f>IF(E928=$AC$6,1,"")</f>
        <v/>
      </c>
      <c r="AD928" s="136">
        <f>IF(E928=$AD$6,1,"")</f>
        <v/>
      </c>
      <c r="AE928" s="136">
        <f>IF(E928=$AE$6,1,"")</f>
        <v/>
      </c>
      <c r="AF928" s="136">
        <f>IF(E928=$AF$6,1,"")</f>
        <v/>
      </c>
      <c r="AG928" s="136">
        <f>IF(E928=$AG$6,1,"")</f>
        <v/>
      </c>
      <c r="AH928" s="136">
        <f>IF(E928=$AH$6,1,"")</f>
        <v/>
      </c>
      <c r="AI928" s="136">
        <f>IF(E928=$AI$6,1,"")</f>
        <v/>
      </c>
      <c r="AJ928" s="136">
        <f>IF(E928=$AJ$6,1,"")</f>
        <v/>
      </c>
      <c r="AK928" s="81">
        <f>IF(E928=$AK$6,1,"")</f>
        <v/>
      </c>
      <c r="AL928" s="81">
        <f>IF(E928=$AL$6,1,"")</f>
        <v/>
      </c>
      <c r="AM928" s="81">
        <f>IF(E928=$AM$6,1,"")</f>
        <v/>
      </c>
      <c r="AN928" s="81">
        <f>IF(E928=$AN$6,1,"")</f>
        <v/>
      </c>
      <c r="AO928" s="81">
        <f>IF(E928=$AO$6,1,"")</f>
        <v/>
      </c>
      <c r="AP928" s="81">
        <f>IF(E928=$AP$6,1,"")</f>
        <v/>
      </c>
      <c r="AQ928" s="81">
        <f>IF(E928=$AQ$6,1,"")</f>
        <v/>
      </c>
      <c r="AR928" s="81">
        <f>IF(E928=$AR$6,1,"")</f>
        <v/>
      </c>
      <c r="AS928" s="81" t="n"/>
    </row>
    <row r="929" ht="15.75" customHeight="1" s="80">
      <c r="A929" s="157" t="n"/>
      <c r="B929" s="124" t="n"/>
      <c r="C929" s="125" t="n"/>
      <c r="D929" s="126" t="n"/>
      <c r="E929" s="127" t="n"/>
      <c r="F929" s="128" t="n"/>
      <c r="G929" s="129">
        <f>IF(F929="","",ROUND(F929/60,2))</f>
        <v/>
      </c>
      <c r="H929" s="130" t="n"/>
      <c r="I929" s="131" t="n"/>
      <c r="J929" s="131">
        <f>IF(COUNTIF(B929:E929,"*")=0,"",IF(T929=1,"Invalid Service",IF(AND(V929=1,F929=""),"Add Session Mins",IF(AND(E929&gt;0,H929="",T929=""),"Enter Contract Rate",IF(AND(E929="IEP mtg, prep, rept",F929&gt;0),(G929*H929),IF(AND(E929&gt;0,F929&gt;0,H929&gt;0,I929=""),"Enter Travel",IF(AND(F929&gt;0,I929="Y"),(G929*H929)+$M$10,IF(AND(F929&gt;0,I929="N"),(G929*H929),H929))))))))</f>
        <v/>
      </c>
      <c r="K929" s="132">
        <f>J929</f>
        <v/>
      </c>
      <c r="L929" s="148" t="n"/>
      <c r="M929" s="148" t="n"/>
      <c r="N929" s="148" t="n"/>
      <c r="O929" s="87" t="n"/>
      <c r="P929" s="81" t="n"/>
      <c r="Q929" s="81" t="n"/>
      <c r="R929" s="81" t="n"/>
      <c r="S929" s="81" t="n"/>
      <c r="T929" s="136">
        <f>IF(AND(E929&gt;0,U929=0),1,"")</f>
        <v/>
      </c>
      <c r="U929" s="136">
        <f>SUM(X929:AR929)</f>
        <v/>
      </c>
      <c r="V929" s="136">
        <f>IF(E929=$Q$16,0,SUM(X929:AI929))</f>
        <v/>
      </c>
      <c r="W929" s="136">
        <f>SUM(AK929:AR929)</f>
        <v/>
      </c>
      <c r="X929" s="136">
        <f>IF(E929=$X$6,1,"")</f>
        <v/>
      </c>
      <c r="Y929" s="136">
        <f>IF(E929=$Y$6,1,"")</f>
        <v/>
      </c>
      <c r="Z929" s="136">
        <f>IF(E929=$Z$6,1,"")</f>
        <v/>
      </c>
      <c r="AA929" s="136">
        <f>IF(E929=$AA$6,1,"")</f>
        <v/>
      </c>
      <c r="AB929" s="136">
        <f>IF(E929=$AB$6,1,"")</f>
        <v/>
      </c>
      <c r="AC929" s="136">
        <f>IF(E929=$AC$6,1,"")</f>
        <v/>
      </c>
      <c r="AD929" s="136">
        <f>IF(E929=$AD$6,1,"")</f>
        <v/>
      </c>
      <c r="AE929" s="136">
        <f>IF(E929=$AE$6,1,"")</f>
        <v/>
      </c>
      <c r="AF929" s="136">
        <f>IF(E929=$AF$6,1,"")</f>
        <v/>
      </c>
      <c r="AG929" s="136">
        <f>IF(E929=$AG$6,1,"")</f>
        <v/>
      </c>
      <c r="AH929" s="136">
        <f>IF(E929=$AH$6,1,"")</f>
        <v/>
      </c>
      <c r="AI929" s="136">
        <f>IF(E929=$AI$6,1,"")</f>
        <v/>
      </c>
      <c r="AJ929" s="136">
        <f>IF(E929=$AJ$6,1,"")</f>
        <v/>
      </c>
      <c r="AK929" s="81">
        <f>IF(E929=$AK$6,1,"")</f>
        <v/>
      </c>
      <c r="AL929" s="81">
        <f>IF(E929=$AL$6,1,"")</f>
        <v/>
      </c>
      <c r="AM929" s="81">
        <f>IF(E929=$AM$6,1,"")</f>
        <v/>
      </c>
      <c r="AN929" s="81">
        <f>IF(E929=$AN$6,1,"")</f>
        <v/>
      </c>
      <c r="AO929" s="81">
        <f>IF(E929=$AO$6,1,"")</f>
        <v/>
      </c>
      <c r="AP929" s="81">
        <f>IF(E929=$AP$6,1,"")</f>
        <v/>
      </c>
      <c r="AQ929" s="81">
        <f>IF(E929=$AQ$6,1,"")</f>
        <v/>
      </c>
      <c r="AR929" s="81">
        <f>IF(E929=$AR$6,1,"")</f>
        <v/>
      </c>
      <c r="AS929" s="81" t="n"/>
    </row>
    <row r="930" ht="15.75" customHeight="1" s="80">
      <c r="A930" s="157" t="n"/>
      <c r="B930" s="124" t="n"/>
      <c r="C930" s="125" t="n"/>
      <c r="D930" s="126" t="n"/>
      <c r="E930" s="127" t="n"/>
      <c r="F930" s="128" t="n"/>
      <c r="G930" s="129">
        <f>IF(F930="","",ROUND(F930/60,2))</f>
        <v/>
      </c>
      <c r="H930" s="130" t="n"/>
      <c r="I930" s="131" t="n"/>
      <c r="J930" s="131">
        <f>IF(COUNTIF(B930:E930,"*")=0,"",IF(T930=1,"Invalid Service",IF(AND(V930=1,F930=""),"Add Session Mins",IF(AND(E930&gt;0,H930="",T930=""),"Enter Contract Rate",IF(AND(E930="IEP mtg, prep, rept",F930&gt;0),(G930*H930),IF(AND(E930&gt;0,F930&gt;0,H930&gt;0,I930=""),"Enter Travel",IF(AND(F930&gt;0,I930="Y"),(G930*H930)+$M$10,IF(AND(F930&gt;0,I930="N"),(G930*H930),H930))))))))</f>
        <v/>
      </c>
      <c r="K930" s="132">
        <f>J930</f>
        <v/>
      </c>
      <c r="L930" s="148" t="n"/>
      <c r="M930" s="148" t="n"/>
      <c r="N930" s="148" t="n"/>
      <c r="O930" s="87" t="n"/>
      <c r="P930" s="81" t="n"/>
      <c r="Q930" s="81" t="n"/>
      <c r="R930" s="81" t="n"/>
      <c r="S930" s="81" t="n"/>
      <c r="T930" s="136">
        <f>IF(AND(E930&gt;0,U930=0),1,"")</f>
        <v/>
      </c>
      <c r="U930" s="136">
        <f>SUM(X930:AR930)</f>
        <v/>
      </c>
      <c r="V930" s="136">
        <f>IF(E930=$Q$16,0,SUM(X930:AI930))</f>
        <v/>
      </c>
      <c r="W930" s="136">
        <f>SUM(AK930:AR930)</f>
        <v/>
      </c>
      <c r="X930" s="136">
        <f>IF(E930=$X$6,1,"")</f>
        <v/>
      </c>
      <c r="Y930" s="136">
        <f>IF(E930=$Y$6,1,"")</f>
        <v/>
      </c>
      <c r="Z930" s="136">
        <f>IF(E930=$Z$6,1,"")</f>
        <v/>
      </c>
      <c r="AA930" s="136">
        <f>IF(E930=$AA$6,1,"")</f>
        <v/>
      </c>
      <c r="AB930" s="136">
        <f>IF(E930=$AB$6,1,"")</f>
        <v/>
      </c>
      <c r="AC930" s="136">
        <f>IF(E930=$AC$6,1,"")</f>
        <v/>
      </c>
      <c r="AD930" s="136">
        <f>IF(E930=$AD$6,1,"")</f>
        <v/>
      </c>
      <c r="AE930" s="136">
        <f>IF(E930=$AE$6,1,"")</f>
        <v/>
      </c>
      <c r="AF930" s="136">
        <f>IF(E930=$AF$6,1,"")</f>
        <v/>
      </c>
      <c r="AG930" s="136">
        <f>IF(E930=$AG$6,1,"")</f>
        <v/>
      </c>
      <c r="AH930" s="136">
        <f>IF(E930=$AH$6,1,"")</f>
        <v/>
      </c>
      <c r="AI930" s="136">
        <f>IF(E930=$AI$6,1,"")</f>
        <v/>
      </c>
      <c r="AJ930" s="136">
        <f>IF(E930=$AJ$6,1,"")</f>
        <v/>
      </c>
      <c r="AK930" s="81">
        <f>IF(E930=$AK$6,1,"")</f>
        <v/>
      </c>
      <c r="AL930" s="81">
        <f>IF(E930=$AL$6,1,"")</f>
        <v/>
      </c>
      <c r="AM930" s="81">
        <f>IF(E930=$AM$6,1,"")</f>
        <v/>
      </c>
      <c r="AN930" s="81">
        <f>IF(E930=$AN$6,1,"")</f>
        <v/>
      </c>
      <c r="AO930" s="81">
        <f>IF(E930=$AO$6,1,"")</f>
        <v/>
      </c>
      <c r="AP930" s="81">
        <f>IF(E930=$AP$6,1,"")</f>
        <v/>
      </c>
      <c r="AQ930" s="81">
        <f>IF(E930=$AQ$6,1,"")</f>
        <v/>
      </c>
      <c r="AR930" s="81">
        <f>IF(E930=$AR$6,1,"")</f>
        <v/>
      </c>
      <c r="AS930" s="81" t="n"/>
    </row>
    <row r="931" ht="15.75" customHeight="1" s="80">
      <c r="A931" s="157" t="n"/>
      <c r="B931" s="124" t="n"/>
      <c r="C931" s="125" t="n"/>
      <c r="D931" s="126" t="n"/>
      <c r="E931" s="127" t="n"/>
      <c r="F931" s="128" t="n"/>
      <c r="G931" s="129">
        <f>IF(F931="","",ROUND(F931/60,2))</f>
        <v/>
      </c>
      <c r="H931" s="130" t="n"/>
      <c r="I931" s="131" t="n"/>
      <c r="J931" s="131">
        <f>IF(COUNTIF(B931:E931,"*")=0,"",IF(T931=1,"Invalid Service",IF(AND(V931=1,F931=""),"Add Session Mins",IF(AND(E931&gt;0,H931="",T931=""),"Enter Contract Rate",IF(AND(E931="IEP mtg, prep, rept",F931&gt;0),(G931*H931),IF(AND(E931&gt;0,F931&gt;0,H931&gt;0,I931=""),"Enter Travel",IF(AND(F931&gt;0,I931="Y"),(G931*H931)+$M$10,IF(AND(F931&gt;0,I931="N"),(G931*H931),H931))))))))</f>
        <v/>
      </c>
      <c r="K931" s="132">
        <f>J931</f>
        <v/>
      </c>
      <c r="L931" s="148" t="n"/>
      <c r="M931" s="148" t="n"/>
      <c r="N931" s="148" t="n"/>
      <c r="O931" s="87" t="n"/>
      <c r="P931" s="81" t="n"/>
      <c r="Q931" s="81" t="n"/>
      <c r="R931" s="81" t="n"/>
      <c r="S931" s="81" t="n"/>
      <c r="T931" s="136">
        <f>IF(AND(E931&gt;0,U931=0),1,"")</f>
        <v/>
      </c>
      <c r="U931" s="136">
        <f>SUM(X931:AR931)</f>
        <v/>
      </c>
      <c r="V931" s="136">
        <f>IF(E931=$Q$16,0,SUM(X931:AI931))</f>
        <v/>
      </c>
      <c r="W931" s="136">
        <f>SUM(AK931:AR931)</f>
        <v/>
      </c>
      <c r="X931" s="136">
        <f>IF(E931=$X$6,1,"")</f>
        <v/>
      </c>
      <c r="Y931" s="136">
        <f>IF(E931=$Y$6,1,"")</f>
        <v/>
      </c>
      <c r="Z931" s="136">
        <f>IF(E931=$Z$6,1,"")</f>
        <v/>
      </c>
      <c r="AA931" s="136">
        <f>IF(E931=$AA$6,1,"")</f>
        <v/>
      </c>
      <c r="AB931" s="136">
        <f>IF(E931=$AB$6,1,"")</f>
        <v/>
      </c>
      <c r="AC931" s="136">
        <f>IF(E931=$AC$6,1,"")</f>
        <v/>
      </c>
      <c r="AD931" s="136">
        <f>IF(E931=$AD$6,1,"")</f>
        <v/>
      </c>
      <c r="AE931" s="136">
        <f>IF(E931=$AE$6,1,"")</f>
        <v/>
      </c>
      <c r="AF931" s="136">
        <f>IF(E931=$AF$6,1,"")</f>
        <v/>
      </c>
      <c r="AG931" s="136">
        <f>IF(E931=$AG$6,1,"")</f>
        <v/>
      </c>
      <c r="AH931" s="136">
        <f>IF(E931=$AH$6,1,"")</f>
        <v/>
      </c>
      <c r="AI931" s="136">
        <f>IF(E931=$AI$6,1,"")</f>
        <v/>
      </c>
      <c r="AJ931" s="136">
        <f>IF(E931=$AJ$6,1,"")</f>
        <v/>
      </c>
      <c r="AK931" s="81">
        <f>IF(E931=$AK$6,1,"")</f>
        <v/>
      </c>
      <c r="AL931" s="81">
        <f>IF(E931=$AL$6,1,"")</f>
        <v/>
      </c>
      <c r="AM931" s="81">
        <f>IF(E931=$AM$6,1,"")</f>
        <v/>
      </c>
      <c r="AN931" s="81">
        <f>IF(E931=$AN$6,1,"")</f>
        <v/>
      </c>
      <c r="AO931" s="81">
        <f>IF(E931=$AO$6,1,"")</f>
        <v/>
      </c>
      <c r="AP931" s="81">
        <f>IF(E931=$AP$6,1,"")</f>
        <v/>
      </c>
      <c r="AQ931" s="81">
        <f>IF(E931=$AQ$6,1,"")</f>
        <v/>
      </c>
      <c r="AR931" s="81">
        <f>IF(E931=$AR$6,1,"")</f>
        <v/>
      </c>
      <c r="AS931" s="81" t="n"/>
    </row>
    <row r="932" ht="15.75" customHeight="1" s="80">
      <c r="A932" s="157" t="n"/>
      <c r="B932" s="124" t="n"/>
      <c r="C932" s="125" t="n"/>
      <c r="D932" s="126" t="n"/>
      <c r="E932" s="127" t="n"/>
      <c r="F932" s="128" t="n"/>
      <c r="G932" s="129">
        <f>IF(F932="","",ROUND(F932/60,2))</f>
        <v/>
      </c>
      <c r="H932" s="130" t="n"/>
      <c r="I932" s="131" t="n"/>
      <c r="J932" s="131">
        <f>IF(COUNTIF(B932:E932,"*")=0,"",IF(T932=1,"Invalid Service",IF(AND(V932=1,F932=""),"Add Session Mins",IF(AND(E932&gt;0,H932="",T932=""),"Enter Contract Rate",IF(AND(E932="IEP mtg, prep, rept",F932&gt;0),(G932*H932),IF(AND(E932&gt;0,F932&gt;0,H932&gt;0,I932=""),"Enter Travel",IF(AND(F932&gt;0,I932="Y"),(G932*H932)+$M$10,IF(AND(F932&gt;0,I932="N"),(G932*H932),H932))))))))</f>
        <v/>
      </c>
      <c r="K932" s="132">
        <f>J932</f>
        <v/>
      </c>
      <c r="L932" s="148" t="n"/>
      <c r="M932" s="148" t="n"/>
      <c r="N932" s="148" t="n"/>
      <c r="O932" s="87" t="n"/>
      <c r="P932" s="81" t="n"/>
      <c r="Q932" s="81" t="n"/>
      <c r="R932" s="81" t="n"/>
      <c r="S932" s="81" t="n"/>
      <c r="T932" s="136">
        <f>IF(AND(E932&gt;0,U932=0),1,"")</f>
        <v/>
      </c>
      <c r="U932" s="136">
        <f>SUM(X932:AR932)</f>
        <v/>
      </c>
      <c r="V932" s="136">
        <f>IF(E932=$Q$16,0,SUM(X932:AI932))</f>
        <v/>
      </c>
      <c r="W932" s="136">
        <f>SUM(AK932:AR932)</f>
        <v/>
      </c>
      <c r="X932" s="136">
        <f>IF(E932=$X$6,1,"")</f>
        <v/>
      </c>
      <c r="Y932" s="136">
        <f>IF(E932=$Y$6,1,"")</f>
        <v/>
      </c>
      <c r="Z932" s="136">
        <f>IF(E932=$Z$6,1,"")</f>
        <v/>
      </c>
      <c r="AA932" s="136">
        <f>IF(E932=$AA$6,1,"")</f>
        <v/>
      </c>
      <c r="AB932" s="136">
        <f>IF(E932=$AB$6,1,"")</f>
        <v/>
      </c>
      <c r="AC932" s="136">
        <f>IF(E932=$AC$6,1,"")</f>
        <v/>
      </c>
      <c r="AD932" s="136">
        <f>IF(E932=$AD$6,1,"")</f>
        <v/>
      </c>
      <c r="AE932" s="136">
        <f>IF(E932=$AE$6,1,"")</f>
        <v/>
      </c>
      <c r="AF932" s="136">
        <f>IF(E932=$AF$6,1,"")</f>
        <v/>
      </c>
      <c r="AG932" s="136">
        <f>IF(E932=$AG$6,1,"")</f>
        <v/>
      </c>
      <c r="AH932" s="136">
        <f>IF(E932=$AH$6,1,"")</f>
        <v/>
      </c>
      <c r="AI932" s="136">
        <f>IF(E932=$AI$6,1,"")</f>
        <v/>
      </c>
      <c r="AJ932" s="136">
        <f>IF(E932=$AJ$6,1,"")</f>
        <v/>
      </c>
      <c r="AK932" s="81">
        <f>IF(E932=$AK$6,1,"")</f>
        <v/>
      </c>
      <c r="AL932" s="81">
        <f>IF(E932=$AL$6,1,"")</f>
        <v/>
      </c>
      <c r="AM932" s="81">
        <f>IF(E932=$AM$6,1,"")</f>
        <v/>
      </c>
      <c r="AN932" s="81">
        <f>IF(E932=$AN$6,1,"")</f>
        <v/>
      </c>
      <c r="AO932" s="81">
        <f>IF(E932=$AO$6,1,"")</f>
        <v/>
      </c>
      <c r="AP932" s="81">
        <f>IF(E932=$AP$6,1,"")</f>
        <v/>
      </c>
      <c r="AQ932" s="81">
        <f>IF(E932=$AQ$6,1,"")</f>
        <v/>
      </c>
      <c r="AR932" s="81">
        <f>IF(E932=$AR$6,1,"")</f>
        <v/>
      </c>
      <c r="AS932" s="81" t="n"/>
    </row>
    <row r="933" ht="15.75" customHeight="1" s="80">
      <c r="A933" s="157" t="n"/>
      <c r="B933" s="124" t="n"/>
      <c r="C933" s="125" t="n"/>
      <c r="D933" s="126" t="n"/>
      <c r="E933" s="127" t="n"/>
      <c r="F933" s="128" t="n"/>
      <c r="G933" s="129">
        <f>IF(F933="","",ROUND(F933/60,2))</f>
        <v/>
      </c>
      <c r="H933" s="130" t="n"/>
      <c r="I933" s="131" t="n"/>
      <c r="J933" s="131">
        <f>IF(COUNTIF(B933:E933,"*")=0,"",IF(T933=1,"Invalid Service",IF(AND(V933=1,F933=""),"Add Session Mins",IF(AND(E933&gt;0,H933="",T933=""),"Enter Contract Rate",IF(AND(E933="IEP mtg, prep, rept",F933&gt;0),(G933*H933),IF(AND(E933&gt;0,F933&gt;0,H933&gt;0,I933=""),"Enter Travel",IF(AND(F933&gt;0,I933="Y"),(G933*H933)+$M$10,IF(AND(F933&gt;0,I933="N"),(G933*H933),H933))))))))</f>
        <v/>
      </c>
      <c r="K933" s="132">
        <f>J933</f>
        <v/>
      </c>
      <c r="L933" s="148" t="n"/>
      <c r="M933" s="148" t="n"/>
      <c r="N933" s="148" t="n"/>
      <c r="O933" s="87" t="n"/>
      <c r="P933" s="81" t="n"/>
      <c r="Q933" s="81" t="n"/>
      <c r="R933" s="81" t="n"/>
      <c r="S933" s="81" t="n"/>
      <c r="T933" s="136">
        <f>IF(AND(E933&gt;0,U933=0),1,"")</f>
        <v/>
      </c>
      <c r="U933" s="136">
        <f>SUM(X933:AR933)</f>
        <v/>
      </c>
      <c r="V933" s="136">
        <f>IF(E933=$Q$16,0,SUM(X933:AI933))</f>
        <v/>
      </c>
      <c r="W933" s="136">
        <f>SUM(AK933:AR933)</f>
        <v/>
      </c>
      <c r="X933" s="136">
        <f>IF(E933=$X$6,1,"")</f>
        <v/>
      </c>
      <c r="Y933" s="136">
        <f>IF(E933=$Y$6,1,"")</f>
        <v/>
      </c>
      <c r="Z933" s="136">
        <f>IF(E933=$Z$6,1,"")</f>
        <v/>
      </c>
      <c r="AA933" s="136">
        <f>IF(E933=$AA$6,1,"")</f>
        <v/>
      </c>
      <c r="AB933" s="136">
        <f>IF(E933=$AB$6,1,"")</f>
        <v/>
      </c>
      <c r="AC933" s="136">
        <f>IF(E933=$AC$6,1,"")</f>
        <v/>
      </c>
      <c r="AD933" s="136">
        <f>IF(E933=$AD$6,1,"")</f>
        <v/>
      </c>
      <c r="AE933" s="136">
        <f>IF(E933=$AE$6,1,"")</f>
        <v/>
      </c>
      <c r="AF933" s="136">
        <f>IF(E933=$AF$6,1,"")</f>
        <v/>
      </c>
      <c r="AG933" s="136">
        <f>IF(E933=$AG$6,1,"")</f>
        <v/>
      </c>
      <c r="AH933" s="136">
        <f>IF(E933=$AH$6,1,"")</f>
        <v/>
      </c>
      <c r="AI933" s="136">
        <f>IF(E933=$AI$6,1,"")</f>
        <v/>
      </c>
      <c r="AJ933" s="136">
        <f>IF(E933=$AJ$6,1,"")</f>
        <v/>
      </c>
      <c r="AK933" s="81">
        <f>IF(E933=$AK$6,1,"")</f>
        <v/>
      </c>
      <c r="AL933" s="81">
        <f>IF(E933=$AL$6,1,"")</f>
        <v/>
      </c>
      <c r="AM933" s="81">
        <f>IF(E933=$AM$6,1,"")</f>
        <v/>
      </c>
      <c r="AN933" s="81">
        <f>IF(E933=$AN$6,1,"")</f>
        <v/>
      </c>
      <c r="AO933" s="81">
        <f>IF(E933=$AO$6,1,"")</f>
        <v/>
      </c>
      <c r="AP933" s="81">
        <f>IF(E933=$AP$6,1,"")</f>
        <v/>
      </c>
      <c r="AQ933" s="81">
        <f>IF(E933=$AQ$6,1,"")</f>
        <v/>
      </c>
      <c r="AR933" s="81">
        <f>IF(E933=$AR$6,1,"")</f>
        <v/>
      </c>
      <c r="AS933" s="81" t="n"/>
    </row>
    <row r="934" ht="15.75" customHeight="1" s="80">
      <c r="A934" s="157" t="n"/>
      <c r="B934" s="124" t="n"/>
      <c r="C934" s="125" t="n"/>
      <c r="D934" s="126" t="n"/>
      <c r="E934" s="127" t="n"/>
      <c r="F934" s="128" t="n"/>
      <c r="G934" s="129">
        <f>IF(F934="","",ROUND(F934/60,2))</f>
        <v/>
      </c>
      <c r="H934" s="130" t="n"/>
      <c r="I934" s="131" t="n"/>
      <c r="J934" s="131">
        <f>IF(COUNTIF(B934:E934,"*")=0,"",IF(T934=1,"Invalid Service",IF(AND(V934=1,F934=""),"Add Session Mins",IF(AND(E934&gt;0,H934="",T934=""),"Enter Contract Rate",IF(AND(E934="IEP mtg, prep, rept",F934&gt;0),(G934*H934),IF(AND(E934&gt;0,F934&gt;0,H934&gt;0,I934=""),"Enter Travel",IF(AND(F934&gt;0,I934="Y"),(G934*H934)+$M$10,IF(AND(F934&gt;0,I934="N"),(G934*H934),H934))))))))</f>
        <v/>
      </c>
      <c r="K934" s="132">
        <f>J934</f>
        <v/>
      </c>
      <c r="L934" s="148" t="n"/>
      <c r="M934" s="148" t="n"/>
      <c r="N934" s="148" t="n"/>
      <c r="O934" s="87" t="n"/>
      <c r="P934" s="81" t="n"/>
      <c r="Q934" s="81" t="n"/>
      <c r="R934" s="81" t="n"/>
      <c r="S934" s="81" t="n"/>
      <c r="T934" s="136">
        <f>IF(AND(E934&gt;0,U934=0),1,"")</f>
        <v/>
      </c>
      <c r="U934" s="136">
        <f>SUM(X934:AR934)</f>
        <v/>
      </c>
      <c r="V934" s="136">
        <f>IF(E934=$Q$16,0,SUM(X934:AI934))</f>
        <v/>
      </c>
      <c r="W934" s="136">
        <f>SUM(AK934:AR934)</f>
        <v/>
      </c>
      <c r="X934" s="136">
        <f>IF(E934=$X$6,1,"")</f>
        <v/>
      </c>
      <c r="Y934" s="136">
        <f>IF(E934=$Y$6,1,"")</f>
        <v/>
      </c>
      <c r="Z934" s="136">
        <f>IF(E934=$Z$6,1,"")</f>
        <v/>
      </c>
      <c r="AA934" s="136">
        <f>IF(E934=$AA$6,1,"")</f>
        <v/>
      </c>
      <c r="AB934" s="136">
        <f>IF(E934=$AB$6,1,"")</f>
        <v/>
      </c>
      <c r="AC934" s="136">
        <f>IF(E934=$AC$6,1,"")</f>
        <v/>
      </c>
      <c r="AD934" s="136">
        <f>IF(E934=$AD$6,1,"")</f>
        <v/>
      </c>
      <c r="AE934" s="136">
        <f>IF(E934=$AE$6,1,"")</f>
        <v/>
      </c>
      <c r="AF934" s="136">
        <f>IF(E934=$AF$6,1,"")</f>
        <v/>
      </c>
      <c r="AG934" s="136">
        <f>IF(E934=$AG$6,1,"")</f>
        <v/>
      </c>
      <c r="AH934" s="136">
        <f>IF(E934=$AH$6,1,"")</f>
        <v/>
      </c>
      <c r="AI934" s="136">
        <f>IF(E934=$AI$6,1,"")</f>
        <v/>
      </c>
      <c r="AJ934" s="136">
        <f>IF(E934=$AJ$6,1,"")</f>
        <v/>
      </c>
      <c r="AK934" s="81">
        <f>IF(E934=$AK$6,1,"")</f>
        <v/>
      </c>
      <c r="AL934" s="81">
        <f>IF(E934=$AL$6,1,"")</f>
        <v/>
      </c>
      <c r="AM934" s="81">
        <f>IF(E934=$AM$6,1,"")</f>
        <v/>
      </c>
      <c r="AN934" s="81">
        <f>IF(E934=$AN$6,1,"")</f>
        <v/>
      </c>
      <c r="AO934" s="81">
        <f>IF(E934=$AO$6,1,"")</f>
        <v/>
      </c>
      <c r="AP934" s="81">
        <f>IF(E934=$AP$6,1,"")</f>
        <v/>
      </c>
      <c r="AQ934" s="81">
        <f>IF(E934=$AQ$6,1,"")</f>
        <v/>
      </c>
      <c r="AR934" s="81">
        <f>IF(E934=$AR$6,1,"")</f>
        <v/>
      </c>
      <c r="AS934" s="81" t="n"/>
    </row>
    <row r="935" ht="15.75" customHeight="1" s="80">
      <c r="A935" s="157" t="n"/>
      <c r="B935" s="124" t="n"/>
      <c r="C935" s="125" t="n"/>
      <c r="D935" s="126" t="n"/>
      <c r="E935" s="127" t="n"/>
      <c r="F935" s="128" t="n"/>
      <c r="G935" s="129">
        <f>IF(F935="","",ROUND(F935/60,2))</f>
        <v/>
      </c>
      <c r="H935" s="130" t="n"/>
      <c r="I935" s="131" t="n"/>
      <c r="J935" s="131">
        <f>IF(COUNTIF(B935:E935,"*")=0,"",IF(T935=1,"Invalid Service",IF(AND(V935=1,F935=""),"Add Session Mins",IF(AND(E935&gt;0,H935="",T935=""),"Enter Contract Rate",IF(AND(E935="IEP mtg, prep, rept",F935&gt;0),(G935*H935),IF(AND(E935&gt;0,F935&gt;0,H935&gt;0,I935=""),"Enter Travel",IF(AND(F935&gt;0,I935="Y"),(G935*H935)+$M$10,IF(AND(F935&gt;0,I935="N"),(G935*H935),H935))))))))</f>
        <v/>
      </c>
      <c r="K935" s="132">
        <f>J935</f>
        <v/>
      </c>
      <c r="L935" s="148" t="n"/>
      <c r="M935" s="148" t="n"/>
      <c r="N935" s="148" t="n"/>
      <c r="O935" s="87" t="n"/>
      <c r="P935" s="81" t="n"/>
      <c r="Q935" s="81" t="n"/>
      <c r="R935" s="81" t="n"/>
      <c r="S935" s="81" t="n"/>
      <c r="T935" s="136">
        <f>IF(AND(E935&gt;0,U935=0),1,"")</f>
        <v/>
      </c>
      <c r="U935" s="136">
        <f>SUM(X935:AR935)</f>
        <v/>
      </c>
      <c r="V935" s="136">
        <f>IF(E935=$Q$16,0,SUM(X935:AI935))</f>
        <v/>
      </c>
      <c r="W935" s="136">
        <f>SUM(AK935:AR935)</f>
        <v/>
      </c>
      <c r="X935" s="136">
        <f>IF(E935=$X$6,1,"")</f>
        <v/>
      </c>
      <c r="Y935" s="136">
        <f>IF(E935=$Y$6,1,"")</f>
        <v/>
      </c>
      <c r="Z935" s="136">
        <f>IF(E935=$Z$6,1,"")</f>
        <v/>
      </c>
      <c r="AA935" s="136">
        <f>IF(E935=$AA$6,1,"")</f>
        <v/>
      </c>
      <c r="AB935" s="136">
        <f>IF(E935=$AB$6,1,"")</f>
        <v/>
      </c>
      <c r="AC935" s="136">
        <f>IF(E935=$AC$6,1,"")</f>
        <v/>
      </c>
      <c r="AD935" s="136">
        <f>IF(E935=$AD$6,1,"")</f>
        <v/>
      </c>
      <c r="AE935" s="136">
        <f>IF(E935=$AE$6,1,"")</f>
        <v/>
      </c>
      <c r="AF935" s="136">
        <f>IF(E935=$AF$6,1,"")</f>
        <v/>
      </c>
      <c r="AG935" s="136">
        <f>IF(E935=$AG$6,1,"")</f>
        <v/>
      </c>
      <c r="AH935" s="136">
        <f>IF(E935=$AH$6,1,"")</f>
        <v/>
      </c>
      <c r="AI935" s="136">
        <f>IF(E935=$AI$6,1,"")</f>
        <v/>
      </c>
      <c r="AJ935" s="136">
        <f>IF(E935=$AJ$6,1,"")</f>
        <v/>
      </c>
      <c r="AK935" s="81">
        <f>IF(E935=$AK$6,1,"")</f>
        <v/>
      </c>
      <c r="AL935" s="81">
        <f>IF(E935=$AL$6,1,"")</f>
        <v/>
      </c>
      <c r="AM935" s="81">
        <f>IF(E935=$AM$6,1,"")</f>
        <v/>
      </c>
      <c r="AN935" s="81">
        <f>IF(E935=$AN$6,1,"")</f>
        <v/>
      </c>
      <c r="AO935" s="81">
        <f>IF(E935=$AO$6,1,"")</f>
        <v/>
      </c>
      <c r="AP935" s="81">
        <f>IF(E935=$AP$6,1,"")</f>
        <v/>
      </c>
      <c r="AQ935" s="81">
        <f>IF(E935=$AQ$6,1,"")</f>
        <v/>
      </c>
      <c r="AR935" s="81">
        <f>IF(E935=$AR$6,1,"")</f>
        <v/>
      </c>
      <c r="AS935" s="81" t="n"/>
    </row>
    <row r="936" ht="15.75" customHeight="1" s="80">
      <c r="A936" s="157" t="n"/>
      <c r="B936" s="124" t="n"/>
      <c r="C936" s="125" t="n"/>
      <c r="D936" s="126" t="n"/>
      <c r="E936" s="127" t="n"/>
      <c r="F936" s="128" t="n"/>
      <c r="G936" s="129">
        <f>IF(F936="","",ROUND(F936/60,2))</f>
        <v/>
      </c>
      <c r="H936" s="130" t="n"/>
      <c r="I936" s="131" t="n"/>
      <c r="J936" s="131">
        <f>IF(COUNTIF(B936:E936,"*")=0,"",IF(T936=1,"Invalid Service",IF(AND(V936=1,F936=""),"Add Session Mins",IF(AND(E936&gt;0,H936="",T936=""),"Enter Contract Rate",IF(AND(E936="IEP mtg, prep, rept",F936&gt;0),(G936*H936),IF(AND(E936&gt;0,F936&gt;0,H936&gt;0,I936=""),"Enter Travel",IF(AND(F936&gt;0,I936="Y"),(G936*H936)+$M$10,IF(AND(F936&gt;0,I936="N"),(G936*H936),H936))))))))</f>
        <v/>
      </c>
      <c r="K936" s="132">
        <f>J936</f>
        <v/>
      </c>
      <c r="L936" s="148" t="n"/>
      <c r="M936" s="148" t="n"/>
      <c r="N936" s="148" t="n"/>
      <c r="O936" s="87" t="n"/>
      <c r="P936" s="81" t="n"/>
      <c r="Q936" s="81" t="n"/>
      <c r="R936" s="81" t="n"/>
      <c r="S936" s="81" t="n"/>
      <c r="T936" s="136">
        <f>IF(AND(E936&gt;0,U936=0),1,"")</f>
        <v/>
      </c>
      <c r="U936" s="136">
        <f>SUM(X936:AR936)</f>
        <v/>
      </c>
      <c r="V936" s="136">
        <f>IF(E936=$Q$16,0,SUM(X936:AI936))</f>
        <v/>
      </c>
      <c r="W936" s="136">
        <f>SUM(AK936:AR936)</f>
        <v/>
      </c>
      <c r="X936" s="136">
        <f>IF(E936=$X$6,1,"")</f>
        <v/>
      </c>
      <c r="Y936" s="136">
        <f>IF(E936=$Y$6,1,"")</f>
        <v/>
      </c>
      <c r="Z936" s="136">
        <f>IF(E936=$Z$6,1,"")</f>
        <v/>
      </c>
      <c r="AA936" s="136">
        <f>IF(E936=$AA$6,1,"")</f>
        <v/>
      </c>
      <c r="AB936" s="136">
        <f>IF(E936=$AB$6,1,"")</f>
        <v/>
      </c>
      <c r="AC936" s="136">
        <f>IF(E936=$AC$6,1,"")</f>
        <v/>
      </c>
      <c r="AD936" s="136">
        <f>IF(E936=$AD$6,1,"")</f>
        <v/>
      </c>
      <c r="AE936" s="136">
        <f>IF(E936=$AE$6,1,"")</f>
        <v/>
      </c>
      <c r="AF936" s="136">
        <f>IF(E936=$AF$6,1,"")</f>
        <v/>
      </c>
      <c r="AG936" s="136">
        <f>IF(E936=$AG$6,1,"")</f>
        <v/>
      </c>
      <c r="AH936" s="136">
        <f>IF(E936=$AH$6,1,"")</f>
        <v/>
      </c>
      <c r="AI936" s="136">
        <f>IF(E936=$AI$6,1,"")</f>
        <v/>
      </c>
      <c r="AJ936" s="136">
        <f>IF(E936=$AJ$6,1,"")</f>
        <v/>
      </c>
      <c r="AK936" s="81">
        <f>IF(E936=$AK$6,1,"")</f>
        <v/>
      </c>
      <c r="AL936" s="81">
        <f>IF(E936=$AL$6,1,"")</f>
        <v/>
      </c>
      <c r="AM936" s="81">
        <f>IF(E936=$AM$6,1,"")</f>
        <v/>
      </c>
      <c r="AN936" s="81">
        <f>IF(E936=$AN$6,1,"")</f>
        <v/>
      </c>
      <c r="AO936" s="81">
        <f>IF(E936=$AO$6,1,"")</f>
        <v/>
      </c>
      <c r="AP936" s="81">
        <f>IF(E936=$AP$6,1,"")</f>
        <v/>
      </c>
      <c r="AQ936" s="81">
        <f>IF(E936=$AQ$6,1,"")</f>
        <v/>
      </c>
      <c r="AR936" s="81">
        <f>IF(E936=$AR$6,1,"")</f>
        <v/>
      </c>
      <c r="AS936" s="81" t="n"/>
    </row>
    <row r="937" ht="15.75" customHeight="1" s="80">
      <c r="A937" s="157" t="n"/>
      <c r="B937" s="124" t="n"/>
      <c r="C937" s="125" t="n"/>
      <c r="D937" s="126" t="n"/>
      <c r="E937" s="127" t="n"/>
      <c r="F937" s="128" t="n"/>
      <c r="G937" s="129">
        <f>IF(F937="","",ROUND(F937/60,2))</f>
        <v/>
      </c>
      <c r="H937" s="130" t="n"/>
      <c r="I937" s="131" t="n"/>
      <c r="J937" s="131">
        <f>IF(COUNTIF(B937:E937,"*")=0,"",IF(T937=1,"Invalid Service",IF(AND(V937=1,F937=""),"Add Session Mins",IF(AND(E937&gt;0,H937="",T937=""),"Enter Contract Rate",IF(AND(E937="IEP mtg, prep, rept",F937&gt;0),(G937*H937),IF(AND(E937&gt;0,F937&gt;0,H937&gt;0,I937=""),"Enter Travel",IF(AND(F937&gt;0,I937="Y"),(G937*H937)+$M$10,IF(AND(F937&gt;0,I937="N"),(G937*H937),H937))))))))</f>
        <v/>
      </c>
      <c r="K937" s="132">
        <f>J937</f>
        <v/>
      </c>
      <c r="L937" s="148" t="n"/>
      <c r="M937" s="148" t="n"/>
      <c r="N937" s="148" t="n"/>
      <c r="O937" s="87" t="n"/>
      <c r="P937" s="81" t="n"/>
      <c r="Q937" s="81" t="n"/>
      <c r="R937" s="81" t="n"/>
      <c r="S937" s="81" t="n"/>
      <c r="T937" s="136">
        <f>IF(AND(E937&gt;0,U937=0),1,"")</f>
        <v/>
      </c>
      <c r="U937" s="136">
        <f>SUM(X937:AR937)</f>
        <v/>
      </c>
      <c r="V937" s="136">
        <f>IF(E937=$Q$16,0,SUM(X937:AI937))</f>
        <v/>
      </c>
      <c r="W937" s="136">
        <f>SUM(AK937:AR937)</f>
        <v/>
      </c>
      <c r="X937" s="136">
        <f>IF(E937=$X$6,1,"")</f>
        <v/>
      </c>
      <c r="Y937" s="136">
        <f>IF(E937=$Y$6,1,"")</f>
        <v/>
      </c>
      <c r="Z937" s="136">
        <f>IF(E937=$Z$6,1,"")</f>
        <v/>
      </c>
      <c r="AA937" s="136">
        <f>IF(E937=$AA$6,1,"")</f>
        <v/>
      </c>
      <c r="AB937" s="136">
        <f>IF(E937=$AB$6,1,"")</f>
        <v/>
      </c>
      <c r="AC937" s="136">
        <f>IF(E937=$AC$6,1,"")</f>
        <v/>
      </c>
      <c r="AD937" s="136">
        <f>IF(E937=$AD$6,1,"")</f>
        <v/>
      </c>
      <c r="AE937" s="136">
        <f>IF(E937=$AE$6,1,"")</f>
        <v/>
      </c>
      <c r="AF937" s="136">
        <f>IF(E937=$AF$6,1,"")</f>
        <v/>
      </c>
      <c r="AG937" s="136">
        <f>IF(E937=$AG$6,1,"")</f>
        <v/>
      </c>
      <c r="AH937" s="136">
        <f>IF(E937=$AH$6,1,"")</f>
        <v/>
      </c>
      <c r="AI937" s="136">
        <f>IF(E937=$AI$6,1,"")</f>
        <v/>
      </c>
      <c r="AJ937" s="136">
        <f>IF(E937=$AJ$6,1,"")</f>
        <v/>
      </c>
      <c r="AK937" s="81">
        <f>IF(E937=$AK$6,1,"")</f>
        <v/>
      </c>
      <c r="AL937" s="81">
        <f>IF(E937=$AL$6,1,"")</f>
        <v/>
      </c>
      <c r="AM937" s="81">
        <f>IF(E937=$AM$6,1,"")</f>
        <v/>
      </c>
      <c r="AN937" s="81">
        <f>IF(E937=$AN$6,1,"")</f>
        <v/>
      </c>
      <c r="AO937" s="81">
        <f>IF(E937=$AO$6,1,"")</f>
        <v/>
      </c>
      <c r="AP937" s="81">
        <f>IF(E937=$AP$6,1,"")</f>
        <v/>
      </c>
      <c r="AQ937" s="81">
        <f>IF(E937=$AQ$6,1,"")</f>
        <v/>
      </c>
      <c r="AR937" s="81">
        <f>IF(E937=$AR$6,1,"")</f>
        <v/>
      </c>
      <c r="AS937" s="81" t="n"/>
    </row>
    <row r="938" ht="15.75" customHeight="1" s="80">
      <c r="A938" s="157" t="n"/>
      <c r="B938" s="124" t="n"/>
      <c r="C938" s="125" t="n"/>
      <c r="D938" s="126" t="n"/>
      <c r="E938" s="127" t="n"/>
      <c r="F938" s="128" t="n"/>
      <c r="G938" s="129">
        <f>IF(F938="","",ROUND(F938/60,2))</f>
        <v/>
      </c>
      <c r="H938" s="130" t="n"/>
      <c r="I938" s="131" t="n"/>
      <c r="J938" s="131">
        <f>IF(COUNTIF(B938:E938,"*")=0,"",IF(T938=1,"Invalid Service",IF(AND(V938=1,F938=""),"Add Session Mins",IF(AND(E938&gt;0,H938="",T938=""),"Enter Contract Rate",IF(AND(E938="IEP mtg, prep, rept",F938&gt;0),(G938*H938),IF(AND(E938&gt;0,F938&gt;0,H938&gt;0,I938=""),"Enter Travel",IF(AND(F938&gt;0,I938="Y"),(G938*H938)+$M$10,IF(AND(F938&gt;0,I938="N"),(G938*H938),H938))))))))</f>
        <v/>
      </c>
      <c r="K938" s="132">
        <f>J938</f>
        <v/>
      </c>
      <c r="L938" s="148" t="n"/>
      <c r="M938" s="148" t="n"/>
      <c r="N938" s="148" t="n"/>
      <c r="O938" s="87" t="n"/>
      <c r="P938" s="81" t="n"/>
      <c r="Q938" s="81" t="n"/>
      <c r="R938" s="81" t="n"/>
      <c r="S938" s="81" t="n"/>
      <c r="T938" s="136">
        <f>IF(AND(E938&gt;0,U938=0),1,"")</f>
        <v/>
      </c>
      <c r="U938" s="136">
        <f>SUM(X938:AR938)</f>
        <v/>
      </c>
      <c r="V938" s="136">
        <f>IF(E938=$Q$16,0,SUM(X938:AI938))</f>
        <v/>
      </c>
      <c r="W938" s="136">
        <f>SUM(AK938:AR938)</f>
        <v/>
      </c>
      <c r="X938" s="136">
        <f>IF(E938=$X$6,1,"")</f>
        <v/>
      </c>
      <c r="Y938" s="136">
        <f>IF(E938=$Y$6,1,"")</f>
        <v/>
      </c>
      <c r="Z938" s="136">
        <f>IF(E938=$Z$6,1,"")</f>
        <v/>
      </c>
      <c r="AA938" s="136">
        <f>IF(E938=$AA$6,1,"")</f>
        <v/>
      </c>
      <c r="AB938" s="136">
        <f>IF(E938=$AB$6,1,"")</f>
        <v/>
      </c>
      <c r="AC938" s="136">
        <f>IF(E938=$AC$6,1,"")</f>
        <v/>
      </c>
      <c r="AD938" s="136">
        <f>IF(E938=$AD$6,1,"")</f>
        <v/>
      </c>
      <c r="AE938" s="136">
        <f>IF(E938=$AE$6,1,"")</f>
        <v/>
      </c>
      <c r="AF938" s="136">
        <f>IF(E938=$AF$6,1,"")</f>
        <v/>
      </c>
      <c r="AG938" s="136">
        <f>IF(E938=$AG$6,1,"")</f>
        <v/>
      </c>
      <c r="AH938" s="136">
        <f>IF(E938=$AH$6,1,"")</f>
        <v/>
      </c>
      <c r="AI938" s="136">
        <f>IF(E938=$AI$6,1,"")</f>
        <v/>
      </c>
      <c r="AJ938" s="136">
        <f>IF(E938=$AJ$6,1,"")</f>
        <v/>
      </c>
      <c r="AK938" s="81">
        <f>IF(E938=$AK$6,1,"")</f>
        <v/>
      </c>
      <c r="AL938" s="81">
        <f>IF(E938=$AL$6,1,"")</f>
        <v/>
      </c>
      <c r="AM938" s="81">
        <f>IF(E938=$AM$6,1,"")</f>
        <v/>
      </c>
      <c r="AN938" s="81">
        <f>IF(E938=$AN$6,1,"")</f>
        <v/>
      </c>
      <c r="AO938" s="81">
        <f>IF(E938=$AO$6,1,"")</f>
        <v/>
      </c>
      <c r="AP938" s="81">
        <f>IF(E938=$AP$6,1,"")</f>
        <v/>
      </c>
      <c r="AQ938" s="81">
        <f>IF(E938=$AQ$6,1,"")</f>
        <v/>
      </c>
      <c r="AR938" s="81">
        <f>IF(E938=$AR$6,1,"")</f>
        <v/>
      </c>
      <c r="AS938" s="81" t="n"/>
    </row>
    <row r="939" ht="15.75" customHeight="1" s="80">
      <c r="A939" s="157" t="n"/>
      <c r="B939" s="124" t="n"/>
      <c r="C939" s="125" t="n"/>
      <c r="D939" s="126" t="n"/>
      <c r="E939" s="127" t="n"/>
      <c r="F939" s="128" t="n"/>
      <c r="G939" s="129">
        <f>IF(F939="","",ROUND(F939/60,2))</f>
        <v/>
      </c>
      <c r="H939" s="130" t="n"/>
      <c r="I939" s="131" t="n"/>
      <c r="J939" s="131">
        <f>IF(COUNTIF(B939:E939,"*")=0,"",IF(T939=1,"Invalid Service",IF(AND(V939=1,F939=""),"Add Session Mins",IF(AND(E939&gt;0,H939="",T939=""),"Enter Contract Rate",IF(AND(E939="IEP mtg, prep, rept",F939&gt;0),(G939*H939),IF(AND(E939&gt;0,F939&gt;0,H939&gt;0,I939=""),"Enter Travel",IF(AND(F939&gt;0,I939="Y"),(G939*H939)+$M$10,IF(AND(F939&gt;0,I939="N"),(G939*H939),H939))))))))</f>
        <v/>
      </c>
      <c r="K939" s="132">
        <f>J939</f>
        <v/>
      </c>
      <c r="L939" s="148" t="n"/>
      <c r="M939" s="148" t="n"/>
      <c r="N939" s="148" t="n"/>
      <c r="O939" s="87" t="n"/>
      <c r="P939" s="81" t="n"/>
      <c r="Q939" s="81" t="n"/>
      <c r="R939" s="81" t="n"/>
      <c r="S939" s="81" t="n"/>
      <c r="T939" s="136">
        <f>IF(AND(E939&gt;0,U939=0),1,"")</f>
        <v/>
      </c>
      <c r="U939" s="136">
        <f>SUM(X939:AR939)</f>
        <v/>
      </c>
      <c r="V939" s="136">
        <f>IF(E939=$Q$16,0,SUM(X939:AI939))</f>
        <v/>
      </c>
      <c r="W939" s="136">
        <f>SUM(AK939:AR939)</f>
        <v/>
      </c>
      <c r="X939" s="136">
        <f>IF(E939=$X$6,1,"")</f>
        <v/>
      </c>
      <c r="Y939" s="136">
        <f>IF(E939=$Y$6,1,"")</f>
        <v/>
      </c>
      <c r="Z939" s="136">
        <f>IF(E939=$Z$6,1,"")</f>
        <v/>
      </c>
      <c r="AA939" s="136">
        <f>IF(E939=$AA$6,1,"")</f>
        <v/>
      </c>
      <c r="AB939" s="136">
        <f>IF(E939=$AB$6,1,"")</f>
        <v/>
      </c>
      <c r="AC939" s="136">
        <f>IF(E939=$AC$6,1,"")</f>
        <v/>
      </c>
      <c r="AD939" s="136">
        <f>IF(E939=$AD$6,1,"")</f>
        <v/>
      </c>
      <c r="AE939" s="136">
        <f>IF(E939=$AE$6,1,"")</f>
        <v/>
      </c>
      <c r="AF939" s="136">
        <f>IF(E939=$AF$6,1,"")</f>
        <v/>
      </c>
      <c r="AG939" s="136">
        <f>IF(E939=$AG$6,1,"")</f>
        <v/>
      </c>
      <c r="AH939" s="136">
        <f>IF(E939=$AH$6,1,"")</f>
        <v/>
      </c>
      <c r="AI939" s="136">
        <f>IF(E939=$AI$6,1,"")</f>
        <v/>
      </c>
      <c r="AJ939" s="136">
        <f>IF(E939=$AJ$6,1,"")</f>
        <v/>
      </c>
      <c r="AK939" s="81">
        <f>IF(E939=$AK$6,1,"")</f>
        <v/>
      </c>
      <c r="AL939" s="81">
        <f>IF(E939=$AL$6,1,"")</f>
        <v/>
      </c>
      <c r="AM939" s="81">
        <f>IF(E939=$AM$6,1,"")</f>
        <v/>
      </c>
      <c r="AN939" s="81">
        <f>IF(E939=$AN$6,1,"")</f>
        <v/>
      </c>
      <c r="AO939" s="81">
        <f>IF(E939=$AO$6,1,"")</f>
        <v/>
      </c>
      <c r="AP939" s="81">
        <f>IF(E939=$AP$6,1,"")</f>
        <v/>
      </c>
      <c r="AQ939" s="81">
        <f>IF(E939=$AQ$6,1,"")</f>
        <v/>
      </c>
      <c r="AR939" s="81">
        <f>IF(E939=$AR$6,1,"")</f>
        <v/>
      </c>
      <c r="AS939" s="81" t="n"/>
    </row>
    <row r="940" ht="15.75" customHeight="1" s="80">
      <c r="A940" s="157" t="n"/>
      <c r="B940" s="124" t="n"/>
      <c r="C940" s="125" t="n"/>
      <c r="D940" s="126" t="n"/>
      <c r="E940" s="127" t="n"/>
      <c r="F940" s="128" t="n"/>
      <c r="G940" s="129">
        <f>IF(F940="","",ROUND(F940/60,2))</f>
        <v/>
      </c>
      <c r="H940" s="130" t="n"/>
      <c r="I940" s="131" t="n"/>
      <c r="J940" s="131">
        <f>IF(COUNTIF(B940:E940,"*")=0,"",IF(T940=1,"Invalid Service",IF(AND(V940=1,F940=""),"Add Session Mins",IF(AND(E940&gt;0,H940="",T940=""),"Enter Contract Rate",IF(AND(E940="IEP mtg, prep, rept",F940&gt;0),(G940*H940),IF(AND(E940&gt;0,F940&gt;0,H940&gt;0,I940=""),"Enter Travel",IF(AND(F940&gt;0,I940="Y"),(G940*H940)+$M$10,IF(AND(F940&gt;0,I940="N"),(G940*H940),H940))))))))</f>
        <v/>
      </c>
      <c r="K940" s="132">
        <f>J940</f>
        <v/>
      </c>
      <c r="L940" s="148" t="n"/>
      <c r="M940" s="148" t="n"/>
      <c r="N940" s="148" t="n"/>
      <c r="O940" s="87" t="n"/>
      <c r="P940" s="81" t="n"/>
      <c r="Q940" s="81" t="n"/>
      <c r="R940" s="81" t="n"/>
      <c r="S940" s="81" t="n"/>
      <c r="T940" s="136">
        <f>IF(AND(E940&gt;0,U940=0),1,"")</f>
        <v/>
      </c>
      <c r="U940" s="136">
        <f>SUM(X940:AR940)</f>
        <v/>
      </c>
      <c r="V940" s="136">
        <f>IF(E940=$Q$16,0,SUM(X940:AI940))</f>
        <v/>
      </c>
      <c r="W940" s="136">
        <f>SUM(AK940:AR940)</f>
        <v/>
      </c>
      <c r="X940" s="136">
        <f>IF(E940=$X$6,1,"")</f>
        <v/>
      </c>
      <c r="Y940" s="136">
        <f>IF(E940=$Y$6,1,"")</f>
        <v/>
      </c>
      <c r="Z940" s="136">
        <f>IF(E940=$Z$6,1,"")</f>
        <v/>
      </c>
      <c r="AA940" s="136">
        <f>IF(E940=$AA$6,1,"")</f>
        <v/>
      </c>
      <c r="AB940" s="136">
        <f>IF(E940=$AB$6,1,"")</f>
        <v/>
      </c>
      <c r="AC940" s="136">
        <f>IF(E940=$AC$6,1,"")</f>
        <v/>
      </c>
      <c r="AD940" s="136">
        <f>IF(E940=$AD$6,1,"")</f>
        <v/>
      </c>
      <c r="AE940" s="136">
        <f>IF(E940=$AE$6,1,"")</f>
        <v/>
      </c>
      <c r="AF940" s="136">
        <f>IF(E940=$AF$6,1,"")</f>
        <v/>
      </c>
      <c r="AG940" s="136">
        <f>IF(E940=$AG$6,1,"")</f>
        <v/>
      </c>
      <c r="AH940" s="136">
        <f>IF(E940=$AH$6,1,"")</f>
        <v/>
      </c>
      <c r="AI940" s="136">
        <f>IF(E940=$AI$6,1,"")</f>
        <v/>
      </c>
      <c r="AJ940" s="136">
        <f>IF(E940=$AJ$6,1,"")</f>
        <v/>
      </c>
      <c r="AK940" s="81">
        <f>IF(E940=$AK$6,1,"")</f>
        <v/>
      </c>
      <c r="AL940" s="81">
        <f>IF(E940=$AL$6,1,"")</f>
        <v/>
      </c>
      <c r="AM940" s="81">
        <f>IF(E940=$AM$6,1,"")</f>
        <v/>
      </c>
      <c r="AN940" s="81">
        <f>IF(E940=$AN$6,1,"")</f>
        <v/>
      </c>
      <c r="AO940" s="81">
        <f>IF(E940=$AO$6,1,"")</f>
        <v/>
      </c>
      <c r="AP940" s="81">
        <f>IF(E940=$AP$6,1,"")</f>
        <v/>
      </c>
      <c r="AQ940" s="81">
        <f>IF(E940=$AQ$6,1,"")</f>
        <v/>
      </c>
      <c r="AR940" s="81">
        <f>IF(E940=$AR$6,1,"")</f>
        <v/>
      </c>
      <c r="AS940" s="81" t="n"/>
    </row>
    <row r="941" ht="15.75" customHeight="1" s="80">
      <c r="A941" s="157" t="n"/>
      <c r="B941" s="124" t="n"/>
      <c r="C941" s="125" t="n"/>
      <c r="D941" s="126" t="n"/>
      <c r="E941" s="127" t="n"/>
      <c r="F941" s="128" t="n"/>
      <c r="G941" s="129">
        <f>IF(F941="","",ROUND(F941/60,2))</f>
        <v/>
      </c>
      <c r="H941" s="130" t="n"/>
      <c r="I941" s="131" t="n"/>
      <c r="J941" s="131">
        <f>IF(COUNTIF(B941:E941,"*")=0,"",IF(T941=1,"Invalid Service",IF(AND(V941=1,F941=""),"Add Session Mins",IF(AND(E941&gt;0,H941="",T941=""),"Enter Contract Rate",IF(AND(E941="IEP mtg, prep, rept",F941&gt;0),(G941*H941),IF(AND(E941&gt;0,F941&gt;0,H941&gt;0,I941=""),"Enter Travel",IF(AND(F941&gt;0,I941="Y"),(G941*H941)+$M$10,IF(AND(F941&gt;0,I941="N"),(G941*H941),H941))))))))</f>
        <v/>
      </c>
      <c r="K941" s="132">
        <f>J941</f>
        <v/>
      </c>
      <c r="L941" s="148" t="n"/>
      <c r="M941" s="148" t="n"/>
      <c r="N941" s="148" t="n"/>
      <c r="O941" s="87" t="n"/>
      <c r="P941" s="81" t="n"/>
      <c r="Q941" s="81" t="n"/>
      <c r="R941" s="81" t="n"/>
      <c r="S941" s="81" t="n"/>
      <c r="T941" s="136">
        <f>IF(AND(E941&gt;0,U941=0),1,"")</f>
        <v/>
      </c>
      <c r="U941" s="136">
        <f>SUM(X941:AR941)</f>
        <v/>
      </c>
      <c r="V941" s="136">
        <f>IF(E941=$Q$16,0,SUM(X941:AI941))</f>
        <v/>
      </c>
      <c r="W941" s="136">
        <f>SUM(AK941:AR941)</f>
        <v/>
      </c>
      <c r="X941" s="136">
        <f>IF(E941=$X$6,1,"")</f>
        <v/>
      </c>
      <c r="Y941" s="136">
        <f>IF(E941=$Y$6,1,"")</f>
        <v/>
      </c>
      <c r="Z941" s="136">
        <f>IF(E941=$Z$6,1,"")</f>
        <v/>
      </c>
      <c r="AA941" s="136">
        <f>IF(E941=$AA$6,1,"")</f>
        <v/>
      </c>
      <c r="AB941" s="136">
        <f>IF(E941=$AB$6,1,"")</f>
        <v/>
      </c>
      <c r="AC941" s="136">
        <f>IF(E941=$AC$6,1,"")</f>
        <v/>
      </c>
      <c r="AD941" s="136">
        <f>IF(E941=$AD$6,1,"")</f>
        <v/>
      </c>
      <c r="AE941" s="136">
        <f>IF(E941=$AE$6,1,"")</f>
        <v/>
      </c>
      <c r="AF941" s="136">
        <f>IF(E941=$AF$6,1,"")</f>
        <v/>
      </c>
      <c r="AG941" s="136">
        <f>IF(E941=$AG$6,1,"")</f>
        <v/>
      </c>
      <c r="AH941" s="136">
        <f>IF(E941=$AH$6,1,"")</f>
        <v/>
      </c>
      <c r="AI941" s="136">
        <f>IF(E941=$AI$6,1,"")</f>
        <v/>
      </c>
      <c r="AJ941" s="136">
        <f>IF(E941=$AJ$6,1,"")</f>
        <v/>
      </c>
      <c r="AK941" s="81">
        <f>IF(E941=$AK$6,1,"")</f>
        <v/>
      </c>
      <c r="AL941" s="81">
        <f>IF(E941=$AL$6,1,"")</f>
        <v/>
      </c>
      <c r="AM941" s="81">
        <f>IF(E941=$AM$6,1,"")</f>
        <v/>
      </c>
      <c r="AN941" s="81">
        <f>IF(E941=$AN$6,1,"")</f>
        <v/>
      </c>
      <c r="AO941" s="81">
        <f>IF(E941=$AO$6,1,"")</f>
        <v/>
      </c>
      <c r="AP941" s="81">
        <f>IF(E941=$AP$6,1,"")</f>
        <v/>
      </c>
      <c r="AQ941" s="81">
        <f>IF(E941=$AQ$6,1,"")</f>
        <v/>
      </c>
      <c r="AR941" s="81">
        <f>IF(E941=$AR$6,1,"")</f>
        <v/>
      </c>
      <c r="AS941" s="81" t="n"/>
    </row>
    <row r="942" ht="15.75" customHeight="1" s="80">
      <c r="A942" s="157" t="n"/>
      <c r="B942" s="124" t="n"/>
      <c r="C942" s="125" t="n"/>
      <c r="D942" s="126" t="n"/>
      <c r="E942" s="127" t="n"/>
      <c r="F942" s="128" t="n"/>
      <c r="G942" s="129">
        <f>IF(F942="","",ROUND(F942/60,2))</f>
        <v/>
      </c>
      <c r="H942" s="130" t="n"/>
      <c r="I942" s="131" t="n"/>
      <c r="J942" s="131">
        <f>IF(COUNTIF(B942:E942,"*")=0,"",IF(T942=1,"Invalid Service",IF(AND(V942=1,F942=""),"Add Session Mins",IF(AND(E942&gt;0,H942="",T942=""),"Enter Contract Rate",IF(AND(E942="IEP mtg, prep, rept",F942&gt;0),(G942*H942),IF(AND(E942&gt;0,F942&gt;0,H942&gt;0,I942=""),"Enter Travel",IF(AND(F942&gt;0,I942="Y"),(G942*H942)+$M$10,IF(AND(F942&gt;0,I942="N"),(G942*H942),H942))))))))</f>
        <v/>
      </c>
      <c r="K942" s="132">
        <f>J942</f>
        <v/>
      </c>
      <c r="L942" s="148" t="n"/>
      <c r="M942" s="148" t="n"/>
      <c r="N942" s="148" t="n"/>
      <c r="O942" s="87" t="n"/>
      <c r="P942" s="81" t="n"/>
      <c r="Q942" s="81" t="n"/>
      <c r="R942" s="81" t="n"/>
      <c r="S942" s="81" t="n"/>
      <c r="T942" s="136">
        <f>IF(AND(E942&gt;0,U942=0),1,"")</f>
        <v/>
      </c>
      <c r="U942" s="136">
        <f>SUM(X942:AR942)</f>
        <v/>
      </c>
      <c r="V942" s="136">
        <f>IF(E942=$Q$16,0,SUM(X942:AI942))</f>
        <v/>
      </c>
      <c r="W942" s="136">
        <f>SUM(AK942:AR942)</f>
        <v/>
      </c>
      <c r="X942" s="136">
        <f>IF(E942=$X$6,1,"")</f>
        <v/>
      </c>
      <c r="Y942" s="136">
        <f>IF(E942=$Y$6,1,"")</f>
        <v/>
      </c>
      <c r="Z942" s="136">
        <f>IF(E942=$Z$6,1,"")</f>
        <v/>
      </c>
      <c r="AA942" s="136">
        <f>IF(E942=$AA$6,1,"")</f>
        <v/>
      </c>
      <c r="AB942" s="136">
        <f>IF(E942=$AB$6,1,"")</f>
        <v/>
      </c>
      <c r="AC942" s="136">
        <f>IF(E942=$AC$6,1,"")</f>
        <v/>
      </c>
      <c r="AD942" s="136">
        <f>IF(E942=$AD$6,1,"")</f>
        <v/>
      </c>
      <c r="AE942" s="136">
        <f>IF(E942=$AE$6,1,"")</f>
        <v/>
      </c>
      <c r="AF942" s="136">
        <f>IF(E942=$AF$6,1,"")</f>
        <v/>
      </c>
      <c r="AG942" s="136">
        <f>IF(E942=$AG$6,1,"")</f>
        <v/>
      </c>
      <c r="AH942" s="136">
        <f>IF(E942=$AH$6,1,"")</f>
        <v/>
      </c>
      <c r="AI942" s="136">
        <f>IF(E942=$AI$6,1,"")</f>
        <v/>
      </c>
      <c r="AJ942" s="136">
        <f>IF(E942=$AJ$6,1,"")</f>
        <v/>
      </c>
      <c r="AK942" s="81">
        <f>IF(E942=$AK$6,1,"")</f>
        <v/>
      </c>
      <c r="AL942" s="81">
        <f>IF(E942=$AL$6,1,"")</f>
        <v/>
      </c>
      <c r="AM942" s="81">
        <f>IF(E942=$AM$6,1,"")</f>
        <v/>
      </c>
      <c r="AN942" s="81">
        <f>IF(E942=$AN$6,1,"")</f>
        <v/>
      </c>
      <c r="AO942" s="81">
        <f>IF(E942=$AO$6,1,"")</f>
        <v/>
      </c>
      <c r="AP942" s="81">
        <f>IF(E942=$AP$6,1,"")</f>
        <v/>
      </c>
      <c r="AQ942" s="81">
        <f>IF(E942=$AQ$6,1,"")</f>
        <v/>
      </c>
      <c r="AR942" s="81">
        <f>IF(E942=$AR$6,1,"")</f>
        <v/>
      </c>
      <c r="AS942" s="81" t="n"/>
    </row>
    <row r="943" ht="15.75" customHeight="1" s="80">
      <c r="A943" s="157" t="n"/>
      <c r="B943" s="124" t="n"/>
      <c r="C943" s="125" t="n"/>
      <c r="D943" s="126" t="n"/>
      <c r="E943" s="127" t="n"/>
      <c r="F943" s="128" t="n"/>
      <c r="G943" s="129">
        <f>IF(F943="","",ROUND(F943/60,2))</f>
        <v/>
      </c>
      <c r="H943" s="130" t="n"/>
      <c r="I943" s="131" t="n"/>
      <c r="J943" s="131">
        <f>IF(COUNTIF(B943:E943,"*")=0,"",IF(T943=1,"Invalid Service",IF(AND(V943=1,F943=""),"Add Session Mins",IF(AND(E943&gt;0,H943="",T943=""),"Enter Contract Rate",IF(AND(E943="IEP mtg, prep, rept",F943&gt;0),(G943*H943),IF(AND(E943&gt;0,F943&gt;0,H943&gt;0,I943=""),"Enter Travel",IF(AND(F943&gt;0,I943="Y"),(G943*H943)+$M$10,IF(AND(F943&gt;0,I943="N"),(G943*H943),H943))))))))</f>
        <v/>
      </c>
      <c r="K943" s="132">
        <f>J943</f>
        <v/>
      </c>
      <c r="L943" s="148" t="n"/>
      <c r="M943" s="148" t="n"/>
      <c r="N943" s="148" t="n"/>
      <c r="O943" s="87" t="n"/>
      <c r="P943" s="81" t="n"/>
      <c r="Q943" s="81" t="n"/>
      <c r="R943" s="81" t="n"/>
      <c r="S943" s="81" t="n"/>
      <c r="T943" s="136">
        <f>IF(AND(E943&gt;0,U943=0),1,"")</f>
        <v/>
      </c>
      <c r="U943" s="136">
        <f>SUM(X943:AR943)</f>
        <v/>
      </c>
      <c r="V943" s="136">
        <f>IF(E943=$Q$16,0,SUM(X943:AI943))</f>
        <v/>
      </c>
      <c r="W943" s="136">
        <f>SUM(AK943:AR943)</f>
        <v/>
      </c>
      <c r="X943" s="136">
        <f>IF(E943=$X$6,1,"")</f>
        <v/>
      </c>
      <c r="Y943" s="136">
        <f>IF(E943=$Y$6,1,"")</f>
        <v/>
      </c>
      <c r="Z943" s="136">
        <f>IF(E943=$Z$6,1,"")</f>
        <v/>
      </c>
      <c r="AA943" s="136">
        <f>IF(E943=$AA$6,1,"")</f>
        <v/>
      </c>
      <c r="AB943" s="136">
        <f>IF(E943=$AB$6,1,"")</f>
        <v/>
      </c>
      <c r="AC943" s="136">
        <f>IF(E943=$AC$6,1,"")</f>
        <v/>
      </c>
      <c r="AD943" s="136">
        <f>IF(E943=$AD$6,1,"")</f>
        <v/>
      </c>
      <c r="AE943" s="136">
        <f>IF(E943=$AE$6,1,"")</f>
        <v/>
      </c>
      <c r="AF943" s="136">
        <f>IF(E943=$AF$6,1,"")</f>
        <v/>
      </c>
      <c r="AG943" s="136">
        <f>IF(E943=$AG$6,1,"")</f>
        <v/>
      </c>
      <c r="AH943" s="136">
        <f>IF(E943=$AH$6,1,"")</f>
        <v/>
      </c>
      <c r="AI943" s="136">
        <f>IF(E943=$AI$6,1,"")</f>
        <v/>
      </c>
      <c r="AJ943" s="136">
        <f>IF(E943=$AJ$6,1,"")</f>
        <v/>
      </c>
      <c r="AK943" s="81">
        <f>IF(E943=$AK$6,1,"")</f>
        <v/>
      </c>
      <c r="AL943" s="81">
        <f>IF(E943=$AL$6,1,"")</f>
        <v/>
      </c>
      <c r="AM943" s="81">
        <f>IF(E943=$AM$6,1,"")</f>
        <v/>
      </c>
      <c r="AN943" s="81">
        <f>IF(E943=$AN$6,1,"")</f>
        <v/>
      </c>
      <c r="AO943" s="81">
        <f>IF(E943=$AO$6,1,"")</f>
        <v/>
      </c>
      <c r="AP943" s="81">
        <f>IF(E943=$AP$6,1,"")</f>
        <v/>
      </c>
      <c r="AQ943" s="81">
        <f>IF(E943=$AQ$6,1,"")</f>
        <v/>
      </c>
      <c r="AR943" s="81">
        <f>IF(E943=$AR$6,1,"")</f>
        <v/>
      </c>
      <c r="AS943" s="81" t="n"/>
    </row>
    <row r="944" ht="15.75" customHeight="1" s="80">
      <c r="A944" s="157" t="n"/>
      <c r="B944" s="124" t="n"/>
      <c r="C944" s="125" t="n"/>
      <c r="D944" s="126" t="n"/>
      <c r="E944" s="127" t="n"/>
      <c r="F944" s="128" t="n"/>
      <c r="G944" s="129">
        <f>IF(F944="","",ROUND(F944/60,2))</f>
        <v/>
      </c>
      <c r="H944" s="130" t="n"/>
      <c r="I944" s="131" t="n"/>
      <c r="J944" s="131">
        <f>IF(COUNTIF(B944:E944,"*")=0,"",IF(T944=1,"Invalid Service",IF(AND(V944=1,F944=""),"Add Session Mins",IF(AND(E944&gt;0,H944="",T944=""),"Enter Contract Rate",IF(AND(E944="IEP mtg, prep, rept",F944&gt;0),(G944*H944),IF(AND(E944&gt;0,F944&gt;0,H944&gt;0,I944=""),"Enter Travel",IF(AND(F944&gt;0,I944="Y"),(G944*H944)+$M$10,IF(AND(F944&gt;0,I944="N"),(G944*H944),H944))))))))</f>
        <v/>
      </c>
      <c r="K944" s="132">
        <f>J944</f>
        <v/>
      </c>
      <c r="L944" s="148" t="n"/>
      <c r="M944" s="148" t="n"/>
      <c r="N944" s="148" t="n"/>
      <c r="O944" s="87" t="n"/>
      <c r="P944" s="81" t="n"/>
      <c r="Q944" s="81" t="n"/>
      <c r="R944" s="81" t="n"/>
      <c r="S944" s="81" t="n"/>
      <c r="T944" s="136">
        <f>IF(AND(E944&gt;0,U944=0),1,"")</f>
        <v/>
      </c>
      <c r="U944" s="136">
        <f>SUM(X944:AR944)</f>
        <v/>
      </c>
      <c r="V944" s="136">
        <f>IF(E944=$Q$16,0,SUM(X944:AI944))</f>
        <v/>
      </c>
      <c r="W944" s="136">
        <f>SUM(AK944:AR944)</f>
        <v/>
      </c>
      <c r="X944" s="136">
        <f>IF(E944=$X$6,1,"")</f>
        <v/>
      </c>
      <c r="Y944" s="136">
        <f>IF(E944=$Y$6,1,"")</f>
        <v/>
      </c>
      <c r="Z944" s="136">
        <f>IF(E944=$Z$6,1,"")</f>
        <v/>
      </c>
      <c r="AA944" s="136">
        <f>IF(E944=$AA$6,1,"")</f>
        <v/>
      </c>
      <c r="AB944" s="136">
        <f>IF(E944=$AB$6,1,"")</f>
        <v/>
      </c>
      <c r="AC944" s="136">
        <f>IF(E944=$AC$6,1,"")</f>
        <v/>
      </c>
      <c r="AD944" s="136">
        <f>IF(E944=$AD$6,1,"")</f>
        <v/>
      </c>
      <c r="AE944" s="136">
        <f>IF(E944=$AE$6,1,"")</f>
        <v/>
      </c>
      <c r="AF944" s="136">
        <f>IF(E944=$AF$6,1,"")</f>
        <v/>
      </c>
      <c r="AG944" s="136">
        <f>IF(E944=$AG$6,1,"")</f>
        <v/>
      </c>
      <c r="AH944" s="136">
        <f>IF(E944=$AH$6,1,"")</f>
        <v/>
      </c>
      <c r="AI944" s="136">
        <f>IF(E944=$AI$6,1,"")</f>
        <v/>
      </c>
      <c r="AJ944" s="136">
        <f>IF(E944=$AJ$6,1,"")</f>
        <v/>
      </c>
      <c r="AK944" s="81">
        <f>IF(E944=$AK$6,1,"")</f>
        <v/>
      </c>
      <c r="AL944" s="81">
        <f>IF(E944=$AL$6,1,"")</f>
        <v/>
      </c>
      <c r="AM944" s="81">
        <f>IF(E944=$AM$6,1,"")</f>
        <v/>
      </c>
      <c r="AN944" s="81">
        <f>IF(E944=$AN$6,1,"")</f>
        <v/>
      </c>
      <c r="AO944" s="81">
        <f>IF(E944=$AO$6,1,"")</f>
        <v/>
      </c>
      <c r="AP944" s="81">
        <f>IF(E944=$AP$6,1,"")</f>
        <v/>
      </c>
      <c r="AQ944" s="81">
        <f>IF(E944=$AQ$6,1,"")</f>
        <v/>
      </c>
      <c r="AR944" s="81">
        <f>IF(E944=$AR$6,1,"")</f>
        <v/>
      </c>
      <c r="AS944" s="81" t="n"/>
    </row>
    <row r="945" ht="15.75" customHeight="1" s="80">
      <c r="A945" s="157" t="n"/>
      <c r="B945" s="124" t="n"/>
      <c r="C945" s="125" t="n"/>
      <c r="D945" s="126" t="n"/>
      <c r="E945" s="127" t="n"/>
      <c r="F945" s="128" t="n"/>
      <c r="G945" s="129">
        <f>IF(F945="","",ROUND(F945/60,2))</f>
        <v/>
      </c>
      <c r="H945" s="130" t="n"/>
      <c r="I945" s="131" t="n"/>
      <c r="J945" s="131">
        <f>IF(COUNTIF(B945:E945,"*")=0,"",IF(T945=1,"Invalid Service",IF(AND(V945=1,F945=""),"Add Session Mins",IF(AND(E945&gt;0,H945="",T945=""),"Enter Contract Rate",IF(AND(E945="IEP mtg, prep, rept",F945&gt;0),(G945*H945),IF(AND(E945&gt;0,F945&gt;0,H945&gt;0,I945=""),"Enter Travel",IF(AND(F945&gt;0,I945="Y"),(G945*H945)+$M$10,IF(AND(F945&gt;0,I945="N"),(G945*H945),H945))))))))</f>
        <v/>
      </c>
      <c r="K945" s="132">
        <f>J945</f>
        <v/>
      </c>
      <c r="L945" s="148" t="n"/>
      <c r="M945" s="148" t="n"/>
      <c r="N945" s="148" t="n"/>
      <c r="O945" s="87" t="n"/>
      <c r="P945" s="81" t="n"/>
      <c r="Q945" s="81" t="n"/>
      <c r="R945" s="81" t="n"/>
      <c r="S945" s="81" t="n"/>
      <c r="T945" s="136">
        <f>IF(AND(E945&gt;0,U945=0),1,"")</f>
        <v/>
      </c>
      <c r="U945" s="136">
        <f>SUM(X945:AR945)</f>
        <v/>
      </c>
      <c r="V945" s="136">
        <f>IF(E945=$Q$16,0,SUM(X945:AI945))</f>
        <v/>
      </c>
      <c r="W945" s="136">
        <f>SUM(AK945:AR945)</f>
        <v/>
      </c>
      <c r="X945" s="136">
        <f>IF(E945=$X$6,1,"")</f>
        <v/>
      </c>
      <c r="Y945" s="136">
        <f>IF(E945=$Y$6,1,"")</f>
        <v/>
      </c>
      <c r="Z945" s="136">
        <f>IF(E945=$Z$6,1,"")</f>
        <v/>
      </c>
      <c r="AA945" s="136">
        <f>IF(E945=$AA$6,1,"")</f>
        <v/>
      </c>
      <c r="AB945" s="136">
        <f>IF(E945=$AB$6,1,"")</f>
        <v/>
      </c>
      <c r="AC945" s="136">
        <f>IF(E945=$AC$6,1,"")</f>
        <v/>
      </c>
      <c r="AD945" s="136">
        <f>IF(E945=$AD$6,1,"")</f>
        <v/>
      </c>
      <c r="AE945" s="136">
        <f>IF(E945=$AE$6,1,"")</f>
        <v/>
      </c>
      <c r="AF945" s="136">
        <f>IF(E945=$AF$6,1,"")</f>
        <v/>
      </c>
      <c r="AG945" s="136">
        <f>IF(E945=$AG$6,1,"")</f>
        <v/>
      </c>
      <c r="AH945" s="136">
        <f>IF(E945=$AH$6,1,"")</f>
        <v/>
      </c>
      <c r="AI945" s="136">
        <f>IF(E945=$AI$6,1,"")</f>
        <v/>
      </c>
      <c r="AJ945" s="136">
        <f>IF(E945=$AJ$6,1,"")</f>
        <v/>
      </c>
      <c r="AK945" s="81">
        <f>IF(E945=$AK$6,1,"")</f>
        <v/>
      </c>
      <c r="AL945" s="81">
        <f>IF(E945=$AL$6,1,"")</f>
        <v/>
      </c>
      <c r="AM945" s="81">
        <f>IF(E945=$AM$6,1,"")</f>
        <v/>
      </c>
      <c r="AN945" s="81">
        <f>IF(E945=$AN$6,1,"")</f>
        <v/>
      </c>
      <c r="AO945" s="81">
        <f>IF(E945=$AO$6,1,"")</f>
        <v/>
      </c>
      <c r="AP945" s="81">
        <f>IF(E945=$AP$6,1,"")</f>
        <v/>
      </c>
      <c r="AQ945" s="81">
        <f>IF(E945=$AQ$6,1,"")</f>
        <v/>
      </c>
      <c r="AR945" s="81">
        <f>IF(E945=$AR$6,1,"")</f>
        <v/>
      </c>
      <c r="AS945" s="81" t="n"/>
    </row>
    <row r="946" ht="15.75" customHeight="1" s="80">
      <c r="A946" s="157" t="n"/>
      <c r="B946" s="124" t="n"/>
      <c r="C946" s="125" t="n"/>
      <c r="D946" s="126" t="n"/>
      <c r="E946" s="127" t="n"/>
      <c r="F946" s="128" t="n"/>
      <c r="G946" s="129">
        <f>IF(F946="","",ROUND(F946/60,2))</f>
        <v/>
      </c>
      <c r="H946" s="130" t="n"/>
      <c r="I946" s="131" t="n"/>
      <c r="J946" s="131">
        <f>IF(COUNTIF(B946:E946,"*")=0,"",IF(T946=1,"Invalid Service",IF(AND(V946=1,F946=""),"Add Session Mins",IF(AND(E946&gt;0,H946="",T946=""),"Enter Contract Rate",IF(AND(E946="IEP mtg, prep, rept",F946&gt;0),(G946*H946),IF(AND(E946&gt;0,F946&gt;0,H946&gt;0,I946=""),"Enter Travel",IF(AND(F946&gt;0,I946="Y"),(G946*H946)+$M$10,IF(AND(F946&gt;0,I946="N"),(G946*H946),H946))))))))</f>
        <v/>
      </c>
      <c r="K946" s="132">
        <f>J946</f>
        <v/>
      </c>
      <c r="L946" s="148" t="n"/>
      <c r="M946" s="148" t="n"/>
      <c r="N946" s="148" t="n"/>
      <c r="O946" s="87" t="n"/>
      <c r="P946" s="81" t="n"/>
      <c r="Q946" s="81" t="n"/>
      <c r="R946" s="81" t="n"/>
      <c r="S946" s="81" t="n"/>
      <c r="T946" s="136">
        <f>IF(AND(E946&gt;0,U946=0),1,"")</f>
        <v/>
      </c>
      <c r="U946" s="136">
        <f>SUM(X946:AR946)</f>
        <v/>
      </c>
      <c r="V946" s="136">
        <f>IF(E946=$Q$16,0,SUM(X946:AI946))</f>
        <v/>
      </c>
      <c r="W946" s="136">
        <f>SUM(AK946:AR946)</f>
        <v/>
      </c>
      <c r="X946" s="136">
        <f>IF(E946=$X$6,1,"")</f>
        <v/>
      </c>
      <c r="Y946" s="136">
        <f>IF(E946=$Y$6,1,"")</f>
        <v/>
      </c>
      <c r="Z946" s="136">
        <f>IF(E946=$Z$6,1,"")</f>
        <v/>
      </c>
      <c r="AA946" s="136">
        <f>IF(E946=$AA$6,1,"")</f>
        <v/>
      </c>
      <c r="AB946" s="136">
        <f>IF(E946=$AB$6,1,"")</f>
        <v/>
      </c>
      <c r="AC946" s="136">
        <f>IF(E946=$AC$6,1,"")</f>
        <v/>
      </c>
      <c r="AD946" s="136">
        <f>IF(E946=$AD$6,1,"")</f>
        <v/>
      </c>
      <c r="AE946" s="136">
        <f>IF(E946=$AE$6,1,"")</f>
        <v/>
      </c>
      <c r="AF946" s="136">
        <f>IF(E946=$AF$6,1,"")</f>
        <v/>
      </c>
      <c r="AG946" s="136">
        <f>IF(E946=$AG$6,1,"")</f>
        <v/>
      </c>
      <c r="AH946" s="136">
        <f>IF(E946=$AH$6,1,"")</f>
        <v/>
      </c>
      <c r="AI946" s="136">
        <f>IF(E946=$AI$6,1,"")</f>
        <v/>
      </c>
      <c r="AJ946" s="136">
        <f>IF(E946=$AJ$6,1,"")</f>
        <v/>
      </c>
      <c r="AK946" s="81">
        <f>IF(E946=$AK$6,1,"")</f>
        <v/>
      </c>
      <c r="AL946" s="81">
        <f>IF(E946=$AL$6,1,"")</f>
        <v/>
      </c>
      <c r="AM946" s="81">
        <f>IF(E946=$AM$6,1,"")</f>
        <v/>
      </c>
      <c r="AN946" s="81">
        <f>IF(E946=$AN$6,1,"")</f>
        <v/>
      </c>
      <c r="AO946" s="81">
        <f>IF(E946=$AO$6,1,"")</f>
        <v/>
      </c>
      <c r="AP946" s="81">
        <f>IF(E946=$AP$6,1,"")</f>
        <v/>
      </c>
      <c r="AQ946" s="81">
        <f>IF(E946=$AQ$6,1,"")</f>
        <v/>
      </c>
      <c r="AR946" s="81">
        <f>IF(E946=$AR$6,1,"")</f>
        <v/>
      </c>
      <c r="AS946" s="81" t="n"/>
    </row>
    <row r="947" ht="15.75" customHeight="1" s="80">
      <c r="A947" s="157" t="n"/>
      <c r="B947" s="124" t="n"/>
      <c r="C947" s="125" t="n"/>
      <c r="D947" s="126" t="n"/>
      <c r="E947" s="127" t="n"/>
      <c r="F947" s="128" t="n"/>
      <c r="G947" s="129">
        <f>IF(F947="","",ROUND(F947/60,2))</f>
        <v/>
      </c>
      <c r="H947" s="130" t="n"/>
      <c r="I947" s="131" t="n"/>
      <c r="J947" s="131">
        <f>IF(COUNTIF(B947:E947,"*")=0,"",IF(T947=1,"Invalid Service",IF(AND(V947=1,F947=""),"Add Session Mins",IF(AND(E947&gt;0,H947="",T947=""),"Enter Contract Rate",IF(AND(E947="IEP mtg, prep, rept",F947&gt;0),(G947*H947),IF(AND(E947&gt;0,F947&gt;0,H947&gt;0,I947=""),"Enter Travel",IF(AND(F947&gt;0,I947="Y"),(G947*H947)+$M$10,IF(AND(F947&gt;0,I947="N"),(G947*H947),H947))))))))</f>
        <v/>
      </c>
      <c r="K947" s="132">
        <f>J947</f>
        <v/>
      </c>
      <c r="L947" s="148" t="n"/>
      <c r="M947" s="148" t="n"/>
      <c r="N947" s="148" t="n"/>
      <c r="O947" s="87" t="n"/>
      <c r="P947" s="81" t="n"/>
      <c r="Q947" s="81" t="n"/>
      <c r="R947" s="81" t="n"/>
      <c r="S947" s="81" t="n"/>
      <c r="T947" s="136">
        <f>IF(AND(E947&gt;0,U947=0),1,"")</f>
        <v/>
      </c>
      <c r="U947" s="136">
        <f>SUM(X947:AR947)</f>
        <v/>
      </c>
      <c r="V947" s="136">
        <f>IF(E947=$Q$16,0,SUM(X947:AI947))</f>
        <v/>
      </c>
      <c r="W947" s="136">
        <f>SUM(AK947:AR947)</f>
        <v/>
      </c>
      <c r="X947" s="136">
        <f>IF(E947=$X$6,1,"")</f>
        <v/>
      </c>
      <c r="Y947" s="136">
        <f>IF(E947=$Y$6,1,"")</f>
        <v/>
      </c>
      <c r="Z947" s="136">
        <f>IF(E947=$Z$6,1,"")</f>
        <v/>
      </c>
      <c r="AA947" s="136">
        <f>IF(E947=$AA$6,1,"")</f>
        <v/>
      </c>
      <c r="AB947" s="136">
        <f>IF(E947=$AB$6,1,"")</f>
        <v/>
      </c>
      <c r="AC947" s="136">
        <f>IF(E947=$AC$6,1,"")</f>
        <v/>
      </c>
      <c r="AD947" s="136">
        <f>IF(E947=$AD$6,1,"")</f>
        <v/>
      </c>
      <c r="AE947" s="136">
        <f>IF(E947=$AE$6,1,"")</f>
        <v/>
      </c>
      <c r="AF947" s="136">
        <f>IF(E947=$AF$6,1,"")</f>
        <v/>
      </c>
      <c r="AG947" s="136">
        <f>IF(E947=$AG$6,1,"")</f>
        <v/>
      </c>
      <c r="AH947" s="136">
        <f>IF(E947=$AH$6,1,"")</f>
        <v/>
      </c>
      <c r="AI947" s="136">
        <f>IF(E947=$AI$6,1,"")</f>
        <v/>
      </c>
      <c r="AJ947" s="136">
        <f>IF(E947=$AJ$6,1,"")</f>
        <v/>
      </c>
      <c r="AK947" s="81">
        <f>IF(E947=$AK$6,1,"")</f>
        <v/>
      </c>
      <c r="AL947" s="81">
        <f>IF(E947=$AL$6,1,"")</f>
        <v/>
      </c>
      <c r="AM947" s="81">
        <f>IF(E947=$AM$6,1,"")</f>
        <v/>
      </c>
      <c r="AN947" s="81">
        <f>IF(E947=$AN$6,1,"")</f>
        <v/>
      </c>
      <c r="AO947" s="81">
        <f>IF(E947=$AO$6,1,"")</f>
        <v/>
      </c>
      <c r="AP947" s="81">
        <f>IF(E947=$AP$6,1,"")</f>
        <v/>
      </c>
      <c r="AQ947" s="81">
        <f>IF(E947=$AQ$6,1,"")</f>
        <v/>
      </c>
      <c r="AR947" s="81">
        <f>IF(E947=$AR$6,1,"")</f>
        <v/>
      </c>
      <c r="AS947" s="81" t="n"/>
    </row>
    <row r="948" ht="15.75" customHeight="1" s="80">
      <c r="A948" s="157" t="n"/>
      <c r="B948" s="124" t="n"/>
      <c r="C948" s="125" t="n"/>
      <c r="D948" s="126" t="n"/>
      <c r="E948" s="127" t="n"/>
      <c r="F948" s="128" t="n"/>
      <c r="G948" s="129">
        <f>IF(F948="","",ROUND(F948/60,2))</f>
        <v/>
      </c>
      <c r="H948" s="130" t="n"/>
      <c r="I948" s="131" t="n"/>
      <c r="J948" s="131">
        <f>IF(COUNTIF(B948:E948,"*")=0,"",IF(T948=1,"Invalid Service",IF(AND(V948=1,F948=""),"Add Session Mins",IF(AND(E948&gt;0,H948="",T948=""),"Enter Contract Rate",IF(AND(E948="IEP mtg, prep, rept",F948&gt;0),(G948*H948),IF(AND(E948&gt;0,F948&gt;0,H948&gt;0,I948=""),"Enter Travel",IF(AND(F948&gt;0,I948="Y"),(G948*H948)+$M$10,IF(AND(F948&gt;0,I948="N"),(G948*H948),H948))))))))</f>
        <v/>
      </c>
      <c r="K948" s="132">
        <f>J948</f>
        <v/>
      </c>
      <c r="L948" s="148" t="n"/>
      <c r="M948" s="148" t="n"/>
      <c r="N948" s="148" t="n"/>
      <c r="O948" s="87" t="n"/>
      <c r="P948" s="81" t="n"/>
      <c r="Q948" s="81" t="n"/>
      <c r="R948" s="81" t="n"/>
      <c r="S948" s="81" t="n"/>
      <c r="T948" s="136">
        <f>IF(AND(E948&gt;0,U948=0),1,"")</f>
        <v/>
      </c>
      <c r="U948" s="136">
        <f>SUM(X948:AR948)</f>
        <v/>
      </c>
      <c r="V948" s="136">
        <f>IF(E948=$Q$16,0,SUM(X948:AI948))</f>
        <v/>
      </c>
      <c r="W948" s="136">
        <f>SUM(AK948:AR948)</f>
        <v/>
      </c>
      <c r="X948" s="136">
        <f>IF(E948=$X$6,1,"")</f>
        <v/>
      </c>
      <c r="Y948" s="136">
        <f>IF(E948=$Y$6,1,"")</f>
        <v/>
      </c>
      <c r="Z948" s="136">
        <f>IF(E948=$Z$6,1,"")</f>
        <v/>
      </c>
      <c r="AA948" s="136">
        <f>IF(E948=$AA$6,1,"")</f>
        <v/>
      </c>
      <c r="AB948" s="136">
        <f>IF(E948=$AB$6,1,"")</f>
        <v/>
      </c>
      <c r="AC948" s="136">
        <f>IF(E948=$AC$6,1,"")</f>
        <v/>
      </c>
      <c r="AD948" s="136">
        <f>IF(E948=$AD$6,1,"")</f>
        <v/>
      </c>
      <c r="AE948" s="136">
        <f>IF(E948=$AE$6,1,"")</f>
        <v/>
      </c>
      <c r="AF948" s="136">
        <f>IF(E948=$AF$6,1,"")</f>
        <v/>
      </c>
      <c r="AG948" s="136">
        <f>IF(E948=$AG$6,1,"")</f>
        <v/>
      </c>
      <c r="AH948" s="136">
        <f>IF(E948=$AH$6,1,"")</f>
        <v/>
      </c>
      <c r="AI948" s="136">
        <f>IF(E948=$AI$6,1,"")</f>
        <v/>
      </c>
      <c r="AJ948" s="136">
        <f>IF(E948=$AJ$6,1,"")</f>
        <v/>
      </c>
      <c r="AK948" s="81">
        <f>IF(E948=$AK$6,1,"")</f>
        <v/>
      </c>
      <c r="AL948" s="81">
        <f>IF(E948=$AL$6,1,"")</f>
        <v/>
      </c>
      <c r="AM948" s="81">
        <f>IF(E948=$AM$6,1,"")</f>
        <v/>
      </c>
      <c r="AN948" s="81">
        <f>IF(E948=$AN$6,1,"")</f>
        <v/>
      </c>
      <c r="AO948" s="81">
        <f>IF(E948=$AO$6,1,"")</f>
        <v/>
      </c>
      <c r="AP948" s="81">
        <f>IF(E948=$AP$6,1,"")</f>
        <v/>
      </c>
      <c r="AQ948" s="81">
        <f>IF(E948=$AQ$6,1,"")</f>
        <v/>
      </c>
      <c r="AR948" s="81">
        <f>IF(E948=$AR$6,1,"")</f>
        <v/>
      </c>
      <c r="AS948" s="81" t="n"/>
    </row>
    <row r="949" ht="15.75" customHeight="1" s="80">
      <c r="A949" s="157" t="n"/>
      <c r="B949" s="124" t="n"/>
      <c r="C949" s="125" t="n"/>
      <c r="D949" s="126" t="n"/>
      <c r="E949" s="127" t="n"/>
      <c r="F949" s="128" t="n"/>
      <c r="G949" s="129">
        <f>IF(F949="","",ROUND(F949/60,2))</f>
        <v/>
      </c>
      <c r="H949" s="130" t="n"/>
      <c r="I949" s="131" t="n"/>
      <c r="J949" s="131">
        <f>IF(COUNTIF(B949:E949,"*")=0,"",IF(T949=1,"Invalid Service",IF(AND(V949=1,F949=""),"Add Session Mins",IF(AND(E949&gt;0,H949="",T949=""),"Enter Contract Rate",IF(AND(E949="IEP mtg, prep, rept",F949&gt;0),(G949*H949),IF(AND(E949&gt;0,F949&gt;0,H949&gt;0,I949=""),"Enter Travel",IF(AND(F949&gt;0,I949="Y"),(G949*H949)+$M$10,IF(AND(F949&gt;0,I949="N"),(G949*H949),H949))))))))</f>
        <v/>
      </c>
      <c r="K949" s="132">
        <f>J949</f>
        <v/>
      </c>
      <c r="L949" s="148" t="n"/>
      <c r="M949" s="148" t="n"/>
      <c r="N949" s="148" t="n"/>
      <c r="O949" s="87" t="n"/>
      <c r="P949" s="81" t="n"/>
      <c r="Q949" s="81" t="n"/>
      <c r="R949" s="81" t="n"/>
      <c r="S949" s="81" t="n"/>
      <c r="T949" s="136">
        <f>IF(AND(E949&gt;0,U949=0),1,"")</f>
        <v/>
      </c>
      <c r="U949" s="136">
        <f>SUM(X949:AR949)</f>
        <v/>
      </c>
      <c r="V949" s="136">
        <f>IF(E949=$Q$16,0,SUM(X949:AI949))</f>
        <v/>
      </c>
      <c r="W949" s="136">
        <f>SUM(AK949:AR949)</f>
        <v/>
      </c>
      <c r="X949" s="136">
        <f>IF(E949=$X$6,1,"")</f>
        <v/>
      </c>
      <c r="Y949" s="136">
        <f>IF(E949=$Y$6,1,"")</f>
        <v/>
      </c>
      <c r="Z949" s="136">
        <f>IF(E949=$Z$6,1,"")</f>
        <v/>
      </c>
      <c r="AA949" s="136">
        <f>IF(E949=$AA$6,1,"")</f>
        <v/>
      </c>
      <c r="AB949" s="136">
        <f>IF(E949=$AB$6,1,"")</f>
        <v/>
      </c>
      <c r="AC949" s="136">
        <f>IF(E949=$AC$6,1,"")</f>
        <v/>
      </c>
      <c r="AD949" s="136">
        <f>IF(E949=$AD$6,1,"")</f>
        <v/>
      </c>
      <c r="AE949" s="136">
        <f>IF(E949=$AE$6,1,"")</f>
        <v/>
      </c>
      <c r="AF949" s="136">
        <f>IF(E949=$AF$6,1,"")</f>
        <v/>
      </c>
      <c r="AG949" s="136">
        <f>IF(E949=$AG$6,1,"")</f>
        <v/>
      </c>
      <c r="AH949" s="136">
        <f>IF(E949=$AH$6,1,"")</f>
        <v/>
      </c>
      <c r="AI949" s="136">
        <f>IF(E949=$AI$6,1,"")</f>
        <v/>
      </c>
      <c r="AJ949" s="136">
        <f>IF(E949=$AJ$6,1,"")</f>
        <v/>
      </c>
      <c r="AK949" s="81">
        <f>IF(E949=$AK$6,1,"")</f>
        <v/>
      </c>
      <c r="AL949" s="81">
        <f>IF(E949=$AL$6,1,"")</f>
        <v/>
      </c>
      <c r="AM949" s="81">
        <f>IF(E949=$AM$6,1,"")</f>
        <v/>
      </c>
      <c r="AN949" s="81">
        <f>IF(E949=$AN$6,1,"")</f>
        <v/>
      </c>
      <c r="AO949" s="81">
        <f>IF(E949=$AO$6,1,"")</f>
        <v/>
      </c>
      <c r="AP949" s="81">
        <f>IF(E949=$AP$6,1,"")</f>
        <v/>
      </c>
      <c r="AQ949" s="81">
        <f>IF(E949=$AQ$6,1,"")</f>
        <v/>
      </c>
      <c r="AR949" s="81">
        <f>IF(E949=$AR$6,1,"")</f>
        <v/>
      </c>
      <c r="AS949" s="81" t="n"/>
    </row>
    <row r="950" ht="15.75" customHeight="1" s="80">
      <c r="A950" s="157" t="n"/>
      <c r="B950" s="124" t="n"/>
      <c r="C950" s="125" t="n"/>
      <c r="D950" s="126" t="n"/>
      <c r="E950" s="127" t="n"/>
      <c r="F950" s="128" t="n"/>
      <c r="G950" s="129">
        <f>IF(F950="","",ROUND(F950/60,2))</f>
        <v/>
      </c>
      <c r="H950" s="130" t="n"/>
      <c r="I950" s="131" t="n"/>
      <c r="J950" s="131">
        <f>IF(COUNTIF(B950:E950,"*")=0,"",IF(T950=1,"Invalid Service",IF(AND(V950=1,F950=""),"Add Session Mins",IF(AND(E950&gt;0,H950="",T950=""),"Enter Contract Rate",IF(AND(E950="IEP mtg, prep, rept",F950&gt;0),(G950*H950),IF(AND(E950&gt;0,F950&gt;0,H950&gt;0,I950=""),"Enter Travel",IF(AND(F950&gt;0,I950="Y"),(G950*H950)+$M$10,IF(AND(F950&gt;0,I950="N"),(G950*H950),H950))))))))</f>
        <v/>
      </c>
      <c r="K950" s="132">
        <f>J950</f>
        <v/>
      </c>
      <c r="L950" s="148" t="n"/>
      <c r="M950" s="148" t="n"/>
      <c r="N950" s="148" t="n"/>
      <c r="O950" s="87" t="n"/>
      <c r="P950" s="81" t="n"/>
      <c r="Q950" s="81" t="n"/>
      <c r="R950" s="81" t="n"/>
      <c r="S950" s="81" t="n"/>
      <c r="T950" s="136">
        <f>IF(AND(E950&gt;0,U950=0),1,"")</f>
        <v/>
      </c>
      <c r="U950" s="136">
        <f>SUM(X950:AR950)</f>
        <v/>
      </c>
      <c r="V950" s="136">
        <f>IF(E950=$Q$16,0,SUM(X950:AI950))</f>
        <v/>
      </c>
      <c r="W950" s="136">
        <f>SUM(AK950:AR950)</f>
        <v/>
      </c>
      <c r="X950" s="136">
        <f>IF(E950=$X$6,1,"")</f>
        <v/>
      </c>
      <c r="Y950" s="136">
        <f>IF(E950=$Y$6,1,"")</f>
        <v/>
      </c>
      <c r="Z950" s="136">
        <f>IF(E950=$Z$6,1,"")</f>
        <v/>
      </c>
      <c r="AA950" s="136">
        <f>IF(E950=$AA$6,1,"")</f>
        <v/>
      </c>
      <c r="AB950" s="136">
        <f>IF(E950=$AB$6,1,"")</f>
        <v/>
      </c>
      <c r="AC950" s="136">
        <f>IF(E950=$AC$6,1,"")</f>
        <v/>
      </c>
      <c r="AD950" s="136">
        <f>IF(E950=$AD$6,1,"")</f>
        <v/>
      </c>
      <c r="AE950" s="136">
        <f>IF(E950=$AE$6,1,"")</f>
        <v/>
      </c>
      <c r="AF950" s="136">
        <f>IF(E950=$AF$6,1,"")</f>
        <v/>
      </c>
      <c r="AG950" s="136">
        <f>IF(E950=$AG$6,1,"")</f>
        <v/>
      </c>
      <c r="AH950" s="136">
        <f>IF(E950=$AH$6,1,"")</f>
        <v/>
      </c>
      <c r="AI950" s="136">
        <f>IF(E950=$AI$6,1,"")</f>
        <v/>
      </c>
      <c r="AJ950" s="136">
        <f>IF(E950=$AJ$6,1,"")</f>
        <v/>
      </c>
      <c r="AK950" s="81">
        <f>IF(E950=$AK$6,1,"")</f>
        <v/>
      </c>
      <c r="AL950" s="81">
        <f>IF(E950=$AL$6,1,"")</f>
        <v/>
      </c>
      <c r="AM950" s="81">
        <f>IF(E950=$AM$6,1,"")</f>
        <v/>
      </c>
      <c r="AN950" s="81">
        <f>IF(E950=$AN$6,1,"")</f>
        <v/>
      </c>
      <c r="AO950" s="81">
        <f>IF(E950=$AO$6,1,"")</f>
        <v/>
      </c>
      <c r="AP950" s="81">
        <f>IF(E950=$AP$6,1,"")</f>
        <v/>
      </c>
      <c r="AQ950" s="81">
        <f>IF(E950=$AQ$6,1,"")</f>
        <v/>
      </c>
      <c r="AR950" s="81">
        <f>IF(E950=$AR$6,1,"")</f>
        <v/>
      </c>
      <c r="AS950" s="81" t="n"/>
    </row>
    <row r="951" ht="15.75" customHeight="1" s="80">
      <c r="A951" s="157" t="n"/>
      <c r="B951" s="124" t="n"/>
      <c r="C951" s="125" t="n"/>
      <c r="D951" s="126" t="n"/>
      <c r="E951" s="127" t="n"/>
      <c r="F951" s="128" t="n"/>
      <c r="G951" s="129">
        <f>IF(F951="","",ROUND(F951/60,2))</f>
        <v/>
      </c>
      <c r="H951" s="130" t="n"/>
      <c r="I951" s="131" t="n"/>
      <c r="J951" s="131">
        <f>IF(COUNTIF(B951:E951,"*")=0,"",IF(T951=1,"Invalid Service",IF(AND(V951=1,F951=""),"Add Session Mins",IF(AND(E951&gt;0,H951="",T951=""),"Enter Contract Rate",IF(AND(E951="IEP mtg, prep, rept",F951&gt;0),(G951*H951),IF(AND(E951&gt;0,F951&gt;0,H951&gt;0,I951=""),"Enter Travel",IF(AND(F951&gt;0,I951="Y"),(G951*H951)+$M$10,IF(AND(F951&gt;0,I951="N"),(G951*H951),H951))))))))</f>
        <v/>
      </c>
      <c r="K951" s="132">
        <f>J951</f>
        <v/>
      </c>
      <c r="L951" s="148" t="n"/>
      <c r="M951" s="148" t="n"/>
      <c r="N951" s="148" t="n"/>
      <c r="O951" s="87" t="n"/>
      <c r="P951" s="81" t="n"/>
      <c r="Q951" s="81" t="n"/>
      <c r="R951" s="81" t="n"/>
      <c r="S951" s="81" t="n"/>
      <c r="T951" s="136">
        <f>IF(AND(E951&gt;0,U951=0),1,"")</f>
        <v/>
      </c>
      <c r="U951" s="136">
        <f>SUM(X951:AR951)</f>
        <v/>
      </c>
      <c r="V951" s="136">
        <f>IF(E951=$Q$16,0,SUM(X951:AI951))</f>
        <v/>
      </c>
      <c r="W951" s="136">
        <f>SUM(AK951:AR951)</f>
        <v/>
      </c>
      <c r="X951" s="136">
        <f>IF(E951=$X$6,1,"")</f>
        <v/>
      </c>
      <c r="Y951" s="136">
        <f>IF(E951=$Y$6,1,"")</f>
        <v/>
      </c>
      <c r="Z951" s="136">
        <f>IF(E951=$Z$6,1,"")</f>
        <v/>
      </c>
      <c r="AA951" s="136">
        <f>IF(E951=$AA$6,1,"")</f>
        <v/>
      </c>
      <c r="AB951" s="136">
        <f>IF(E951=$AB$6,1,"")</f>
        <v/>
      </c>
      <c r="AC951" s="136">
        <f>IF(E951=$AC$6,1,"")</f>
        <v/>
      </c>
      <c r="AD951" s="136">
        <f>IF(E951=$AD$6,1,"")</f>
        <v/>
      </c>
      <c r="AE951" s="136">
        <f>IF(E951=$AE$6,1,"")</f>
        <v/>
      </c>
      <c r="AF951" s="136">
        <f>IF(E951=$AF$6,1,"")</f>
        <v/>
      </c>
      <c r="AG951" s="136">
        <f>IF(E951=$AG$6,1,"")</f>
        <v/>
      </c>
      <c r="AH951" s="136">
        <f>IF(E951=$AH$6,1,"")</f>
        <v/>
      </c>
      <c r="AI951" s="136">
        <f>IF(E951=$AI$6,1,"")</f>
        <v/>
      </c>
      <c r="AJ951" s="136">
        <f>IF(E951=$AJ$6,1,"")</f>
        <v/>
      </c>
      <c r="AK951" s="81">
        <f>IF(E951=$AK$6,1,"")</f>
        <v/>
      </c>
      <c r="AL951" s="81">
        <f>IF(E951=$AL$6,1,"")</f>
        <v/>
      </c>
      <c r="AM951" s="81">
        <f>IF(E951=$AM$6,1,"")</f>
        <v/>
      </c>
      <c r="AN951" s="81">
        <f>IF(E951=$AN$6,1,"")</f>
        <v/>
      </c>
      <c r="AO951" s="81">
        <f>IF(E951=$AO$6,1,"")</f>
        <v/>
      </c>
      <c r="AP951" s="81">
        <f>IF(E951=$AP$6,1,"")</f>
        <v/>
      </c>
      <c r="AQ951" s="81">
        <f>IF(E951=$AQ$6,1,"")</f>
        <v/>
      </c>
      <c r="AR951" s="81">
        <f>IF(E951=$AR$6,1,"")</f>
        <v/>
      </c>
      <c r="AS951" s="81" t="n"/>
    </row>
    <row r="952" ht="15.75" customHeight="1" s="80">
      <c r="A952" s="157" t="n"/>
      <c r="B952" s="124" t="n"/>
      <c r="C952" s="125" t="n"/>
      <c r="D952" s="126" t="n"/>
      <c r="E952" s="127" t="n"/>
      <c r="F952" s="128" t="n"/>
      <c r="G952" s="129">
        <f>IF(F952="","",ROUND(F952/60,2))</f>
        <v/>
      </c>
      <c r="H952" s="130" t="n"/>
      <c r="I952" s="131" t="n"/>
      <c r="J952" s="131">
        <f>IF(COUNTIF(B952:E952,"*")=0,"",IF(T952=1,"Invalid Service",IF(AND(V952=1,F952=""),"Add Session Mins",IF(AND(E952&gt;0,H952="",T952=""),"Enter Contract Rate",IF(AND(E952="IEP mtg, prep, rept",F952&gt;0),(G952*H952),IF(AND(E952&gt;0,F952&gt;0,H952&gt;0,I952=""),"Enter Travel",IF(AND(F952&gt;0,I952="Y"),(G952*H952)+$M$10,IF(AND(F952&gt;0,I952="N"),(G952*H952),H952))))))))</f>
        <v/>
      </c>
      <c r="K952" s="132">
        <f>J952</f>
        <v/>
      </c>
      <c r="L952" s="148" t="n"/>
      <c r="M952" s="148" t="n"/>
      <c r="N952" s="148" t="n"/>
      <c r="O952" s="87" t="n"/>
      <c r="P952" s="81" t="n"/>
      <c r="Q952" s="81" t="n"/>
      <c r="R952" s="81" t="n"/>
      <c r="S952" s="81" t="n"/>
      <c r="T952" s="136">
        <f>IF(AND(E952&gt;0,U952=0),1,"")</f>
        <v/>
      </c>
      <c r="U952" s="136">
        <f>SUM(X952:AR952)</f>
        <v/>
      </c>
      <c r="V952" s="136">
        <f>IF(E952=$Q$16,0,SUM(X952:AI952))</f>
        <v/>
      </c>
      <c r="W952" s="136">
        <f>SUM(AK952:AR952)</f>
        <v/>
      </c>
      <c r="X952" s="136">
        <f>IF(E952=$X$6,1,"")</f>
        <v/>
      </c>
      <c r="Y952" s="136">
        <f>IF(E952=$Y$6,1,"")</f>
        <v/>
      </c>
      <c r="Z952" s="136">
        <f>IF(E952=$Z$6,1,"")</f>
        <v/>
      </c>
      <c r="AA952" s="136">
        <f>IF(E952=$AA$6,1,"")</f>
        <v/>
      </c>
      <c r="AB952" s="136">
        <f>IF(E952=$AB$6,1,"")</f>
        <v/>
      </c>
      <c r="AC952" s="136">
        <f>IF(E952=$AC$6,1,"")</f>
        <v/>
      </c>
      <c r="AD952" s="136">
        <f>IF(E952=$AD$6,1,"")</f>
        <v/>
      </c>
      <c r="AE952" s="136">
        <f>IF(E952=$AE$6,1,"")</f>
        <v/>
      </c>
      <c r="AF952" s="136">
        <f>IF(E952=$AF$6,1,"")</f>
        <v/>
      </c>
      <c r="AG952" s="136">
        <f>IF(E952=$AG$6,1,"")</f>
        <v/>
      </c>
      <c r="AH952" s="136">
        <f>IF(E952=$AH$6,1,"")</f>
        <v/>
      </c>
      <c r="AI952" s="136">
        <f>IF(E952=$AI$6,1,"")</f>
        <v/>
      </c>
      <c r="AJ952" s="136">
        <f>IF(E952=$AJ$6,1,"")</f>
        <v/>
      </c>
      <c r="AK952" s="81">
        <f>IF(E952=$AK$6,1,"")</f>
        <v/>
      </c>
      <c r="AL952" s="81">
        <f>IF(E952=$AL$6,1,"")</f>
        <v/>
      </c>
      <c r="AM952" s="81">
        <f>IF(E952=$AM$6,1,"")</f>
        <v/>
      </c>
      <c r="AN952" s="81">
        <f>IF(E952=$AN$6,1,"")</f>
        <v/>
      </c>
      <c r="AO952" s="81">
        <f>IF(E952=$AO$6,1,"")</f>
        <v/>
      </c>
      <c r="AP952" s="81">
        <f>IF(E952=$AP$6,1,"")</f>
        <v/>
      </c>
      <c r="AQ952" s="81">
        <f>IF(E952=$AQ$6,1,"")</f>
        <v/>
      </c>
      <c r="AR952" s="81">
        <f>IF(E952=$AR$6,1,"")</f>
        <v/>
      </c>
      <c r="AS952" s="81" t="n"/>
    </row>
    <row r="953" ht="15.75" customHeight="1" s="80">
      <c r="A953" s="157" t="n"/>
      <c r="B953" s="124" t="n"/>
      <c r="C953" s="125" t="n"/>
      <c r="D953" s="126" t="n"/>
      <c r="E953" s="127" t="n"/>
      <c r="F953" s="128" t="n"/>
      <c r="G953" s="129">
        <f>IF(F953="","",ROUND(F953/60,2))</f>
        <v/>
      </c>
      <c r="H953" s="130" t="n"/>
      <c r="I953" s="131" t="n"/>
      <c r="J953" s="131">
        <f>IF(COUNTIF(B953:E953,"*")=0,"",IF(T953=1,"Invalid Service",IF(AND(V953=1,F953=""),"Add Session Mins",IF(AND(E953&gt;0,H953="",T953=""),"Enter Contract Rate",IF(AND(E953="IEP mtg, prep, rept",F953&gt;0),(G953*H953),IF(AND(E953&gt;0,F953&gt;0,H953&gt;0,I953=""),"Enter Travel",IF(AND(F953&gt;0,I953="Y"),(G953*H953)+$M$10,IF(AND(F953&gt;0,I953="N"),(G953*H953),H953))))))))</f>
        <v/>
      </c>
      <c r="K953" s="132">
        <f>J953</f>
        <v/>
      </c>
      <c r="L953" s="148" t="n"/>
      <c r="M953" s="148" t="n"/>
      <c r="N953" s="148" t="n"/>
      <c r="O953" s="87" t="n"/>
      <c r="P953" s="81" t="n"/>
      <c r="Q953" s="81" t="n"/>
      <c r="R953" s="81" t="n"/>
      <c r="S953" s="81" t="n"/>
      <c r="T953" s="136">
        <f>IF(AND(E953&gt;0,U953=0),1,"")</f>
        <v/>
      </c>
      <c r="U953" s="136">
        <f>SUM(X953:AR953)</f>
        <v/>
      </c>
      <c r="V953" s="136">
        <f>IF(E953=$Q$16,0,SUM(X953:AI953))</f>
        <v/>
      </c>
      <c r="W953" s="136">
        <f>SUM(AK953:AR953)</f>
        <v/>
      </c>
      <c r="X953" s="136">
        <f>IF(E953=$X$6,1,"")</f>
        <v/>
      </c>
      <c r="Y953" s="136">
        <f>IF(E953=$Y$6,1,"")</f>
        <v/>
      </c>
      <c r="Z953" s="136">
        <f>IF(E953=$Z$6,1,"")</f>
        <v/>
      </c>
      <c r="AA953" s="136">
        <f>IF(E953=$AA$6,1,"")</f>
        <v/>
      </c>
      <c r="AB953" s="136">
        <f>IF(E953=$AB$6,1,"")</f>
        <v/>
      </c>
      <c r="AC953" s="136">
        <f>IF(E953=$AC$6,1,"")</f>
        <v/>
      </c>
      <c r="AD953" s="136">
        <f>IF(E953=$AD$6,1,"")</f>
        <v/>
      </c>
      <c r="AE953" s="136">
        <f>IF(E953=$AE$6,1,"")</f>
        <v/>
      </c>
      <c r="AF953" s="136">
        <f>IF(E953=$AF$6,1,"")</f>
        <v/>
      </c>
      <c r="AG953" s="136">
        <f>IF(E953=$AG$6,1,"")</f>
        <v/>
      </c>
      <c r="AH953" s="136">
        <f>IF(E953=$AH$6,1,"")</f>
        <v/>
      </c>
      <c r="AI953" s="136">
        <f>IF(E953=$AI$6,1,"")</f>
        <v/>
      </c>
      <c r="AJ953" s="136">
        <f>IF(E953=$AJ$6,1,"")</f>
        <v/>
      </c>
      <c r="AK953" s="81">
        <f>IF(E953=$AK$6,1,"")</f>
        <v/>
      </c>
      <c r="AL953" s="81">
        <f>IF(E953=$AL$6,1,"")</f>
        <v/>
      </c>
      <c r="AM953" s="81">
        <f>IF(E953=$AM$6,1,"")</f>
        <v/>
      </c>
      <c r="AN953" s="81">
        <f>IF(E953=$AN$6,1,"")</f>
        <v/>
      </c>
      <c r="AO953" s="81">
        <f>IF(E953=$AO$6,1,"")</f>
        <v/>
      </c>
      <c r="AP953" s="81">
        <f>IF(E953=$AP$6,1,"")</f>
        <v/>
      </c>
      <c r="AQ953" s="81">
        <f>IF(E953=$AQ$6,1,"")</f>
        <v/>
      </c>
      <c r="AR953" s="81">
        <f>IF(E953=$AR$6,1,"")</f>
        <v/>
      </c>
      <c r="AS953" s="81" t="n"/>
    </row>
    <row r="954" ht="15.75" customHeight="1" s="80">
      <c r="A954" s="157" t="n"/>
      <c r="B954" s="124" t="n"/>
      <c r="C954" s="125" t="n"/>
      <c r="D954" s="126" t="n"/>
      <c r="E954" s="127" t="n"/>
      <c r="F954" s="128" t="n"/>
      <c r="G954" s="129">
        <f>IF(F954="","",ROUND(F954/60,2))</f>
        <v/>
      </c>
      <c r="H954" s="130" t="n"/>
      <c r="I954" s="131" t="n"/>
      <c r="J954" s="131">
        <f>IF(COUNTIF(B954:E954,"*")=0,"",IF(T954=1,"Invalid Service",IF(AND(V954=1,F954=""),"Add Session Mins",IF(AND(E954&gt;0,H954="",T954=""),"Enter Contract Rate",IF(AND(E954="IEP mtg, prep, rept",F954&gt;0),(G954*H954),IF(AND(E954&gt;0,F954&gt;0,H954&gt;0,I954=""),"Enter Travel",IF(AND(F954&gt;0,I954="Y"),(G954*H954)+$M$10,IF(AND(F954&gt;0,I954="N"),(G954*H954),H954))))))))</f>
        <v/>
      </c>
      <c r="K954" s="132">
        <f>J954</f>
        <v/>
      </c>
      <c r="L954" s="148" t="n"/>
      <c r="M954" s="148" t="n"/>
      <c r="N954" s="148" t="n"/>
      <c r="O954" s="87" t="n"/>
      <c r="P954" s="81" t="n"/>
      <c r="Q954" s="81" t="n"/>
      <c r="R954" s="81" t="n"/>
      <c r="S954" s="81" t="n"/>
      <c r="T954" s="136">
        <f>IF(AND(E954&gt;0,U954=0),1,"")</f>
        <v/>
      </c>
      <c r="U954" s="136">
        <f>SUM(X954:AR954)</f>
        <v/>
      </c>
      <c r="V954" s="136">
        <f>IF(E954=$Q$16,0,SUM(X954:AI954))</f>
        <v/>
      </c>
      <c r="W954" s="136">
        <f>SUM(AK954:AR954)</f>
        <v/>
      </c>
      <c r="X954" s="136">
        <f>IF(E954=$X$6,1,"")</f>
        <v/>
      </c>
      <c r="Y954" s="136">
        <f>IF(E954=$Y$6,1,"")</f>
        <v/>
      </c>
      <c r="Z954" s="136">
        <f>IF(E954=$Z$6,1,"")</f>
        <v/>
      </c>
      <c r="AA954" s="136">
        <f>IF(E954=$AA$6,1,"")</f>
        <v/>
      </c>
      <c r="AB954" s="136">
        <f>IF(E954=$AB$6,1,"")</f>
        <v/>
      </c>
      <c r="AC954" s="136">
        <f>IF(E954=$AC$6,1,"")</f>
        <v/>
      </c>
      <c r="AD954" s="136">
        <f>IF(E954=$AD$6,1,"")</f>
        <v/>
      </c>
      <c r="AE954" s="136">
        <f>IF(E954=$AE$6,1,"")</f>
        <v/>
      </c>
      <c r="AF954" s="136">
        <f>IF(E954=$AF$6,1,"")</f>
        <v/>
      </c>
      <c r="AG954" s="136">
        <f>IF(E954=$AG$6,1,"")</f>
        <v/>
      </c>
      <c r="AH954" s="136">
        <f>IF(E954=$AH$6,1,"")</f>
        <v/>
      </c>
      <c r="AI954" s="136">
        <f>IF(E954=$AI$6,1,"")</f>
        <v/>
      </c>
      <c r="AJ954" s="136">
        <f>IF(E954=$AJ$6,1,"")</f>
        <v/>
      </c>
      <c r="AK954" s="81">
        <f>IF(E954=$AK$6,1,"")</f>
        <v/>
      </c>
      <c r="AL954" s="81">
        <f>IF(E954=$AL$6,1,"")</f>
        <v/>
      </c>
      <c r="AM954" s="81">
        <f>IF(E954=$AM$6,1,"")</f>
        <v/>
      </c>
      <c r="AN954" s="81">
        <f>IF(E954=$AN$6,1,"")</f>
        <v/>
      </c>
      <c r="AO954" s="81">
        <f>IF(E954=$AO$6,1,"")</f>
        <v/>
      </c>
      <c r="AP954" s="81">
        <f>IF(E954=$AP$6,1,"")</f>
        <v/>
      </c>
      <c r="AQ954" s="81">
        <f>IF(E954=$AQ$6,1,"")</f>
        <v/>
      </c>
      <c r="AR954" s="81">
        <f>IF(E954=$AR$6,1,"")</f>
        <v/>
      </c>
      <c r="AS954" s="81" t="n"/>
    </row>
    <row r="955" ht="15.75" customHeight="1" s="80">
      <c r="A955" s="157" t="n"/>
      <c r="B955" s="124" t="n"/>
      <c r="C955" s="125" t="n"/>
      <c r="D955" s="126" t="n"/>
      <c r="E955" s="127" t="n"/>
      <c r="F955" s="128" t="n"/>
      <c r="G955" s="129">
        <f>IF(F955="","",ROUND(F955/60,2))</f>
        <v/>
      </c>
      <c r="H955" s="130" t="n"/>
      <c r="I955" s="131" t="n"/>
      <c r="J955" s="131">
        <f>IF(COUNTIF(B955:E955,"*")=0,"",IF(T955=1,"Invalid Service",IF(AND(V955=1,F955=""),"Add Session Mins",IF(AND(E955&gt;0,H955="",T955=""),"Enter Contract Rate",IF(AND(E955="IEP mtg, prep, rept",F955&gt;0),(G955*H955),IF(AND(E955&gt;0,F955&gt;0,H955&gt;0,I955=""),"Enter Travel",IF(AND(F955&gt;0,I955="Y"),(G955*H955)+$M$10,IF(AND(F955&gt;0,I955="N"),(G955*H955),H955))))))))</f>
        <v/>
      </c>
      <c r="K955" s="132">
        <f>J955</f>
        <v/>
      </c>
      <c r="L955" s="148" t="n"/>
      <c r="M955" s="148" t="n"/>
      <c r="N955" s="148" t="n"/>
      <c r="O955" s="87" t="n"/>
      <c r="P955" s="81" t="n"/>
      <c r="Q955" s="81" t="n"/>
      <c r="R955" s="81" t="n"/>
      <c r="S955" s="81" t="n"/>
      <c r="T955" s="136">
        <f>IF(AND(E955&gt;0,U955=0),1,"")</f>
        <v/>
      </c>
      <c r="U955" s="136">
        <f>SUM(X955:AR955)</f>
        <v/>
      </c>
      <c r="V955" s="136">
        <f>IF(E955=$Q$16,0,SUM(X955:AI955))</f>
        <v/>
      </c>
      <c r="W955" s="136">
        <f>SUM(AK955:AR955)</f>
        <v/>
      </c>
      <c r="X955" s="136">
        <f>IF(E955=$X$6,1,"")</f>
        <v/>
      </c>
      <c r="Y955" s="136">
        <f>IF(E955=$Y$6,1,"")</f>
        <v/>
      </c>
      <c r="Z955" s="136">
        <f>IF(E955=$Z$6,1,"")</f>
        <v/>
      </c>
      <c r="AA955" s="136">
        <f>IF(E955=$AA$6,1,"")</f>
        <v/>
      </c>
      <c r="AB955" s="136">
        <f>IF(E955=$AB$6,1,"")</f>
        <v/>
      </c>
      <c r="AC955" s="136">
        <f>IF(E955=$AC$6,1,"")</f>
        <v/>
      </c>
      <c r="AD955" s="136">
        <f>IF(E955=$AD$6,1,"")</f>
        <v/>
      </c>
      <c r="AE955" s="136">
        <f>IF(E955=$AE$6,1,"")</f>
        <v/>
      </c>
      <c r="AF955" s="136">
        <f>IF(E955=$AF$6,1,"")</f>
        <v/>
      </c>
      <c r="AG955" s="136">
        <f>IF(E955=$AG$6,1,"")</f>
        <v/>
      </c>
      <c r="AH955" s="136">
        <f>IF(E955=$AH$6,1,"")</f>
        <v/>
      </c>
      <c r="AI955" s="136">
        <f>IF(E955=$AI$6,1,"")</f>
        <v/>
      </c>
      <c r="AJ955" s="136">
        <f>IF(E955=$AJ$6,1,"")</f>
        <v/>
      </c>
      <c r="AK955" s="81">
        <f>IF(E955=$AK$6,1,"")</f>
        <v/>
      </c>
      <c r="AL955" s="81">
        <f>IF(E955=$AL$6,1,"")</f>
        <v/>
      </c>
      <c r="AM955" s="81">
        <f>IF(E955=$AM$6,1,"")</f>
        <v/>
      </c>
      <c r="AN955" s="81">
        <f>IF(E955=$AN$6,1,"")</f>
        <v/>
      </c>
      <c r="AO955" s="81">
        <f>IF(E955=$AO$6,1,"")</f>
        <v/>
      </c>
      <c r="AP955" s="81">
        <f>IF(E955=$AP$6,1,"")</f>
        <v/>
      </c>
      <c r="AQ955" s="81">
        <f>IF(E955=$AQ$6,1,"")</f>
        <v/>
      </c>
      <c r="AR955" s="81">
        <f>IF(E955=$AR$6,1,"")</f>
        <v/>
      </c>
      <c r="AS955" s="81" t="n"/>
    </row>
    <row r="956" ht="15.75" customHeight="1" s="80">
      <c r="A956" s="157" t="n"/>
      <c r="B956" s="124" t="n"/>
      <c r="C956" s="125" t="n"/>
      <c r="D956" s="126" t="n"/>
      <c r="E956" s="127" t="n"/>
      <c r="F956" s="128" t="n"/>
      <c r="G956" s="129">
        <f>IF(F956="","",ROUND(F956/60,2))</f>
        <v/>
      </c>
      <c r="H956" s="130" t="n"/>
      <c r="I956" s="131" t="n"/>
      <c r="J956" s="131">
        <f>IF(COUNTIF(B956:E956,"*")=0,"",IF(T956=1,"Invalid Service",IF(AND(V956=1,F956=""),"Add Session Mins",IF(AND(E956&gt;0,H956="",T956=""),"Enter Contract Rate",IF(AND(E956="IEP mtg, prep, rept",F956&gt;0),(G956*H956),IF(AND(E956&gt;0,F956&gt;0,H956&gt;0,I956=""),"Enter Travel",IF(AND(F956&gt;0,I956="Y"),(G956*H956)+$M$10,IF(AND(F956&gt;0,I956="N"),(G956*H956),H956))))))))</f>
        <v/>
      </c>
      <c r="K956" s="132">
        <f>J956</f>
        <v/>
      </c>
      <c r="L956" s="148" t="n"/>
      <c r="M956" s="148" t="n"/>
      <c r="N956" s="148" t="n"/>
      <c r="O956" s="87" t="n"/>
      <c r="P956" s="81" t="n"/>
      <c r="Q956" s="81" t="n"/>
      <c r="R956" s="81" t="n"/>
      <c r="S956" s="81" t="n"/>
      <c r="T956" s="136">
        <f>IF(AND(E956&gt;0,U956=0),1,"")</f>
        <v/>
      </c>
      <c r="U956" s="136">
        <f>SUM(X956:AR956)</f>
        <v/>
      </c>
      <c r="V956" s="136">
        <f>IF(E956=$Q$16,0,SUM(X956:AI956))</f>
        <v/>
      </c>
      <c r="W956" s="136">
        <f>SUM(AK956:AR956)</f>
        <v/>
      </c>
      <c r="X956" s="136">
        <f>IF(E956=$X$6,1,"")</f>
        <v/>
      </c>
      <c r="Y956" s="136">
        <f>IF(E956=$Y$6,1,"")</f>
        <v/>
      </c>
      <c r="Z956" s="136">
        <f>IF(E956=$Z$6,1,"")</f>
        <v/>
      </c>
      <c r="AA956" s="136">
        <f>IF(E956=$AA$6,1,"")</f>
        <v/>
      </c>
      <c r="AB956" s="136">
        <f>IF(E956=$AB$6,1,"")</f>
        <v/>
      </c>
      <c r="AC956" s="136">
        <f>IF(E956=$AC$6,1,"")</f>
        <v/>
      </c>
      <c r="AD956" s="136">
        <f>IF(E956=$AD$6,1,"")</f>
        <v/>
      </c>
      <c r="AE956" s="136">
        <f>IF(E956=$AE$6,1,"")</f>
        <v/>
      </c>
      <c r="AF956" s="136">
        <f>IF(E956=$AF$6,1,"")</f>
        <v/>
      </c>
      <c r="AG956" s="136">
        <f>IF(E956=$AG$6,1,"")</f>
        <v/>
      </c>
      <c r="AH956" s="136">
        <f>IF(E956=$AH$6,1,"")</f>
        <v/>
      </c>
      <c r="AI956" s="136">
        <f>IF(E956=$AI$6,1,"")</f>
        <v/>
      </c>
      <c r="AJ956" s="136">
        <f>IF(E956=$AJ$6,1,"")</f>
        <v/>
      </c>
      <c r="AK956" s="81">
        <f>IF(E956=$AK$6,1,"")</f>
        <v/>
      </c>
      <c r="AL956" s="81">
        <f>IF(E956=$AL$6,1,"")</f>
        <v/>
      </c>
      <c r="AM956" s="81">
        <f>IF(E956=$AM$6,1,"")</f>
        <v/>
      </c>
      <c r="AN956" s="81">
        <f>IF(E956=$AN$6,1,"")</f>
        <v/>
      </c>
      <c r="AO956" s="81">
        <f>IF(E956=$AO$6,1,"")</f>
        <v/>
      </c>
      <c r="AP956" s="81">
        <f>IF(E956=$AP$6,1,"")</f>
        <v/>
      </c>
      <c r="AQ956" s="81">
        <f>IF(E956=$AQ$6,1,"")</f>
        <v/>
      </c>
      <c r="AR956" s="81">
        <f>IF(E956=$AR$6,1,"")</f>
        <v/>
      </c>
      <c r="AS956" s="81" t="n"/>
    </row>
    <row r="957" ht="15.75" customHeight="1" s="80">
      <c r="A957" s="157" t="n"/>
      <c r="B957" s="124" t="n"/>
      <c r="C957" s="125" t="n"/>
      <c r="D957" s="126" t="n"/>
      <c r="E957" s="127" t="n"/>
      <c r="F957" s="128" t="n"/>
      <c r="G957" s="129">
        <f>IF(F957="","",ROUND(F957/60,2))</f>
        <v/>
      </c>
      <c r="H957" s="130" t="n"/>
      <c r="I957" s="131" t="n"/>
      <c r="J957" s="131">
        <f>IF(COUNTIF(B957:E957,"*")=0,"",IF(T957=1,"Invalid Service",IF(AND(V957=1,F957=""),"Add Session Mins",IF(AND(E957&gt;0,H957="",T957=""),"Enter Contract Rate",IF(AND(E957="IEP mtg, prep, rept",F957&gt;0),(G957*H957),IF(AND(E957&gt;0,F957&gt;0,H957&gt;0,I957=""),"Enter Travel",IF(AND(F957&gt;0,I957="Y"),(G957*H957)+$M$10,IF(AND(F957&gt;0,I957="N"),(G957*H957),H957))))))))</f>
        <v/>
      </c>
      <c r="K957" s="132">
        <f>J957</f>
        <v/>
      </c>
      <c r="L957" s="148" t="n"/>
      <c r="M957" s="148" t="n"/>
      <c r="N957" s="148" t="n"/>
      <c r="O957" s="87" t="n"/>
      <c r="P957" s="81" t="n"/>
      <c r="Q957" s="81" t="n"/>
      <c r="R957" s="81" t="n"/>
      <c r="S957" s="81" t="n"/>
      <c r="T957" s="136">
        <f>IF(AND(E957&gt;0,U957=0),1,"")</f>
        <v/>
      </c>
      <c r="U957" s="136">
        <f>SUM(X957:AR957)</f>
        <v/>
      </c>
      <c r="V957" s="136">
        <f>IF(E957=$Q$16,0,SUM(X957:AI957))</f>
        <v/>
      </c>
      <c r="W957" s="136">
        <f>SUM(AK957:AR957)</f>
        <v/>
      </c>
      <c r="X957" s="136">
        <f>IF(E957=$X$6,1,"")</f>
        <v/>
      </c>
      <c r="Y957" s="136">
        <f>IF(E957=$Y$6,1,"")</f>
        <v/>
      </c>
      <c r="Z957" s="136">
        <f>IF(E957=$Z$6,1,"")</f>
        <v/>
      </c>
      <c r="AA957" s="136">
        <f>IF(E957=$AA$6,1,"")</f>
        <v/>
      </c>
      <c r="AB957" s="136">
        <f>IF(E957=$AB$6,1,"")</f>
        <v/>
      </c>
      <c r="AC957" s="136">
        <f>IF(E957=$AC$6,1,"")</f>
        <v/>
      </c>
      <c r="AD957" s="136">
        <f>IF(E957=$AD$6,1,"")</f>
        <v/>
      </c>
      <c r="AE957" s="136">
        <f>IF(E957=$AE$6,1,"")</f>
        <v/>
      </c>
      <c r="AF957" s="136">
        <f>IF(E957=$AF$6,1,"")</f>
        <v/>
      </c>
      <c r="AG957" s="136">
        <f>IF(E957=$AG$6,1,"")</f>
        <v/>
      </c>
      <c r="AH957" s="136">
        <f>IF(E957=$AH$6,1,"")</f>
        <v/>
      </c>
      <c r="AI957" s="136">
        <f>IF(E957=$AI$6,1,"")</f>
        <v/>
      </c>
      <c r="AJ957" s="136">
        <f>IF(E957=$AJ$6,1,"")</f>
        <v/>
      </c>
      <c r="AK957" s="81">
        <f>IF(E957=$AK$6,1,"")</f>
        <v/>
      </c>
      <c r="AL957" s="81">
        <f>IF(E957=$AL$6,1,"")</f>
        <v/>
      </c>
      <c r="AM957" s="81">
        <f>IF(E957=$AM$6,1,"")</f>
        <v/>
      </c>
      <c r="AN957" s="81">
        <f>IF(E957=$AN$6,1,"")</f>
        <v/>
      </c>
      <c r="AO957" s="81">
        <f>IF(E957=$AO$6,1,"")</f>
        <v/>
      </c>
      <c r="AP957" s="81">
        <f>IF(E957=$AP$6,1,"")</f>
        <v/>
      </c>
      <c r="AQ957" s="81">
        <f>IF(E957=$AQ$6,1,"")</f>
        <v/>
      </c>
      <c r="AR957" s="81">
        <f>IF(E957=$AR$6,1,"")</f>
        <v/>
      </c>
      <c r="AS957" s="81" t="n"/>
    </row>
    <row r="958" ht="15.75" customHeight="1" s="80">
      <c r="A958" s="157" t="n"/>
      <c r="B958" s="124" t="n"/>
      <c r="C958" s="125" t="n"/>
      <c r="D958" s="126" t="n"/>
      <c r="E958" s="127" t="n"/>
      <c r="F958" s="128" t="n"/>
      <c r="G958" s="129">
        <f>IF(F958="","",ROUND(F958/60,2))</f>
        <v/>
      </c>
      <c r="H958" s="130" t="n"/>
      <c r="I958" s="131" t="n"/>
      <c r="J958" s="131">
        <f>IF(COUNTIF(B958:E958,"*")=0,"",IF(T958=1,"Invalid Service",IF(AND(V958=1,F958=""),"Add Session Mins",IF(AND(E958&gt;0,H958="",T958=""),"Enter Contract Rate",IF(AND(E958="IEP mtg, prep, rept",F958&gt;0),(G958*H958),IF(AND(E958&gt;0,F958&gt;0,H958&gt;0,I958=""),"Enter Travel",IF(AND(F958&gt;0,I958="Y"),(G958*H958)+$M$10,IF(AND(F958&gt;0,I958="N"),(G958*H958),H958))))))))</f>
        <v/>
      </c>
      <c r="K958" s="132">
        <f>J958</f>
        <v/>
      </c>
      <c r="L958" s="148" t="n"/>
      <c r="M958" s="148" t="n"/>
      <c r="N958" s="148" t="n"/>
      <c r="O958" s="87" t="n"/>
      <c r="P958" s="81" t="n"/>
      <c r="Q958" s="81" t="n"/>
      <c r="R958" s="81" t="n"/>
      <c r="S958" s="81" t="n"/>
      <c r="T958" s="136">
        <f>IF(AND(E958&gt;0,U958=0),1,"")</f>
        <v/>
      </c>
      <c r="U958" s="136">
        <f>SUM(X958:AR958)</f>
        <v/>
      </c>
      <c r="V958" s="136">
        <f>IF(E958=$Q$16,0,SUM(X958:AI958))</f>
        <v/>
      </c>
      <c r="W958" s="136">
        <f>SUM(AK958:AR958)</f>
        <v/>
      </c>
      <c r="X958" s="136">
        <f>IF(E958=$X$6,1,"")</f>
        <v/>
      </c>
      <c r="Y958" s="136">
        <f>IF(E958=$Y$6,1,"")</f>
        <v/>
      </c>
      <c r="Z958" s="136">
        <f>IF(E958=$Z$6,1,"")</f>
        <v/>
      </c>
      <c r="AA958" s="136">
        <f>IF(E958=$AA$6,1,"")</f>
        <v/>
      </c>
      <c r="AB958" s="136">
        <f>IF(E958=$AB$6,1,"")</f>
        <v/>
      </c>
      <c r="AC958" s="136">
        <f>IF(E958=$AC$6,1,"")</f>
        <v/>
      </c>
      <c r="AD958" s="136">
        <f>IF(E958=$AD$6,1,"")</f>
        <v/>
      </c>
      <c r="AE958" s="136">
        <f>IF(E958=$AE$6,1,"")</f>
        <v/>
      </c>
      <c r="AF958" s="136">
        <f>IF(E958=$AF$6,1,"")</f>
        <v/>
      </c>
      <c r="AG958" s="136">
        <f>IF(E958=$AG$6,1,"")</f>
        <v/>
      </c>
      <c r="AH958" s="136">
        <f>IF(E958=$AH$6,1,"")</f>
        <v/>
      </c>
      <c r="AI958" s="136">
        <f>IF(E958=$AI$6,1,"")</f>
        <v/>
      </c>
      <c r="AJ958" s="136">
        <f>IF(E958=$AJ$6,1,"")</f>
        <v/>
      </c>
      <c r="AK958" s="81">
        <f>IF(E958=$AK$6,1,"")</f>
        <v/>
      </c>
      <c r="AL958" s="81">
        <f>IF(E958=$AL$6,1,"")</f>
        <v/>
      </c>
      <c r="AM958" s="81">
        <f>IF(E958=$AM$6,1,"")</f>
        <v/>
      </c>
      <c r="AN958" s="81">
        <f>IF(E958=$AN$6,1,"")</f>
        <v/>
      </c>
      <c r="AO958" s="81">
        <f>IF(E958=$AO$6,1,"")</f>
        <v/>
      </c>
      <c r="AP958" s="81">
        <f>IF(E958=$AP$6,1,"")</f>
        <v/>
      </c>
      <c r="AQ958" s="81">
        <f>IF(E958=$AQ$6,1,"")</f>
        <v/>
      </c>
      <c r="AR958" s="81">
        <f>IF(E958=$AR$6,1,"")</f>
        <v/>
      </c>
      <c r="AS958" s="81" t="n"/>
    </row>
    <row r="959" ht="15.75" customHeight="1" s="80">
      <c r="A959" s="157" t="n"/>
      <c r="B959" s="124" t="n"/>
      <c r="C959" s="125" t="n"/>
      <c r="D959" s="126" t="n"/>
      <c r="E959" s="127" t="n"/>
      <c r="F959" s="128" t="n"/>
      <c r="G959" s="129">
        <f>IF(F959="","",ROUND(F959/60,2))</f>
        <v/>
      </c>
      <c r="H959" s="130" t="n"/>
      <c r="I959" s="131" t="n"/>
      <c r="J959" s="131">
        <f>IF(COUNTIF(B959:E959,"*")=0,"",IF(T959=1,"Invalid Service",IF(AND(V959=1,F959=""),"Add Session Mins",IF(AND(E959&gt;0,H959="",T959=""),"Enter Contract Rate",IF(AND(E959="IEP mtg, prep, rept",F959&gt;0),(G959*H959),IF(AND(E959&gt;0,F959&gt;0,H959&gt;0,I959=""),"Enter Travel",IF(AND(F959&gt;0,I959="Y"),(G959*H959)+$M$10,IF(AND(F959&gt;0,I959="N"),(G959*H959),H959))))))))</f>
        <v/>
      </c>
      <c r="K959" s="132">
        <f>J959</f>
        <v/>
      </c>
      <c r="L959" s="148" t="n"/>
      <c r="M959" s="148" t="n"/>
      <c r="N959" s="148" t="n"/>
      <c r="O959" s="87" t="n"/>
      <c r="P959" s="81" t="n"/>
      <c r="Q959" s="81" t="n"/>
      <c r="R959" s="81" t="n"/>
      <c r="S959" s="81" t="n"/>
      <c r="T959" s="136">
        <f>IF(AND(E959&gt;0,U959=0),1,"")</f>
        <v/>
      </c>
      <c r="U959" s="136">
        <f>SUM(X959:AR959)</f>
        <v/>
      </c>
      <c r="V959" s="136">
        <f>IF(E959=$Q$16,0,SUM(X959:AI959))</f>
        <v/>
      </c>
      <c r="W959" s="136">
        <f>SUM(AK959:AR959)</f>
        <v/>
      </c>
      <c r="X959" s="136">
        <f>IF(E959=$X$6,1,"")</f>
        <v/>
      </c>
      <c r="Y959" s="136">
        <f>IF(E959=$Y$6,1,"")</f>
        <v/>
      </c>
      <c r="Z959" s="136">
        <f>IF(E959=$Z$6,1,"")</f>
        <v/>
      </c>
      <c r="AA959" s="136">
        <f>IF(E959=$AA$6,1,"")</f>
        <v/>
      </c>
      <c r="AB959" s="136">
        <f>IF(E959=$AB$6,1,"")</f>
        <v/>
      </c>
      <c r="AC959" s="136">
        <f>IF(E959=$AC$6,1,"")</f>
        <v/>
      </c>
      <c r="AD959" s="136">
        <f>IF(E959=$AD$6,1,"")</f>
        <v/>
      </c>
      <c r="AE959" s="136">
        <f>IF(E959=$AE$6,1,"")</f>
        <v/>
      </c>
      <c r="AF959" s="136">
        <f>IF(E959=$AF$6,1,"")</f>
        <v/>
      </c>
      <c r="AG959" s="136">
        <f>IF(E959=$AG$6,1,"")</f>
        <v/>
      </c>
      <c r="AH959" s="136">
        <f>IF(E959=$AH$6,1,"")</f>
        <v/>
      </c>
      <c r="AI959" s="136">
        <f>IF(E959=$AI$6,1,"")</f>
        <v/>
      </c>
      <c r="AJ959" s="136">
        <f>IF(E959=$AJ$6,1,"")</f>
        <v/>
      </c>
      <c r="AK959" s="81">
        <f>IF(E959=$AK$6,1,"")</f>
        <v/>
      </c>
      <c r="AL959" s="81">
        <f>IF(E959=$AL$6,1,"")</f>
        <v/>
      </c>
      <c r="AM959" s="81">
        <f>IF(E959=$AM$6,1,"")</f>
        <v/>
      </c>
      <c r="AN959" s="81">
        <f>IF(E959=$AN$6,1,"")</f>
        <v/>
      </c>
      <c r="AO959" s="81">
        <f>IF(E959=$AO$6,1,"")</f>
        <v/>
      </c>
      <c r="AP959" s="81">
        <f>IF(E959=$AP$6,1,"")</f>
        <v/>
      </c>
      <c r="AQ959" s="81">
        <f>IF(E959=$AQ$6,1,"")</f>
        <v/>
      </c>
      <c r="AR959" s="81">
        <f>IF(E959=$AR$6,1,"")</f>
        <v/>
      </c>
      <c r="AS959" s="81" t="n"/>
    </row>
    <row r="960" ht="15.75" customHeight="1" s="80">
      <c r="A960" s="157" t="n"/>
      <c r="B960" s="124" t="n"/>
      <c r="C960" s="125" t="n"/>
      <c r="D960" s="126" t="n"/>
      <c r="E960" s="127" t="n"/>
      <c r="F960" s="128" t="n"/>
      <c r="G960" s="129">
        <f>IF(F960="","",ROUND(F960/60,2))</f>
        <v/>
      </c>
      <c r="H960" s="130" t="n"/>
      <c r="I960" s="131" t="n"/>
      <c r="J960" s="131">
        <f>IF(COUNTIF(B960:E960,"*")=0,"",IF(T960=1,"Invalid Service",IF(AND(V960=1,F960=""),"Add Session Mins",IF(AND(E960&gt;0,H960="",T960=""),"Enter Contract Rate",IF(AND(E960="IEP mtg, prep, rept",F960&gt;0),(G960*H960),IF(AND(E960&gt;0,F960&gt;0,H960&gt;0,I960=""),"Enter Travel",IF(AND(F960&gt;0,I960="Y"),(G960*H960)+$M$10,IF(AND(F960&gt;0,I960="N"),(G960*H960),H960))))))))</f>
        <v/>
      </c>
      <c r="K960" s="132">
        <f>J960</f>
        <v/>
      </c>
      <c r="L960" s="148" t="n"/>
      <c r="M960" s="148" t="n"/>
      <c r="N960" s="148" t="n"/>
      <c r="O960" s="87" t="n"/>
      <c r="P960" s="81" t="n"/>
      <c r="Q960" s="81" t="n"/>
      <c r="R960" s="81" t="n"/>
      <c r="S960" s="81" t="n"/>
      <c r="T960" s="136">
        <f>IF(AND(E960&gt;0,U960=0),1,"")</f>
        <v/>
      </c>
      <c r="U960" s="136">
        <f>SUM(X960:AR960)</f>
        <v/>
      </c>
      <c r="V960" s="136">
        <f>IF(E960=$Q$16,0,SUM(X960:AI960))</f>
        <v/>
      </c>
      <c r="W960" s="136">
        <f>SUM(AK960:AR960)</f>
        <v/>
      </c>
      <c r="X960" s="136">
        <f>IF(E960=$X$6,1,"")</f>
        <v/>
      </c>
      <c r="Y960" s="136">
        <f>IF(E960=$Y$6,1,"")</f>
        <v/>
      </c>
      <c r="Z960" s="136">
        <f>IF(E960=$Z$6,1,"")</f>
        <v/>
      </c>
      <c r="AA960" s="136">
        <f>IF(E960=$AA$6,1,"")</f>
        <v/>
      </c>
      <c r="AB960" s="136">
        <f>IF(E960=$AB$6,1,"")</f>
        <v/>
      </c>
      <c r="AC960" s="136">
        <f>IF(E960=$AC$6,1,"")</f>
        <v/>
      </c>
      <c r="AD960" s="136">
        <f>IF(E960=$AD$6,1,"")</f>
        <v/>
      </c>
      <c r="AE960" s="136">
        <f>IF(E960=$AE$6,1,"")</f>
        <v/>
      </c>
      <c r="AF960" s="136">
        <f>IF(E960=$AF$6,1,"")</f>
        <v/>
      </c>
      <c r="AG960" s="136">
        <f>IF(E960=$AG$6,1,"")</f>
        <v/>
      </c>
      <c r="AH960" s="136">
        <f>IF(E960=$AH$6,1,"")</f>
        <v/>
      </c>
      <c r="AI960" s="136">
        <f>IF(E960=$AI$6,1,"")</f>
        <v/>
      </c>
      <c r="AJ960" s="136">
        <f>IF(E960=$AJ$6,1,"")</f>
        <v/>
      </c>
      <c r="AK960" s="81">
        <f>IF(E960=$AK$6,1,"")</f>
        <v/>
      </c>
      <c r="AL960" s="81">
        <f>IF(E960=$AL$6,1,"")</f>
        <v/>
      </c>
      <c r="AM960" s="81">
        <f>IF(E960=$AM$6,1,"")</f>
        <v/>
      </c>
      <c r="AN960" s="81">
        <f>IF(E960=$AN$6,1,"")</f>
        <v/>
      </c>
      <c r="AO960" s="81">
        <f>IF(E960=$AO$6,1,"")</f>
        <v/>
      </c>
      <c r="AP960" s="81">
        <f>IF(E960=$AP$6,1,"")</f>
        <v/>
      </c>
      <c r="AQ960" s="81">
        <f>IF(E960=$AQ$6,1,"")</f>
        <v/>
      </c>
      <c r="AR960" s="81">
        <f>IF(E960=$AR$6,1,"")</f>
        <v/>
      </c>
      <c r="AS960" s="81" t="n"/>
    </row>
    <row r="961" ht="15.75" customHeight="1" s="80">
      <c r="A961" s="157" t="n"/>
      <c r="B961" s="124" t="n"/>
      <c r="C961" s="125" t="n"/>
      <c r="D961" s="126" t="n"/>
      <c r="E961" s="127" t="n"/>
      <c r="F961" s="128" t="n"/>
      <c r="G961" s="129">
        <f>IF(F961="","",ROUND(F961/60,2))</f>
        <v/>
      </c>
      <c r="H961" s="130" t="n"/>
      <c r="I961" s="131" t="n"/>
      <c r="J961" s="131">
        <f>IF(COUNTIF(B961:E961,"*")=0,"",IF(T961=1,"Invalid Service",IF(AND(V961=1,F961=""),"Add Session Mins",IF(AND(E961&gt;0,H961="",T961=""),"Enter Contract Rate",IF(AND(E961="IEP mtg, prep, rept",F961&gt;0),(G961*H961),IF(AND(E961&gt;0,F961&gt;0,H961&gt;0,I961=""),"Enter Travel",IF(AND(F961&gt;0,I961="Y"),(G961*H961)+$M$10,IF(AND(F961&gt;0,I961="N"),(G961*H961),H961))))))))</f>
        <v/>
      </c>
      <c r="K961" s="132">
        <f>J961</f>
        <v/>
      </c>
      <c r="L961" s="148" t="n"/>
      <c r="M961" s="148" t="n"/>
      <c r="N961" s="148" t="n"/>
      <c r="O961" s="87" t="n"/>
      <c r="P961" s="81" t="n"/>
      <c r="Q961" s="81" t="n"/>
      <c r="R961" s="81" t="n"/>
      <c r="S961" s="81" t="n"/>
      <c r="T961" s="136">
        <f>IF(AND(E961&gt;0,U961=0),1,"")</f>
        <v/>
      </c>
      <c r="U961" s="136">
        <f>SUM(X961:AR961)</f>
        <v/>
      </c>
      <c r="V961" s="136">
        <f>IF(E961=$Q$16,0,SUM(X961:AI961))</f>
        <v/>
      </c>
      <c r="W961" s="136">
        <f>SUM(AK961:AR961)</f>
        <v/>
      </c>
      <c r="X961" s="136">
        <f>IF(E961=$X$6,1,"")</f>
        <v/>
      </c>
      <c r="Y961" s="136">
        <f>IF(E961=$Y$6,1,"")</f>
        <v/>
      </c>
      <c r="Z961" s="136">
        <f>IF(E961=$Z$6,1,"")</f>
        <v/>
      </c>
      <c r="AA961" s="136">
        <f>IF(E961=$AA$6,1,"")</f>
        <v/>
      </c>
      <c r="AB961" s="136">
        <f>IF(E961=$AB$6,1,"")</f>
        <v/>
      </c>
      <c r="AC961" s="136">
        <f>IF(E961=$AC$6,1,"")</f>
        <v/>
      </c>
      <c r="AD961" s="136">
        <f>IF(E961=$AD$6,1,"")</f>
        <v/>
      </c>
      <c r="AE961" s="136">
        <f>IF(E961=$AE$6,1,"")</f>
        <v/>
      </c>
      <c r="AF961" s="136">
        <f>IF(E961=$AF$6,1,"")</f>
        <v/>
      </c>
      <c r="AG961" s="136">
        <f>IF(E961=$AG$6,1,"")</f>
        <v/>
      </c>
      <c r="AH961" s="136">
        <f>IF(E961=$AH$6,1,"")</f>
        <v/>
      </c>
      <c r="AI961" s="136">
        <f>IF(E961=$AI$6,1,"")</f>
        <v/>
      </c>
      <c r="AJ961" s="136">
        <f>IF(E961=$AJ$6,1,"")</f>
        <v/>
      </c>
      <c r="AK961" s="81">
        <f>IF(E961=$AK$6,1,"")</f>
        <v/>
      </c>
      <c r="AL961" s="81">
        <f>IF(E961=$AL$6,1,"")</f>
        <v/>
      </c>
      <c r="AM961" s="81">
        <f>IF(E961=$AM$6,1,"")</f>
        <v/>
      </c>
      <c r="AN961" s="81">
        <f>IF(E961=$AN$6,1,"")</f>
        <v/>
      </c>
      <c r="AO961" s="81">
        <f>IF(E961=$AO$6,1,"")</f>
        <v/>
      </c>
      <c r="AP961" s="81">
        <f>IF(E961=$AP$6,1,"")</f>
        <v/>
      </c>
      <c r="AQ961" s="81">
        <f>IF(E961=$AQ$6,1,"")</f>
        <v/>
      </c>
      <c r="AR961" s="81">
        <f>IF(E961=$AR$6,1,"")</f>
        <v/>
      </c>
      <c r="AS961" s="81" t="n"/>
    </row>
    <row r="962" ht="15.75" customHeight="1" s="80">
      <c r="A962" s="157" t="n"/>
      <c r="B962" s="124" t="n"/>
      <c r="C962" s="125" t="n"/>
      <c r="D962" s="126" t="n"/>
      <c r="E962" s="127" t="n"/>
      <c r="F962" s="128" t="n"/>
      <c r="G962" s="129">
        <f>IF(F962="","",ROUND(F962/60,2))</f>
        <v/>
      </c>
      <c r="H962" s="130" t="n"/>
      <c r="I962" s="131" t="n"/>
      <c r="J962" s="131">
        <f>IF(COUNTIF(B962:E962,"*")=0,"",IF(T962=1,"Invalid Service",IF(AND(V962=1,F962=""),"Add Session Mins",IF(AND(E962&gt;0,H962="",T962=""),"Enter Contract Rate",IF(AND(E962="IEP mtg, prep, rept",F962&gt;0),(G962*H962),IF(AND(E962&gt;0,F962&gt;0,H962&gt;0,I962=""),"Enter Travel",IF(AND(F962&gt;0,I962="Y"),(G962*H962)+$M$10,IF(AND(F962&gt;0,I962="N"),(G962*H962),H962))))))))</f>
        <v/>
      </c>
      <c r="K962" s="132">
        <f>J962</f>
        <v/>
      </c>
      <c r="L962" s="148" t="n"/>
      <c r="M962" s="148" t="n"/>
      <c r="N962" s="148" t="n"/>
      <c r="O962" s="87" t="n"/>
      <c r="P962" s="81" t="n"/>
      <c r="Q962" s="81" t="n"/>
      <c r="R962" s="81" t="n"/>
      <c r="S962" s="81" t="n"/>
      <c r="T962" s="136">
        <f>IF(AND(E962&gt;0,U962=0),1,"")</f>
        <v/>
      </c>
      <c r="U962" s="136">
        <f>SUM(X962:AR962)</f>
        <v/>
      </c>
      <c r="V962" s="136">
        <f>IF(E962=$Q$16,0,SUM(X962:AI962))</f>
        <v/>
      </c>
      <c r="W962" s="136">
        <f>SUM(AK962:AR962)</f>
        <v/>
      </c>
      <c r="X962" s="136">
        <f>IF(E962=$X$6,1,"")</f>
        <v/>
      </c>
      <c r="Y962" s="136">
        <f>IF(E962=$Y$6,1,"")</f>
        <v/>
      </c>
      <c r="Z962" s="136">
        <f>IF(E962=$Z$6,1,"")</f>
        <v/>
      </c>
      <c r="AA962" s="136">
        <f>IF(E962=$AA$6,1,"")</f>
        <v/>
      </c>
      <c r="AB962" s="136">
        <f>IF(E962=$AB$6,1,"")</f>
        <v/>
      </c>
      <c r="AC962" s="136">
        <f>IF(E962=$AC$6,1,"")</f>
        <v/>
      </c>
      <c r="AD962" s="136">
        <f>IF(E962=$AD$6,1,"")</f>
        <v/>
      </c>
      <c r="AE962" s="136">
        <f>IF(E962=$AE$6,1,"")</f>
        <v/>
      </c>
      <c r="AF962" s="136">
        <f>IF(E962=$AF$6,1,"")</f>
        <v/>
      </c>
      <c r="AG962" s="136">
        <f>IF(E962=$AG$6,1,"")</f>
        <v/>
      </c>
      <c r="AH962" s="136">
        <f>IF(E962=$AH$6,1,"")</f>
        <v/>
      </c>
      <c r="AI962" s="136">
        <f>IF(E962=$AI$6,1,"")</f>
        <v/>
      </c>
      <c r="AJ962" s="136">
        <f>IF(E962=$AJ$6,1,"")</f>
        <v/>
      </c>
      <c r="AK962" s="81">
        <f>IF(E962=$AK$6,1,"")</f>
        <v/>
      </c>
      <c r="AL962" s="81">
        <f>IF(E962=$AL$6,1,"")</f>
        <v/>
      </c>
      <c r="AM962" s="81">
        <f>IF(E962=$AM$6,1,"")</f>
        <v/>
      </c>
      <c r="AN962" s="81">
        <f>IF(E962=$AN$6,1,"")</f>
        <v/>
      </c>
      <c r="AO962" s="81">
        <f>IF(E962=$AO$6,1,"")</f>
        <v/>
      </c>
      <c r="AP962" s="81">
        <f>IF(E962=$AP$6,1,"")</f>
        <v/>
      </c>
      <c r="AQ962" s="81">
        <f>IF(E962=$AQ$6,1,"")</f>
        <v/>
      </c>
      <c r="AR962" s="81">
        <f>IF(E962=$AR$6,1,"")</f>
        <v/>
      </c>
      <c r="AS962" s="81" t="n"/>
    </row>
    <row r="963" ht="15.75" customHeight="1" s="80">
      <c r="A963" s="157" t="n"/>
      <c r="B963" s="124" t="n"/>
      <c r="C963" s="125" t="n"/>
      <c r="D963" s="126" t="n"/>
      <c r="E963" s="127" t="n"/>
      <c r="F963" s="128" t="n"/>
      <c r="G963" s="129">
        <f>IF(F963="","",ROUND(F963/60,2))</f>
        <v/>
      </c>
      <c r="H963" s="130" t="n"/>
      <c r="I963" s="131" t="n"/>
      <c r="J963" s="131">
        <f>IF(COUNTIF(B963:E963,"*")=0,"",IF(T963=1,"Invalid Service",IF(AND(V963=1,F963=""),"Add Session Mins",IF(AND(E963&gt;0,H963="",T963=""),"Enter Contract Rate",IF(AND(E963="IEP mtg, prep, rept",F963&gt;0),(G963*H963),IF(AND(E963&gt;0,F963&gt;0,H963&gt;0,I963=""),"Enter Travel",IF(AND(F963&gt;0,I963="Y"),(G963*H963)+$M$10,IF(AND(F963&gt;0,I963="N"),(G963*H963),H963))))))))</f>
        <v/>
      </c>
      <c r="K963" s="132">
        <f>J963</f>
        <v/>
      </c>
      <c r="L963" s="148" t="n"/>
      <c r="M963" s="148" t="n"/>
      <c r="N963" s="148" t="n"/>
      <c r="O963" s="87" t="n"/>
      <c r="P963" s="81" t="n"/>
      <c r="Q963" s="81" t="n"/>
      <c r="R963" s="81" t="n"/>
      <c r="S963" s="81" t="n"/>
      <c r="T963" s="136">
        <f>IF(AND(E963&gt;0,U963=0),1,"")</f>
        <v/>
      </c>
      <c r="U963" s="136">
        <f>SUM(X963:AR963)</f>
        <v/>
      </c>
      <c r="V963" s="136">
        <f>IF(E963=$Q$16,0,SUM(X963:AI963))</f>
        <v/>
      </c>
      <c r="W963" s="136">
        <f>SUM(AK963:AR963)</f>
        <v/>
      </c>
      <c r="X963" s="136">
        <f>IF(E963=$X$6,1,"")</f>
        <v/>
      </c>
      <c r="Y963" s="136">
        <f>IF(E963=$Y$6,1,"")</f>
        <v/>
      </c>
      <c r="Z963" s="136">
        <f>IF(E963=$Z$6,1,"")</f>
        <v/>
      </c>
      <c r="AA963" s="136">
        <f>IF(E963=$AA$6,1,"")</f>
        <v/>
      </c>
      <c r="AB963" s="136">
        <f>IF(E963=$AB$6,1,"")</f>
        <v/>
      </c>
      <c r="AC963" s="136">
        <f>IF(E963=$AC$6,1,"")</f>
        <v/>
      </c>
      <c r="AD963" s="136">
        <f>IF(E963=$AD$6,1,"")</f>
        <v/>
      </c>
      <c r="AE963" s="136">
        <f>IF(E963=$AE$6,1,"")</f>
        <v/>
      </c>
      <c r="AF963" s="136">
        <f>IF(E963=$AF$6,1,"")</f>
        <v/>
      </c>
      <c r="AG963" s="136">
        <f>IF(E963=$AG$6,1,"")</f>
        <v/>
      </c>
      <c r="AH963" s="136">
        <f>IF(E963=$AH$6,1,"")</f>
        <v/>
      </c>
      <c r="AI963" s="136">
        <f>IF(E963=$AI$6,1,"")</f>
        <v/>
      </c>
      <c r="AJ963" s="136">
        <f>IF(E963=$AJ$6,1,"")</f>
        <v/>
      </c>
      <c r="AK963" s="81">
        <f>IF(E963=$AK$6,1,"")</f>
        <v/>
      </c>
      <c r="AL963" s="81">
        <f>IF(E963=$AL$6,1,"")</f>
        <v/>
      </c>
      <c r="AM963" s="81">
        <f>IF(E963=$AM$6,1,"")</f>
        <v/>
      </c>
      <c r="AN963" s="81">
        <f>IF(E963=$AN$6,1,"")</f>
        <v/>
      </c>
      <c r="AO963" s="81">
        <f>IF(E963=$AO$6,1,"")</f>
        <v/>
      </c>
      <c r="AP963" s="81">
        <f>IF(E963=$AP$6,1,"")</f>
        <v/>
      </c>
      <c r="AQ963" s="81">
        <f>IF(E963=$AQ$6,1,"")</f>
        <v/>
      </c>
      <c r="AR963" s="81">
        <f>IF(E963=$AR$6,1,"")</f>
        <v/>
      </c>
      <c r="AS963" s="81" t="n"/>
    </row>
    <row r="964" ht="15.75" customHeight="1" s="80">
      <c r="A964" s="157" t="n"/>
      <c r="B964" s="124" t="n"/>
      <c r="C964" s="125" t="n"/>
      <c r="D964" s="126" t="n"/>
      <c r="E964" s="127" t="n"/>
      <c r="F964" s="128" t="n"/>
      <c r="G964" s="129">
        <f>IF(F964="","",ROUND(F964/60,2))</f>
        <v/>
      </c>
      <c r="H964" s="130" t="n"/>
      <c r="I964" s="131" t="n"/>
      <c r="J964" s="131">
        <f>IF(COUNTIF(B964:E964,"*")=0,"",IF(T964=1,"Invalid Service",IF(AND(V964=1,F964=""),"Add Session Mins",IF(AND(E964&gt;0,H964="",T964=""),"Enter Contract Rate",IF(AND(E964="IEP mtg, prep, rept",F964&gt;0),(G964*H964),IF(AND(E964&gt;0,F964&gt;0,H964&gt;0,I964=""),"Enter Travel",IF(AND(F964&gt;0,I964="Y"),(G964*H964)+$M$10,IF(AND(F964&gt;0,I964="N"),(G964*H964),H964))))))))</f>
        <v/>
      </c>
      <c r="K964" s="132">
        <f>J964</f>
        <v/>
      </c>
      <c r="L964" s="148" t="n"/>
      <c r="M964" s="148" t="n"/>
      <c r="N964" s="148" t="n"/>
      <c r="O964" s="87" t="n"/>
      <c r="P964" s="81" t="n"/>
      <c r="Q964" s="81" t="n"/>
      <c r="R964" s="81" t="n"/>
      <c r="S964" s="81" t="n"/>
      <c r="T964" s="136">
        <f>IF(AND(E964&gt;0,U964=0),1,"")</f>
        <v/>
      </c>
      <c r="U964" s="136">
        <f>SUM(X964:AR964)</f>
        <v/>
      </c>
      <c r="V964" s="136">
        <f>IF(E964=$Q$16,0,SUM(X964:AI964))</f>
        <v/>
      </c>
      <c r="W964" s="136">
        <f>SUM(AK964:AR964)</f>
        <v/>
      </c>
      <c r="X964" s="136">
        <f>IF(E964=$X$6,1,"")</f>
        <v/>
      </c>
      <c r="Y964" s="136">
        <f>IF(E964=$Y$6,1,"")</f>
        <v/>
      </c>
      <c r="Z964" s="136">
        <f>IF(E964=$Z$6,1,"")</f>
        <v/>
      </c>
      <c r="AA964" s="136">
        <f>IF(E964=$AA$6,1,"")</f>
        <v/>
      </c>
      <c r="AB964" s="136">
        <f>IF(E964=$AB$6,1,"")</f>
        <v/>
      </c>
      <c r="AC964" s="136">
        <f>IF(E964=$AC$6,1,"")</f>
        <v/>
      </c>
      <c r="AD964" s="136">
        <f>IF(E964=$AD$6,1,"")</f>
        <v/>
      </c>
      <c r="AE964" s="136">
        <f>IF(E964=$AE$6,1,"")</f>
        <v/>
      </c>
      <c r="AF964" s="136">
        <f>IF(E964=$AF$6,1,"")</f>
        <v/>
      </c>
      <c r="AG964" s="136">
        <f>IF(E964=$AG$6,1,"")</f>
        <v/>
      </c>
      <c r="AH964" s="136">
        <f>IF(E964=$AH$6,1,"")</f>
        <v/>
      </c>
      <c r="AI964" s="136">
        <f>IF(E964=$AI$6,1,"")</f>
        <v/>
      </c>
      <c r="AJ964" s="136">
        <f>IF(E964=$AJ$6,1,"")</f>
        <v/>
      </c>
      <c r="AK964" s="81">
        <f>IF(E964=$AK$6,1,"")</f>
        <v/>
      </c>
      <c r="AL964" s="81">
        <f>IF(E964=$AL$6,1,"")</f>
        <v/>
      </c>
      <c r="AM964" s="81">
        <f>IF(E964=$AM$6,1,"")</f>
        <v/>
      </c>
      <c r="AN964" s="81">
        <f>IF(E964=$AN$6,1,"")</f>
        <v/>
      </c>
      <c r="AO964" s="81">
        <f>IF(E964=$AO$6,1,"")</f>
        <v/>
      </c>
      <c r="AP964" s="81">
        <f>IF(E964=$AP$6,1,"")</f>
        <v/>
      </c>
      <c r="AQ964" s="81">
        <f>IF(E964=$AQ$6,1,"")</f>
        <v/>
      </c>
      <c r="AR964" s="81">
        <f>IF(E964=$AR$6,1,"")</f>
        <v/>
      </c>
      <c r="AS964" s="81" t="n"/>
    </row>
    <row r="965" ht="15.75" customHeight="1" s="80">
      <c r="A965" s="157" t="n"/>
      <c r="B965" s="124" t="n"/>
      <c r="C965" s="125" t="n"/>
      <c r="D965" s="126" t="n"/>
      <c r="E965" s="127" t="n"/>
      <c r="F965" s="128" t="n"/>
      <c r="G965" s="129">
        <f>IF(F965="","",ROUND(F965/60,2))</f>
        <v/>
      </c>
      <c r="H965" s="130" t="n"/>
      <c r="I965" s="131" t="n"/>
      <c r="J965" s="131">
        <f>IF(COUNTIF(B965:E965,"*")=0,"",IF(T965=1,"Invalid Service",IF(AND(V965=1,F965=""),"Add Session Mins",IF(AND(E965&gt;0,H965="",T965=""),"Enter Contract Rate",IF(AND(E965="IEP mtg, prep, rept",F965&gt;0),(G965*H965),IF(AND(E965&gt;0,F965&gt;0,H965&gt;0,I965=""),"Enter Travel",IF(AND(F965&gt;0,I965="Y"),(G965*H965)+$M$10,IF(AND(F965&gt;0,I965="N"),(G965*H965),H965))))))))</f>
        <v/>
      </c>
      <c r="K965" s="132">
        <f>J965</f>
        <v/>
      </c>
      <c r="L965" s="148" t="n"/>
      <c r="M965" s="148" t="n"/>
      <c r="N965" s="148" t="n"/>
      <c r="O965" s="87" t="n"/>
      <c r="P965" s="81" t="n"/>
      <c r="Q965" s="81" t="n"/>
      <c r="R965" s="81" t="n"/>
      <c r="S965" s="81" t="n"/>
      <c r="T965" s="136">
        <f>IF(AND(E965&gt;0,U965=0),1,"")</f>
        <v/>
      </c>
      <c r="U965" s="136">
        <f>SUM(X965:AR965)</f>
        <v/>
      </c>
      <c r="V965" s="136">
        <f>IF(E965=$Q$16,0,SUM(X965:AI965))</f>
        <v/>
      </c>
      <c r="W965" s="136">
        <f>SUM(AK965:AR965)</f>
        <v/>
      </c>
      <c r="X965" s="136">
        <f>IF(E965=$X$6,1,"")</f>
        <v/>
      </c>
      <c r="Y965" s="136">
        <f>IF(E965=$Y$6,1,"")</f>
        <v/>
      </c>
      <c r="Z965" s="136">
        <f>IF(E965=$Z$6,1,"")</f>
        <v/>
      </c>
      <c r="AA965" s="136">
        <f>IF(E965=$AA$6,1,"")</f>
        <v/>
      </c>
      <c r="AB965" s="136">
        <f>IF(E965=$AB$6,1,"")</f>
        <v/>
      </c>
      <c r="AC965" s="136">
        <f>IF(E965=$AC$6,1,"")</f>
        <v/>
      </c>
      <c r="AD965" s="136">
        <f>IF(E965=$AD$6,1,"")</f>
        <v/>
      </c>
      <c r="AE965" s="136">
        <f>IF(E965=$AE$6,1,"")</f>
        <v/>
      </c>
      <c r="AF965" s="136">
        <f>IF(E965=$AF$6,1,"")</f>
        <v/>
      </c>
      <c r="AG965" s="136">
        <f>IF(E965=$AG$6,1,"")</f>
        <v/>
      </c>
      <c r="AH965" s="136">
        <f>IF(E965=$AH$6,1,"")</f>
        <v/>
      </c>
      <c r="AI965" s="136">
        <f>IF(E965=$AI$6,1,"")</f>
        <v/>
      </c>
      <c r="AJ965" s="136">
        <f>IF(E965=$AJ$6,1,"")</f>
        <v/>
      </c>
      <c r="AK965" s="81">
        <f>IF(E965=$AK$6,1,"")</f>
        <v/>
      </c>
      <c r="AL965" s="81">
        <f>IF(E965=$AL$6,1,"")</f>
        <v/>
      </c>
      <c r="AM965" s="81">
        <f>IF(E965=$AM$6,1,"")</f>
        <v/>
      </c>
      <c r="AN965" s="81">
        <f>IF(E965=$AN$6,1,"")</f>
        <v/>
      </c>
      <c r="AO965" s="81">
        <f>IF(E965=$AO$6,1,"")</f>
        <v/>
      </c>
      <c r="AP965" s="81">
        <f>IF(E965=$AP$6,1,"")</f>
        <v/>
      </c>
      <c r="AQ965" s="81">
        <f>IF(E965=$AQ$6,1,"")</f>
        <v/>
      </c>
      <c r="AR965" s="81">
        <f>IF(E965=$AR$6,1,"")</f>
        <v/>
      </c>
      <c r="AS965" s="81" t="n"/>
    </row>
    <row r="966" ht="15.75" customHeight="1" s="80">
      <c r="A966" s="157" t="n"/>
      <c r="B966" s="124" t="n"/>
      <c r="C966" s="125" t="n"/>
      <c r="D966" s="126" t="n"/>
      <c r="E966" s="127" t="n"/>
      <c r="F966" s="128" t="n"/>
      <c r="G966" s="129">
        <f>IF(F966="","",ROUND(F966/60,2))</f>
        <v/>
      </c>
      <c r="H966" s="130" t="n"/>
      <c r="I966" s="131" t="n"/>
      <c r="J966" s="131">
        <f>IF(COUNTIF(B966:E966,"*")=0,"",IF(T966=1,"Invalid Service",IF(AND(V966=1,F966=""),"Add Session Mins",IF(AND(E966&gt;0,H966="",T966=""),"Enter Contract Rate",IF(AND(E966="IEP mtg, prep, rept",F966&gt;0),(G966*H966),IF(AND(E966&gt;0,F966&gt;0,H966&gt;0,I966=""),"Enter Travel",IF(AND(F966&gt;0,I966="Y"),(G966*H966)+$M$10,IF(AND(F966&gt;0,I966="N"),(G966*H966),H966))))))))</f>
        <v/>
      </c>
      <c r="K966" s="132">
        <f>J966</f>
        <v/>
      </c>
      <c r="L966" s="148" t="n"/>
      <c r="M966" s="148" t="n"/>
      <c r="N966" s="148" t="n"/>
      <c r="O966" s="87" t="n"/>
      <c r="P966" s="81" t="n"/>
      <c r="Q966" s="81" t="n"/>
      <c r="R966" s="81" t="n"/>
      <c r="S966" s="81" t="n"/>
      <c r="T966" s="136">
        <f>IF(AND(E966&gt;0,U966=0),1,"")</f>
        <v/>
      </c>
      <c r="U966" s="136">
        <f>SUM(X966:AR966)</f>
        <v/>
      </c>
      <c r="V966" s="136">
        <f>IF(E966=$Q$16,0,SUM(X966:AI966))</f>
        <v/>
      </c>
      <c r="W966" s="136">
        <f>SUM(AK966:AR966)</f>
        <v/>
      </c>
      <c r="X966" s="136">
        <f>IF(E966=$X$6,1,"")</f>
        <v/>
      </c>
      <c r="Y966" s="136">
        <f>IF(E966=$Y$6,1,"")</f>
        <v/>
      </c>
      <c r="Z966" s="136">
        <f>IF(E966=$Z$6,1,"")</f>
        <v/>
      </c>
      <c r="AA966" s="136">
        <f>IF(E966=$AA$6,1,"")</f>
        <v/>
      </c>
      <c r="AB966" s="136">
        <f>IF(E966=$AB$6,1,"")</f>
        <v/>
      </c>
      <c r="AC966" s="136">
        <f>IF(E966=$AC$6,1,"")</f>
        <v/>
      </c>
      <c r="AD966" s="136">
        <f>IF(E966=$AD$6,1,"")</f>
        <v/>
      </c>
      <c r="AE966" s="136">
        <f>IF(E966=$AE$6,1,"")</f>
        <v/>
      </c>
      <c r="AF966" s="136">
        <f>IF(E966=$AF$6,1,"")</f>
        <v/>
      </c>
      <c r="AG966" s="136">
        <f>IF(E966=$AG$6,1,"")</f>
        <v/>
      </c>
      <c r="AH966" s="136">
        <f>IF(E966=$AH$6,1,"")</f>
        <v/>
      </c>
      <c r="AI966" s="136">
        <f>IF(E966=$AI$6,1,"")</f>
        <v/>
      </c>
      <c r="AJ966" s="136">
        <f>IF(E966=$AJ$6,1,"")</f>
        <v/>
      </c>
      <c r="AK966" s="81">
        <f>IF(E966=$AK$6,1,"")</f>
        <v/>
      </c>
      <c r="AL966" s="81">
        <f>IF(E966=$AL$6,1,"")</f>
        <v/>
      </c>
      <c r="AM966" s="81">
        <f>IF(E966=$AM$6,1,"")</f>
        <v/>
      </c>
      <c r="AN966" s="81">
        <f>IF(E966=$AN$6,1,"")</f>
        <v/>
      </c>
      <c r="AO966" s="81">
        <f>IF(E966=$AO$6,1,"")</f>
        <v/>
      </c>
      <c r="AP966" s="81">
        <f>IF(E966=$AP$6,1,"")</f>
        <v/>
      </c>
      <c r="AQ966" s="81">
        <f>IF(E966=$AQ$6,1,"")</f>
        <v/>
      </c>
      <c r="AR966" s="81">
        <f>IF(E966=$AR$6,1,"")</f>
        <v/>
      </c>
      <c r="AS966" s="81" t="n"/>
    </row>
    <row r="967" ht="15.75" customHeight="1" s="80">
      <c r="A967" s="157" t="n"/>
      <c r="B967" s="124" t="n"/>
      <c r="C967" s="125" t="n"/>
      <c r="D967" s="126" t="n"/>
      <c r="E967" s="127" t="n"/>
      <c r="F967" s="128" t="n"/>
      <c r="G967" s="129">
        <f>IF(F967="","",ROUND(F967/60,2))</f>
        <v/>
      </c>
      <c r="H967" s="130" t="n"/>
      <c r="I967" s="131" t="n"/>
      <c r="J967" s="131">
        <f>IF(COUNTIF(B967:E967,"*")=0,"",IF(T967=1,"Invalid Service",IF(AND(V967=1,F967=""),"Add Session Mins",IF(AND(E967&gt;0,H967="",T967=""),"Enter Contract Rate",IF(AND(E967="IEP mtg, prep, rept",F967&gt;0),(G967*H967),IF(AND(E967&gt;0,F967&gt;0,H967&gt;0,I967=""),"Enter Travel",IF(AND(F967&gt;0,I967="Y"),(G967*H967)+$M$10,IF(AND(F967&gt;0,I967="N"),(G967*H967),H967))))))))</f>
        <v/>
      </c>
      <c r="K967" s="132">
        <f>J967</f>
        <v/>
      </c>
      <c r="L967" s="148" t="n"/>
      <c r="M967" s="148" t="n"/>
      <c r="N967" s="148" t="n"/>
      <c r="O967" s="87" t="n"/>
      <c r="P967" s="81" t="n"/>
      <c r="Q967" s="81" t="n"/>
      <c r="R967" s="81" t="n"/>
      <c r="S967" s="81" t="n"/>
      <c r="T967" s="136">
        <f>IF(AND(E967&gt;0,U967=0),1,"")</f>
        <v/>
      </c>
      <c r="U967" s="136">
        <f>SUM(X967:AR967)</f>
        <v/>
      </c>
      <c r="V967" s="136">
        <f>IF(E967=$Q$16,0,SUM(X967:AI967))</f>
        <v/>
      </c>
      <c r="W967" s="136">
        <f>SUM(AK967:AR967)</f>
        <v/>
      </c>
      <c r="X967" s="136">
        <f>IF(E967=$X$6,1,"")</f>
        <v/>
      </c>
      <c r="Y967" s="136">
        <f>IF(E967=$Y$6,1,"")</f>
        <v/>
      </c>
      <c r="Z967" s="136">
        <f>IF(E967=$Z$6,1,"")</f>
        <v/>
      </c>
      <c r="AA967" s="136">
        <f>IF(E967=$AA$6,1,"")</f>
        <v/>
      </c>
      <c r="AB967" s="136">
        <f>IF(E967=$AB$6,1,"")</f>
        <v/>
      </c>
      <c r="AC967" s="136">
        <f>IF(E967=$AC$6,1,"")</f>
        <v/>
      </c>
      <c r="AD967" s="136">
        <f>IF(E967=$AD$6,1,"")</f>
        <v/>
      </c>
      <c r="AE967" s="136">
        <f>IF(E967=$AE$6,1,"")</f>
        <v/>
      </c>
      <c r="AF967" s="136">
        <f>IF(E967=$AF$6,1,"")</f>
        <v/>
      </c>
      <c r="AG967" s="136">
        <f>IF(E967=$AG$6,1,"")</f>
        <v/>
      </c>
      <c r="AH967" s="136">
        <f>IF(E967=$AH$6,1,"")</f>
        <v/>
      </c>
      <c r="AI967" s="136">
        <f>IF(E967=$AI$6,1,"")</f>
        <v/>
      </c>
      <c r="AJ967" s="136">
        <f>IF(E967=$AJ$6,1,"")</f>
        <v/>
      </c>
      <c r="AK967" s="81">
        <f>IF(E967=$AK$6,1,"")</f>
        <v/>
      </c>
      <c r="AL967" s="81">
        <f>IF(E967=$AL$6,1,"")</f>
        <v/>
      </c>
      <c r="AM967" s="81">
        <f>IF(E967=$AM$6,1,"")</f>
        <v/>
      </c>
      <c r="AN967" s="81">
        <f>IF(E967=$AN$6,1,"")</f>
        <v/>
      </c>
      <c r="AO967" s="81">
        <f>IF(E967=$AO$6,1,"")</f>
        <v/>
      </c>
      <c r="AP967" s="81">
        <f>IF(E967=$AP$6,1,"")</f>
        <v/>
      </c>
      <c r="AQ967" s="81">
        <f>IF(E967=$AQ$6,1,"")</f>
        <v/>
      </c>
      <c r="AR967" s="81">
        <f>IF(E967=$AR$6,1,"")</f>
        <v/>
      </c>
      <c r="AS967" s="81" t="n"/>
    </row>
    <row r="968" ht="15.75" customHeight="1" s="80">
      <c r="A968" s="157" t="n"/>
      <c r="B968" s="124" t="n"/>
      <c r="C968" s="125" t="n"/>
      <c r="D968" s="126" t="n"/>
      <c r="E968" s="127" t="n"/>
      <c r="F968" s="128" t="n"/>
      <c r="G968" s="129">
        <f>IF(F968="","",ROUND(F968/60,2))</f>
        <v/>
      </c>
      <c r="H968" s="130" t="n"/>
      <c r="I968" s="131" t="n"/>
      <c r="J968" s="131">
        <f>IF(COUNTIF(B968:E968,"*")=0,"",IF(T968=1,"Invalid Service",IF(AND(V968=1,F968=""),"Add Session Mins",IF(AND(E968&gt;0,H968="",T968=""),"Enter Contract Rate",IF(AND(E968="IEP mtg, prep, rept",F968&gt;0),(G968*H968),IF(AND(E968&gt;0,F968&gt;0,H968&gt;0,I968=""),"Enter Travel",IF(AND(F968&gt;0,I968="Y"),(G968*H968)+$M$10,IF(AND(F968&gt;0,I968="N"),(G968*H968),H968))))))))</f>
        <v/>
      </c>
      <c r="K968" s="132">
        <f>J968</f>
        <v/>
      </c>
      <c r="L968" s="148" t="n"/>
      <c r="M968" s="148" t="n"/>
      <c r="N968" s="148" t="n"/>
      <c r="O968" s="87" t="n"/>
      <c r="P968" s="81" t="n"/>
      <c r="Q968" s="81" t="n"/>
      <c r="R968" s="81" t="n"/>
      <c r="S968" s="81" t="n"/>
      <c r="T968" s="136">
        <f>IF(AND(E968&gt;0,U968=0),1,"")</f>
        <v/>
      </c>
      <c r="U968" s="136">
        <f>SUM(X968:AR968)</f>
        <v/>
      </c>
      <c r="V968" s="136">
        <f>IF(E968=$Q$16,0,SUM(X968:AI968))</f>
        <v/>
      </c>
      <c r="W968" s="136">
        <f>SUM(AK968:AR968)</f>
        <v/>
      </c>
      <c r="X968" s="136">
        <f>IF(E968=$X$6,1,"")</f>
        <v/>
      </c>
      <c r="Y968" s="136">
        <f>IF(E968=$Y$6,1,"")</f>
        <v/>
      </c>
      <c r="Z968" s="136">
        <f>IF(E968=$Z$6,1,"")</f>
        <v/>
      </c>
      <c r="AA968" s="136">
        <f>IF(E968=$AA$6,1,"")</f>
        <v/>
      </c>
      <c r="AB968" s="136">
        <f>IF(E968=$AB$6,1,"")</f>
        <v/>
      </c>
      <c r="AC968" s="136">
        <f>IF(E968=$AC$6,1,"")</f>
        <v/>
      </c>
      <c r="AD968" s="136">
        <f>IF(E968=$AD$6,1,"")</f>
        <v/>
      </c>
      <c r="AE968" s="136">
        <f>IF(E968=$AE$6,1,"")</f>
        <v/>
      </c>
      <c r="AF968" s="136">
        <f>IF(E968=$AF$6,1,"")</f>
        <v/>
      </c>
      <c r="AG968" s="136">
        <f>IF(E968=$AG$6,1,"")</f>
        <v/>
      </c>
      <c r="AH968" s="136">
        <f>IF(E968=$AH$6,1,"")</f>
        <v/>
      </c>
      <c r="AI968" s="136">
        <f>IF(E968=$AI$6,1,"")</f>
        <v/>
      </c>
      <c r="AJ968" s="136">
        <f>IF(E968=$AJ$6,1,"")</f>
        <v/>
      </c>
      <c r="AK968" s="81">
        <f>IF(E968=$AK$6,1,"")</f>
        <v/>
      </c>
      <c r="AL968" s="81">
        <f>IF(E968=$AL$6,1,"")</f>
        <v/>
      </c>
      <c r="AM968" s="81">
        <f>IF(E968=$AM$6,1,"")</f>
        <v/>
      </c>
      <c r="AN968" s="81">
        <f>IF(E968=$AN$6,1,"")</f>
        <v/>
      </c>
      <c r="AO968" s="81">
        <f>IF(E968=$AO$6,1,"")</f>
        <v/>
      </c>
      <c r="AP968" s="81">
        <f>IF(E968=$AP$6,1,"")</f>
        <v/>
      </c>
      <c r="AQ968" s="81">
        <f>IF(E968=$AQ$6,1,"")</f>
        <v/>
      </c>
      <c r="AR968" s="81">
        <f>IF(E968=$AR$6,1,"")</f>
        <v/>
      </c>
      <c r="AS968" s="81" t="n"/>
    </row>
    <row r="969" ht="15.75" customHeight="1" s="80">
      <c r="A969" s="157" t="n"/>
      <c r="B969" s="124" t="n"/>
      <c r="C969" s="125" t="n"/>
      <c r="D969" s="126" t="n"/>
      <c r="E969" s="127" t="n"/>
      <c r="F969" s="128" t="n"/>
      <c r="G969" s="129">
        <f>IF(F969="","",ROUND(F969/60,2))</f>
        <v/>
      </c>
      <c r="H969" s="130" t="n"/>
      <c r="I969" s="131" t="n"/>
      <c r="J969" s="131">
        <f>IF(COUNTIF(B969:E969,"*")=0,"",IF(T969=1,"Invalid Service",IF(AND(V969=1,F969=""),"Add Session Mins",IF(AND(E969&gt;0,H969="",T969=""),"Enter Contract Rate",IF(AND(E969="IEP mtg, prep, rept",F969&gt;0),(G969*H969),IF(AND(E969&gt;0,F969&gt;0,H969&gt;0,I969=""),"Enter Travel",IF(AND(F969&gt;0,I969="Y"),(G969*H969)+$M$10,IF(AND(F969&gt;0,I969="N"),(G969*H969),H969))))))))</f>
        <v/>
      </c>
      <c r="K969" s="132">
        <f>J969</f>
        <v/>
      </c>
      <c r="L969" s="148" t="n"/>
      <c r="M969" s="148" t="n"/>
      <c r="N969" s="148" t="n"/>
      <c r="O969" s="87" t="n"/>
      <c r="P969" s="81" t="n"/>
      <c r="Q969" s="81" t="n"/>
      <c r="R969" s="81" t="n"/>
      <c r="S969" s="81" t="n"/>
      <c r="T969" s="136">
        <f>IF(AND(E969&gt;0,U969=0),1,"")</f>
        <v/>
      </c>
      <c r="U969" s="136">
        <f>SUM(X969:AR969)</f>
        <v/>
      </c>
      <c r="V969" s="136">
        <f>IF(E969=$Q$16,0,SUM(X969:AI969))</f>
        <v/>
      </c>
      <c r="W969" s="136">
        <f>SUM(AK969:AR969)</f>
        <v/>
      </c>
      <c r="X969" s="136">
        <f>IF(E969=$X$6,1,"")</f>
        <v/>
      </c>
      <c r="Y969" s="136">
        <f>IF(E969=$Y$6,1,"")</f>
        <v/>
      </c>
      <c r="Z969" s="136">
        <f>IF(E969=$Z$6,1,"")</f>
        <v/>
      </c>
      <c r="AA969" s="136">
        <f>IF(E969=$AA$6,1,"")</f>
        <v/>
      </c>
      <c r="AB969" s="136">
        <f>IF(E969=$AB$6,1,"")</f>
        <v/>
      </c>
      <c r="AC969" s="136">
        <f>IF(E969=$AC$6,1,"")</f>
        <v/>
      </c>
      <c r="AD969" s="136">
        <f>IF(E969=$AD$6,1,"")</f>
        <v/>
      </c>
      <c r="AE969" s="136">
        <f>IF(E969=$AE$6,1,"")</f>
        <v/>
      </c>
      <c r="AF969" s="136">
        <f>IF(E969=$AF$6,1,"")</f>
        <v/>
      </c>
      <c r="AG969" s="136">
        <f>IF(E969=$AG$6,1,"")</f>
        <v/>
      </c>
      <c r="AH969" s="136">
        <f>IF(E969=$AH$6,1,"")</f>
        <v/>
      </c>
      <c r="AI969" s="136">
        <f>IF(E969=$AI$6,1,"")</f>
        <v/>
      </c>
      <c r="AJ969" s="136">
        <f>IF(E969=$AJ$6,1,"")</f>
        <v/>
      </c>
      <c r="AK969" s="81">
        <f>IF(E969=$AK$6,1,"")</f>
        <v/>
      </c>
      <c r="AL969" s="81">
        <f>IF(E969=$AL$6,1,"")</f>
        <v/>
      </c>
      <c r="AM969" s="81">
        <f>IF(E969=$AM$6,1,"")</f>
        <v/>
      </c>
      <c r="AN969" s="81">
        <f>IF(E969=$AN$6,1,"")</f>
        <v/>
      </c>
      <c r="AO969" s="81">
        <f>IF(E969=$AO$6,1,"")</f>
        <v/>
      </c>
      <c r="AP969" s="81">
        <f>IF(E969=$AP$6,1,"")</f>
        <v/>
      </c>
      <c r="AQ969" s="81">
        <f>IF(E969=$AQ$6,1,"")</f>
        <v/>
      </c>
      <c r="AR969" s="81">
        <f>IF(E969=$AR$6,1,"")</f>
        <v/>
      </c>
      <c r="AS969" s="81" t="n"/>
    </row>
    <row r="970" ht="15.75" customHeight="1" s="80">
      <c r="A970" s="157" t="n"/>
      <c r="B970" s="124" t="n"/>
      <c r="C970" s="125" t="n"/>
      <c r="D970" s="126" t="n"/>
      <c r="E970" s="127" t="n"/>
      <c r="F970" s="128" t="n"/>
      <c r="G970" s="129">
        <f>IF(F970="","",ROUND(F970/60,2))</f>
        <v/>
      </c>
      <c r="H970" s="130" t="n"/>
      <c r="I970" s="131" t="n"/>
      <c r="J970" s="131">
        <f>IF(COUNTIF(B970:E970,"*")=0,"",IF(T970=1,"Invalid Service",IF(AND(V970=1,F970=""),"Add Session Mins",IF(AND(E970&gt;0,H970="",T970=""),"Enter Contract Rate",IF(AND(E970="IEP mtg, prep, rept",F970&gt;0),(G970*H970),IF(AND(E970&gt;0,F970&gt;0,H970&gt;0,I970=""),"Enter Travel",IF(AND(F970&gt;0,I970="Y"),(G970*H970)+$M$10,IF(AND(F970&gt;0,I970="N"),(G970*H970),H970))))))))</f>
        <v/>
      </c>
      <c r="K970" s="132">
        <f>J970</f>
        <v/>
      </c>
      <c r="L970" s="148" t="n"/>
      <c r="M970" s="148" t="n"/>
      <c r="N970" s="148" t="n"/>
      <c r="O970" s="87" t="n"/>
      <c r="P970" s="81" t="n"/>
      <c r="Q970" s="81" t="n"/>
      <c r="R970" s="81" t="n"/>
      <c r="S970" s="81" t="n"/>
      <c r="T970" s="136">
        <f>IF(AND(E970&gt;0,U970=0),1,"")</f>
        <v/>
      </c>
      <c r="U970" s="136">
        <f>SUM(X970:AR970)</f>
        <v/>
      </c>
      <c r="V970" s="136">
        <f>IF(E970=$Q$16,0,SUM(X970:AI970))</f>
        <v/>
      </c>
      <c r="W970" s="136">
        <f>SUM(AK970:AR970)</f>
        <v/>
      </c>
      <c r="X970" s="136">
        <f>IF(E970=$X$6,1,"")</f>
        <v/>
      </c>
      <c r="Y970" s="136">
        <f>IF(E970=$Y$6,1,"")</f>
        <v/>
      </c>
      <c r="Z970" s="136">
        <f>IF(E970=$Z$6,1,"")</f>
        <v/>
      </c>
      <c r="AA970" s="136">
        <f>IF(E970=$AA$6,1,"")</f>
        <v/>
      </c>
      <c r="AB970" s="136">
        <f>IF(E970=$AB$6,1,"")</f>
        <v/>
      </c>
      <c r="AC970" s="136">
        <f>IF(E970=$AC$6,1,"")</f>
        <v/>
      </c>
      <c r="AD970" s="136">
        <f>IF(E970=$AD$6,1,"")</f>
        <v/>
      </c>
      <c r="AE970" s="136">
        <f>IF(E970=$AE$6,1,"")</f>
        <v/>
      </c>
      <c r="AF970" s="136">
        <f>IF(E970=$AF$6,1,"")</f>
        <v/>
      </c>
      <c r="AG970" s="136">
        <f>IF(E970=$AG$6,1,"")</f>
        <v/>
      </c>
      <c r="AH970" s="136">
        <f>IF(E970=$AH$6,1,"")</f>
        <v/>
      </c>
      <c r="AI970" s="136">
        <f>IF(E970=$AI$6,1,"")</f>
        <v/>
      </c>
      <c r="AJ970" s="136">
        <f>IF(E970=$AJ$6,1,"")</f>
        <v/>
      </c>
      <c r="AK970" s="81">
        <f>IF(E970=$AK$6,1,"")</f>
        <v/>
      </c>
      <c r="AL970" s="81">
        <f>IF(E970=$AL$6,1,"")</f>
        <v/>
      </c>
      <c r="AM970" s="81">
        <f>IF(E970=$AM$6,1,"")</f>
        <v/>
      </c>
      <c r="AN970" s="81">
        <f>IF(E970=$AN$6,1,"")</f>
        <v/>
      </c>
      <c r="AO970" s="81">
        <f>IF(E970=$AO$6,1,"")</f>
        <v/>
      </c>
      <c r="AP970" s="81">
        <f>IF(E970=$AP$6,1,"")</f>
        <v/>
      </c>
      <c r="AQ970" s="81">
        <f>IF(E970=$AQ$6,1,"")</f>
        <v/>
      </c>
      <c r="AR970" s="81">
        <f>IF(E970=$AR$6,1,"")</f>
        <v/>
      </c>
      <c r="AS970" s="81" t="n"/>
    </row>
    <row r="971" ht="15.75" customHeight="1" s="80">
      <c r="A971" s="157" t="n"/>
      <c r="B971" s="124" t="n"/>
      <c r="C971" s="125" t="n"/>
      <c r="D971" s="126" t="n"/>
      <c r="E971" s="127" t="n"/>
      <c r="F971" s="128" t="n"/>
      <c r="G971" s="129">
        <f>IF(F971="","",ROUND(F971/60,2))</f>
        <v/>
      </c>
      <c r="H971" s="130" t="n"/>
      <c r="I971" s="131" t="n"/>
      <c r="J971" s="131">
        <f>IF(COUNTIF(B971:E971,"*")=0,"",IF(T971=1,"Invalid Service",IF(AND(V971=1,F971=""),"Add Session Mins",IF(AND(E971&gt;0,H971="",T971=""),"Enter Contract Rate",IF(AND(E971="IEP mtg, prep, rept",F971&gt;0),(G971*H971),IF(AND(E971&gt;0,F971&gt;0,H971&gt;0,I971=""),"Enter Travel",IF(AND(F971&gt;0,I971="Y"),(G971*H971)+$M$10,IF(AND(F971&gt;0,I971="N"),(G971*H971),H971))))))))</f>
        <v/>
      </c>
      <c r="K971" s="132">
        <f>J971</f>
        <v/>
      </c>
      <c r="L971" s="148" t="n"/>
      <c r="M971" s="148" t="n"/>
      <c r="N971" s="148" t="n"/>
      <c r="O971" s="87" t="n"/>
      <c r="P971" s="81" t="n"/>
      <c r="Q971" s="81" t="n"/>
      <c r="R971" s="81" t="n"/>
      <c r="S971" s="81" t="n"/>
      <c r="T971" s="136">
        <f>IF(AND(E971&gt;0,U971=0),1,"")</f>
        <v/>
      </c>
      <c r="U971" s="136">
        <f>SUM(X971:AR971)</f>
        <v/>
      </c>
      <c r="V971" s="136">
        <f>IF(E971=$Q$16,0,SUM(X971:AI971))</f>
        <v/>
      </c>
      <c r="W971" s="136">
        <f>SUM(AK971:AR971)</f>
        <v/>
      </c>
      <c r="X971" s="136">
        <f>IF(E971=$X$6,1,"")</f>
        <v/>
      </c>
      <c r="Y971" s="136">
        <f>IF(E971=$Y$6,1,"")</f>
        <v/>
      </c>
      <c r="Z971" s="136">
        <f>IF(E971=$Z$6,1,"")</f>
        <v/>
      </c>
      <c r="AA971" s="136">
        <f>IF(E971=$AA$6,1,"")</f>
        <v/>
      </c>
      <c r="AB971" s="136">
        <f>IF(E971=$AB$6,1,"")</f>
        <v/>
      </c>
      <c r="AC971" s="136">
        <f>IF(E971=$AC$6,1,"")</f>
        <v/>
      </c>
      <c r="AD971" s="136">
        <f>IF(E971=$AD$6,1,"")</f>
        <v/>
      </c>
      <c r="AE971" s="136">
        <f>IF(E971=$AE$6,1,"")</f>
        <v/>
      </c>
      <c r="AF971" s="136">
        <f>IF(E971=$AF$6,1,"")</f>
        <v/>
      </c>
      <c r="AG971" s="136">
        <f>IF(E971=$AG$6,1,"")</f>
        <v/>
      </c>
      <c r="AH971" s="136">
        <f>IF(E971=$AH$6,1,"")</f>
        <v/>
      </c>
      <c r="AI971" s="136">
        <f>IF(E971=$AI$6,1,"")</f>
        <v/>
      </c>
      <c r="AJ971" s="136">
        <f>IF(E971=$AJ$6,1,"")</f>
        <v/>
      </c>
      <c r="AK971" s="81">
        <f>IF(E971=$AK$6,1,"")</f>
        <v/>
      </c>
      <c r="AL971" s="81">
        <f>IF(E971=$AL$6,1,"")</f>
        <v/>
      </c>
      <c r="AM971" s="81">
        <f>IF(E971=$AM$6,1,"")</f>
        <v/>
      </c>
      <c r="AN971" s="81">
        <f>IF(E971=$AN$6,1,"")</f>
        <v/>
      </c>
      <c r="AO971" s="81">
        <f>IF(E971=$AO$6,1,"")</f>
        <v/>
      </c>
      <c r="AP971" s="81">
        <f>IF(E971=$AP$6,1,"")</f>
        <v/>
      </c>
      <c r="AQ971" s="81">
        <f>IF(E971=$AQ$6,1,"")</f>
        <v/>
      </c>
      <c r="AR971" s="81">
        <f>IF(E971=$AR$6,1,"")</f>
        <v/>
      </c>
      <c r="AS971" s="81" t="n"/>
    </row>
    <row r="972" ht="15.75" customHeight="1" s="80">
      <c r="A972" s="157" t="n"/>
      <c r="B972" s="124" t="n"/>
      <c r="C972" s="125" t="n"/>
      <c r="D972" s="126" t="n"/>
      <c r="E972" s="127" t="n"/>
      <c r="F972" s="128" t="n"/>
      <c r="G972" s="129">
        <f>IF(F972="","",ROUND(F972/60,2))</f>
        <v/>
      </c>
      <c r="H972" s="130" t="n"/>
      <c r="I972" s="131" t="n"/>
      <c r="J972" s="131">
        <f>IF(COUNTIF(B972:E972,"*")=0,"",IF(T972=1,"Invalid Service",IF(AND(V972=1,F972=""),"Add Session Mins",IF(AND(E972&gt;0,H972="",T972=""),"Enter Contract Rate",IF(AND(E972="IEP mtg, prep, rept",F972&gt;0),(G972*H972),IF(AND(E972&gt;0,F972&gt;0,H972&gt;0,I972=""),"Enter Travel",IF(AND(F972&gt;0,I972="Y"),(G972*H972)+$M$10,IF(AND(F972&gt;0,I972="N"),(G972*H972),H972))))))))</f>
        <v/>
      </c>
      <c r="K972" s="132">
        <f>J972</f>
        <v/>
      </c>
      <c r="L972" s="148" t="n"/>
      <c r="M972" s="148" t="n"/>
      <c r="N972" s="148" t="n"/>
      <c r="O972" s="87" t="n"/>
      <c r="P972" s="81" t="n"/>
      <c r="Q972" s="81" t="n"/>
      <c r="R972" s="81" t="n"/>
      <c r="S972" s="81" t="n"/>
      <c r="T972" s="136">
        <f>IF(AND(E972&gt;0,U972=0),1,"")</f>
        <v/>
      </c>
      <c r="U972" s="136">
        <f>SUM(X972:AR972)</f>
        <v/>
      </c>
      <c r="V972" s="136">
        <f>IF(E972=$Q$16,0,SUM(X972:AI972))</f>
        <v/>
      </c>
      <c r="W972" s="136">
        <f>SUM(AK972:AR972)</f>
        <v/>
      </c>
      <c r="X972" s="136">
        <f>IF(E972=$X$6,1,"")</f>
        <v/>
      </c>
      <c r="Y972" s="136">
        <f>IF(E972=$Y$6,1,"")</f>
        <v/>
      </c>
      <c r="Z972" s="136">
        <f>IF(E972=$Z$6,1,"")</f>
        <v/>
      </c>
      <c r="AA972" s="136">
        <f>IF(E972=$AA$6,1,"")</f>
        <v/>
      </c>
      <c r="AB972" s="136">
        <f>IF(E972=$AB$6,1,"")</f>
        <v/>
      </c>
      <c r="AC972" s="136">
        <f>IF(E972=$AC$6,1,"")</f>
        <v/>
      </c>
      <c r="AD972" s="136">
        <f>IF(E972=$AD$6,1,"")</f>
        <v/>
      </c>
      <c r="AE972" s="136">
        <f>IF(E972=$AE$6,1,"")</f>
        <v/>
      </c>
      <c r="AF972" s="136">
        <f>IF(E972=$AF$6,1,"")</f>
        <v/>
      </c>
      <c r="AG972" s="136">
        <f>IF(E972=$AG$6,1,"")</f>
        <v/>
      </c>
      <c r="AH972" s="136">
        <f>IF(E972=$AH$6,1,"")</f>
        <v/>
      </c>
      <c r="AI972" s="136">
        <f>IF(E972=$AI$6,1,"")</f>
        <v/>
      </c>
      <c r="AJ972" s="136">
        <f>IF(E972=$AJ$6,1,"")</f>
        <v/>
      </c>
      <c r="AK972" s="81">
        <f>IF(E972=$AK$6,1,"")</f>
        <v/>
      </c>
      <c r="AL972" s="81">
        <f>IF(E972=$AL$6,1,"")</f>
        <v/>
      </c>
      <c r="AM972" s="81">
        <f>IF(E972=$AM$6,1,"")</f>
        <v/>
      </c>
      <c r="AN972" s="81">
        <f>IF(E972=$AN$6,1,"")</f>
        <v/>
      </c>
      <c r="AO972" s="81">
        <f>IF(E972=$AO$6,1,"")</f>
        <v/>
      </c>
      <c r="AP972" s="81">
        <f>IF(E972=$AP$6,1,"")</f>
        <v/>
      </c>
      <c r="AQ972" s="81">
        <f>IF(E972=$AQ$6,1,"")</f>
        <v/>
      </c>
      <c r="AR972" s="81">
        <f>IF(E972=$AR$6,1,"")</f>
        <v/>
      </c>
      <c r="AS972" s="81" t="n"/>
    </row>
    <row r="973" ht="15.75" customHeight="1" s="80">
      <c r="A973" s="157" t="n"/>
      <c r="B973" s="124" t="n"/>
      <c r="C973" s="125" t="n"/>
      <c r="D973" s="126" t="n"/>
      <c r="E973" s="127" t="n"/>
      <c r="F973" s="128" t="n"/>
      <c r="G973" s="129">
        <f>IF(F973="","",ROUND(F973/60,2))</f>
        <v/>
      </c>
      <c r="H973" s="130" t="n"/>
      <c r="I973" s="131" t="n"/>
      <c r="J973" s="131">
        <f>IF(COUNTIF(B973:E973,"*")=0,"",IF(T973=1,"Invalid Service",IF(AND(V973=1,F973=""),"Add Session Mins",IF(AND(E973&gt;0,H973="",T973=""),"Enter Contract Rate",IF(AND(E973="IEP mtg, prep, rept",F973&gt;0),(G973*H973),IF(AND(E973&gt;0,F973&gt;0,H973&gt;0,I973=""),"Enter Travel",IF(AND(F973&gt;0,I973="Y"),(G973*H973)+$M$10,IF(AND(F973&gt;0,I973="N"),(G973*H973),H973))))))))</f>
        <v/>
      </c>
      <c r="K973" s="132">
        <f>J973</f>
        <v/>
      </c>
      <c r="L973" s="148" t="n"/>
      <c r="M973" s="148" t="n"/>
      <c r="N973" s="148" t="n"/>
      <c r="O973" s="87" t="n"/>
      <c r="P973" s="81" t="n"/>
      <c r="Q973" s="81" t="n"/>
      <c r="R973" s="81" t="n"/>
      <c r="S973" s="81" t="n"/>
      <c r="T973" s="136">
        <f>IF(AND(E973&gt;0,U973=0),1,"")</f>
        <v/>
      </c>
      <c r="U973" s="136">
        <f>SUM(X973:AR973)</f>
        <v/>
      </c>
      <c r="V973" s="136">
        <f>IF(E973=$Q$16,0,SUM(X973:AI973))</f>
        <v/>
      </c>
      <c r="W973" s="136">
        <f>SUM(AK973:AR973)</f>
        <v/>
      </c>
      <c r="X973" s="136">
        <f>IF(E973=$X$6,1,"")</f>
        <v/>
      </c>
      <c r="Y973" s="136">
        <f>IF(E973=$Y$6,1,"")</f>
        <v/>
      </c>
      <c r="Z973" s="136">
        <f>IF(E973=$Z$6,1,"")</f>
        <v/>
      </c>
      <c r="AA973" s="136">
        <f>IF(E973=$AA$6,1,"")</f>
        <v/>
      </c>
      <c r="AB973" s="136">
        <f>IF(E973=$AB$6,1,"")</f>
        <v/>
      </c>
      <c r="AC973" s="136">
        <f>IF(E973=$AC$6,1,"")</f>
        <v/>
      </c>
      <c r="AD973" s="136">
        <f>IF(E973=$AD$6,1,"")</f>
        <v/>
      </c>
      <c r="AE973" s="136">
        <f>IF(E973=$AE$6,1,"")</f>
        <v/>
      </c>
      <c r="AF973" s="136">
        <f>IF(E973=$AF$6,1,"")</f>
        <v/>
      </c>
      <c r="AG973" s="136">
        <f>IF(E973=$AG$6,1,"")</f>
        <v/>
      </c>
      <c r="AH973" s="136">
        <f>IF(E973=$AH$6,1,"")</f>
        <v/>
      </c>
      <c r="AI973" s="136">
        <f>IF(E973=$AI$6,1,"")</f>
        <v/>
      </c>
      <c r="AJ973" s="136">
        <f>IF(E973=$AJ$6,1,"")</f>
        <v/>
      </c>
      <c r="AK973" s="81">
        <f>IF(E973=$AK$6,1,"")</f>
        <v/>
      </c>
      <c r="AL973" s="81">
        <f>IF(E973=$AL$6,1,"")</f>
        <v/>
      </c>
      <c r="AM973" s="81">
        <f>IF(E973=$AM$6,1,"")</f>
        <v/>
      </c>
      <c r="AN973" s="81">
        <f>IF(E973=$AN$6,1,"")</f>
        <v/>
      </c>
      <c r="AO973" s="81">
        <f>IF(E973=$AO$6,1,"")</f>
        <v/>
      </c>
      <c r="AP973" s="81">
        <f>IF(E973=$AP$6,1,"")</f>
        <v/>
      </c>
      <c r="AQ973" s="81">
        <f>IF(E973=$AQ$6,1,"")</f>
        <v/>
      </c>
      <c r="AR973" s="81">
        <f>IF(E973=$AR$6,1,"")</f>
        <v/>
      </c>
      <c r="AS973" s="81" t="n"/>
    </row>
    <row r="974" ht="15.75" customHeight="1" s="80">
      <c r="A974" s="157" t="n"/>
      <c r="B974" s="124" t="n"/>
      <c r="C974" s="125" t="n"/>
      <c r="D974" s="126" t="n"/>
      <c r="E974" s="127" t="n"/>
      <c r="F974" s="128" t="n"/>
      <c r="G974" s="129">
        <f>IF(F974="","",ROUND(F974/60,2))</f>
        <v/>
      </c>
      <c r="H974" s="130" t="n"/>
      <c r="I974" s="131" t="n"/>
      <c r="J974" s="131">
        <f>IF(COUNTIF(B974:E974,"*")=0,"",IF(T974=1,"Invalid Service",IF(AND(V974=1,F974=""),"Add Session Mins",IF(AND(E974&gt;0,H974="",T974=""),"Enter Contract Rate",IF(AND(E974="IEP mtg, prep, rept",F974&gt;0),(G974*H974),IF(AND(E974&gt;0,F974&gt;0,H974&gt;0,I974=""),"Enter Travel",IF(AND(F974&gt;0,I974="Y"),(G974*H974)+$M$10,IF(AND(F974&gt;0,I974="N"),(G974*H974),H974))))))))</f>
        <v/>
      </c>
      <c r="K974" s="132">
        <f>J974</f>
        <v/>
      </c>
      <c r="L974" s="148" t="n"/>
      <c r="M974" s="148" t="n"/>
      <c r="N974" s="148" t="n"/>
      <c r="O974" s="87" t="n"/>
      <c r="P974" s="81" t="n"/>
      <c r="Q974" s="81" t="n"/>
      <c r="R974" s="81" t="n"/>
      <c r="S974" s="81" t="n"/>
      <c r="T974" s="136">
        <f>IF(AND(E974&gt;0,U974=0),1,"")</f>
        <v/>
      </c>
      <c r="U974" s="136">
        <f>SUM(X974:AR974)</f>
        <v/>
      </c>
      <c r="V974" s="136">
        <f>IF(E974=$Q$16,0,SUM(X974:AI974))</f>
        <v/>
      </c>
      <c r="W974" s="136">
        <f>SUM(AK974:AR974)</f>
        <v/>
      </c>
      <c r="X974" s="136">
        <f>IF(E974=$X$6,1,"")</f>
        <v/>
      </c>
      <c r="Y974" s="136">
        <f>IF(E974=$Y$6,1,"")</f>
        <v/>
      </c>
      <c r="Z974" s="136">
        <f>IF(E974=$Z$6,1,"")</f>
        <v/>
      </c>
      <c r="AA974" s="136">
        <f>IF(E974=$AA$6,1,"")</f>
        <v/>
      </c>
      <c r="AB974" s="136">
        <f>IF(E974=$AB$6,1,"")</f>
        <v/>
      </c>
      <c r="AC974" s="136">
        <f>IF(E974=$AC$6,1,"")</f>
        <v/>
      </c>
      <c r="AD974" s="136">
        <f>IF(E974=$AD$6,1,"")</f>
        <v/>
      </c>
      <c r="AE974" s="136">
        <f>IF(E974=$AE$6,1,"")</f>
        <v/>
      </c>
      <c r="AF974" s="136">
        <f>IF(E974=$AF$6,1,"")</f>
        <v/>
      </c>
      <c r="AG974" s="136">
        <f>IF(E974=$AG$6,1,"")</f>
        <v/>
      </c>
      <c r="AH974" s="136">
        <f>IF(E974=$AH$6,1,"")</f>
        <v/>
      </c>
      <c r="AI974" s="136">
        <f>IF(E974=$AI$6,1,"")</f>
        <v/>
      </c>
      <c r="AJ974" s="136">
        <f>IF(E974=$AJ$6,1,"")</f>
        <v/>
      </c>
      <c r="AK974" s="81">
        <f>IF(E974=$AK$6,1,"")</f>
        <v/>
      </c>
      <c r="AL974" s="81">
        <f>IF(E974=$AL$6,1,"")</f>
        <v/>
      </c>
      <c r="AM974" s="81">
        <f>IF(E974=$AM$6,1,"")</f>
        <v/>
      </c>
      <c r="AN974" s="81">
        <f>IF(E974=$AN$6,1,"")</f>
        <v/>
      </c>
      <c r="AO974" s="81">
        <f>IF(E974=$AO$6,1,"")</f>
        <v/>
      </c>
      <c r="AP974" s="81">
        <f>IF(E974=$AP$6,1,"")</f>
        <v/>
      </c>
      <c r="AQ974" s="81">
        <f>IF(E974=$AQ$6,1,"")</f>
        <v/>
      </c>
      <c r="AR974" s="81">
        <f>IF(E974=$AR$6,1,"")</f>
        <v/>
      </c>
      <c r="AS974" s="81" t="n"/>
    </row>
    <row r="975" ht="15.75" customHeight="1" s="80">
      <c r="A975" s="157" t="n"/>
      <c r="B975" s="124" t="n"/>
      <c r="C975" s="125" t="n"/>
      <c r="D975" s="126" t="n"/>
      <c r="E975" s="127" t="n"/>
      <c r="F975" s="128" t="n"/>
      <c r="G975" s="129">
        <f>IF(F975="","",ROUND(F975/60,2))</f>
        <v/>
      </c>
      <c r="H975" s="130" t="n"/>
      <c r="I975" s="131" t="n"/>
      <c r="J975" s="131">
        <f>IF(COUNTIF(B975:E975,"*")=0,"",IF(T975=1,"Invalid Service",IF(AND(V975=1,F975=""),"Add Session Mins",IF(AND(E975&gt;0,H975="",T975=""),"Enter Contract Rate",IF(AND(E975="IEP mtg, prep, rept",F975&gt;0),(G975*H975),IF(AND(E975&gt;0,F975&gt;0,H975&gt;0,I975=""),"Enter Travel",IF(AND(F975&gt;0,I975="Y"),(G975*H975)+$M$10,IF(AND(F975&gt;0,I975="N"),(G975*H975),H975))))))))</f>
        <v/>
      </c>
      <c r="K975" s="132">
        <f>J975</f>
        <v/>
      </c>
      <c r="L975" s="148" t="n"/>
      <c r="M975" s="148" t="n"/>
      <c r="N975" s="148" t="n"/>
      <c r="O975" s="87" t="n"/>
      <c r="P975" s="81" t="n"/>
      <c r="Q975" s="81" t="n"/>
      <c r="R975" s="81" t="n"/>
      <c r="S975" s="81" t="n"/>
      <c r="T975" s="136">
        <f>IF(AND(E975&gt;0,U975=0),1,"")</f>
        <v/>
      </c>
      <c r="U975" s="136">
        <f>SUM(X975:AR975)</f>
        <v/>
      </c>
      <c r="V975" s="136">
        <f>IF(E975=$Q$16,0,SUM(X975:AI975))</f>
        <v/>
      </c>
      <c r="W975" s="136">
        <f>SUM(AK975:AR975)</f>
        <v/>
      </c>
      <c r="X975" s="136">
        <f>IF(E975=$X$6,1,"")</f>
        <v/>
      </c>
      <c r="Y975" s="136">
        <f>IF(E975=$Y$6,1,"")</f>
        <v/>
      </c>
      <c r="Z975" s="136">
        <f>IF(E975=$Z$6,1,"")</f>
        <v/>
      </c>
      <c r="AA975" s="136">
        <f>IF(E975=$AA$6,1,"")</f>
        <v/>
      </c>
      <c r="AB975" s="136">
        <f>IF(E975=$AB$6,1,"")</f>
        <v/>
      </c>
      <c r="AC975" s="136">
        <f>IF(E975=$AC$6,1,"")</f>
        <v/>
      </c>
      <c r="AD975" s="136">
        <f>IF(E975=$AD$6,1,"")</f>
        <v/>
      </c>
      <c r="AE975" s="136">
        <f>IF(E975=$AE$6,1,"")</f>
        <v/>
      </c>
      <c r="AF975" s="136">
        <f>IF(E975=$AF$6,1,"")</f>
        <v/>
      </c>
      <c r="AG975" s="136">
        <f>IF(E975=$AG$6,1,"")</f>
        <v/>
      </c>
      <c r="AH975" s="136">
        <f>IF(E975=$AH$6,1,"")</f>
        <v/>
      </c>
      <c r="AI975" s="136">
        <f>IF(E975=$AI$6,1,"")</f>
        <v/>
      </c>
      <c r="AJ975" s="136">
        <f>IF(E975=$AJ$6,1,"")</f>
        <v/>
      </c>
      <c r="AK975" s="81">
        <f>IF(E975=$AK$6,1,"")</f>
        <v/>
      </c>
      <c r="AL975" s="81">
        <f>IF(E975=$AL$6,1,"")</f>
        <v/>
      </c>
      <c r="AM975" s="81">
        <f>IF(E975=$AM$6,1,"")</f>
        <v/>
      </c>
      <c r="AN975" s="81">
        <f>IF(E975=$AN$6,1,"")</f>
        <v/>
      </c>
      <c r="AO975" s="81">
        <f>IF(E975=$AO$6,1,"")</f>
        <v/>
      </c>
      <c r="AP975" s="81">
        <f>IF(E975=$AP$6,1,"")</f>
        <v/>
      </c>
      <c r="AQ975" s="81">
        <f>IF(E975=$AQ$6,1,"")</f>
        <v/>
      </c>
      <c r="AR975" s="81">
        <f>IF(E975=$AR$6,1,"")</f>
        <v/>
      </c>
      <c r="AS975" s="81" t="n"/>
    </row>
    <row r="976" ht="15.75" customHeight="1" s="80">
      <c r="A976" s="157" t="n"/>
      <c r="B976" s="124" t="n"/>
      <c r="C976" s="125" t="n"/>
      <c r="D976" s="126" t="n"/>
      <c r="E976" s="127" t="n"/>
      <c r="F976" s="128" t="n"/>
      <c r="G976" s="129">
        <f>IF(F976="","",ROUND(F976/60,2))</f>
        <v/>
      </c>
      <c r="H976" s="130" t="n"/>
      <c r="I976" s="131" t="n"/>
      <c r="J976" s="131">
        <f>IF(COUNTIF(B976:E976,"*")=0,"",IF(T976=1,"Invalid Service",IF(AND(V976=1,F976=""),"Add Session Mins",IF(AND(E976&gt;0,H976="",T976=""),"Enter Contract Rate",IF(AND(E976="IEP mtg, prep, rept",F976&gt;0),(G976*H976),IF(AND(E976&gt;0,F976&gt;0,H976&gt;0,I976=""),"Enter Travel",IF(AND(F976&gt;0,I976="Y"),(G976*H976)+$M$10,IF(AND(F976&gt;0,I976="N"),(G976*H976),H976))))))))</f>
        <v/>
      </c>
      <c r="K976" s="132">
        <f>J976</f>
        <v/>
      </c>
      <c r="L976" s="148" t="n"/>
      <c r="M976" s="148" t="n"/>
      <c r="N976" s="148" t="n"/>
      <c r="O976" s="87" t="n"/>
      <c r="P976" s="81" t="n"/>
      <c r="Q976" s="81" t="n"/>
      <c r="R976" s="81" t="n"/>
      <c r="S976" s="81" t="n"/>
      <c r="T976" s="136">
        <f>IF(AND(E976&gt;0,U976=0),1,"")</f>
        <v/>
      </c>
      <c r="U976" s="136">
        <f>SUM(X976:AR976)</f>
        <v/>
      </c>
      <c r="V976" s="136">
        <f>IF(E976=$Q$16,0,SUM(X976:AI976))</f>
        <v/>
      </c>
      <c r="W976" s="136">
        <f>SUM(AK976:AR976)</f>
        <v/>
      </c>
      <c r="X976" s="136">
        <f>IF(E976=$X$6,1,"")</f>
        <v/>
      </c>
      <c r="Y976" s="136">
        <f>IF(E976=$Y$6,1,"")</f>
        <v/>
      </c>
      <c r="Z976" s="136">
        <f>IF(E976=$Z$6,1,"")</f>
        <v/>
      </c>
      <c r="AA976" s="136">
        <f>IF(E976=$AA$6,1,"")</f>
        <v/>
      </c>
      <c r="AB976" s="136">
        <f>IF(E976=$AB$6,1,"")</f>
        <v/>
      </c>
      <c r="AC976" s="136">
        <f>IF(E976=$AC$6,1,"")</f>
        <v/>
      </c>
      <c r="AD976" s="136">
        <f>IF(E976=$AD$6,1,"")</f>
        <v/>
      </c>
      <c r="AE976" s="136">
        <f>IF(E976=$AE$6,1,"")</f>
        <v/>
      </c>
      <c r="AF976" s="136">
        <f>IF(E976=$AF$6,1,"")</f>
        <v/>
      </c>
      <c r="AG976" s="136">
        <f>IF(E976=$AG$6,1,"")</f>
        <v/>
      </c>
      <c r="AH976" s="136">
        <f>IF(E976=$AH$6,1,"")</f>
        <v/>
      </c>
      <c r="AI976" s="136">
        <f>IF(E976=$AI$6,1,"")</f>
        <v/>
      </c>
      <c r="AJ976" s="136">
        <f>IF(E976=$AJ$6,1,"")</f>
        <v/>
      </c>
      <c r="AK976" s="81">
        <f>IF(E976=$AK$6,1,"")</f>
        <v/>
      </c>
      <c r="AL976" s="81">
        <f>IF(E976=$AL$6,1,"")</f>
        <v/>
      </c>
      <c r="AM976" s="81">
        <f>IF(E976=$AM$6,1,"")</f>
        <v/>
      </c>
      <c r="AN976" s="81">
        <f>IF(E976=$AN$6,1,"")</f>
        <v/>
      </c>
      <c r="AO976" s="81">
        <f>IF(E976=$AO$6,1,"")</f>
        <v/>
      </c>
      <c r="AP976" s="81">
        <f>IF(E976=$AP$6,1,"")</f>
        <v/>
      </c>
      <c r="AQ976" s="81">
        <f>IF(E976=$AQ$6,1,"")</f>
        <v/>
      </c>
      <c r="AR976" s="81">
        <f>IF(E976=$AR$6,1,"")</f>
        <v/>
      </c>
      <c r="AS976" s="81" t="n"/>
    </row>
    <row r="977" ht="15.75" customHeight="1" s="80">
      <c r="A977" s="157" t="n"/>
      <c r="B977" s="124" t="n"/>
      <c r="C977" s="125" t="n"/>
      <c r="D977" s="126" t="n"/>
      <c r="E977" s="127" t="n"/>
      <c r="F977" s="128" t="n"/>
      <c r="G977" s="129">
        <f>IF(F977="","",ROUND(F977/60,2))</f>
        <v/>
      </c>
      <c r="H977" s="130" t="n"/>
      <c r="I977" s="131" t="n"/>
      <c r="J977" s="131">
        <f>IF(COUNTIF(B977:E977,"*")=0,"",IF(T977=1,"Invalid Service",IF(AND(V977=1,F977=""),"Add Session Mins",IF(AND(E977&gt;0,H977="",T977=""),"Enter Contract Rate",IF(AND(E977="IEP mtg, prep, rept",F977&gt;0),(G977*H977),IF(AND(E977&gt;0,F977&gt;0,H977&gt;0,I977=""),"Enter Travel",IF(AND(F977&gt;0,I977="Y"),(G977*H977)+$M$10,IF(AND(F977&gt;0,I977="N"),(G977*H977),H977))))))))</f>
        <v/>
      </c>
      <c r="K977" s="132">
        <f>J977</f>
        <v/>
      </c>
      <c r="L977" s="148" t="n"/>
      <c r="M977" s="148" t="n"/>
      <c r="N977" s="148" t="n"/>
      <c r="O977" s="87" t="n"/>
      <c r="P977" s="81" t="n"/>
      <c r="Q977" s="81" t="n"/>
      <c r="R977" s="81" t="n"/>
      <c r="S977" s="81" t="n"/>
      <c r="T977" s="136">
        <f>IF(AND(E977&gt;0,U977=0),1,"")</f>
        <v/>
      </c>
      <c r="U977" s="136">
        <f>SUM(X977:AR977)</f>
        <v/>
      </c>
      <c r="V977" s="136">
        <f>IF(E977=$Q$16,0,SUM(X977:AI977))</f>
        <v/>
      </c>
      <c r="W977" s="136">
        <f>SUM(AK977:AR977)</f>
        <v/>
      </c>
      <c r="X977" s="136">
        <f>IF(E977=$X$6,1,"")</f>
        <v/>
      </c>
      <c r="Y977" s="136">
        <f>IF(E977=$Y$6,1,"")</f>
        <v/>
      </c>
      <c r="Z977" s="136">
        <f>IF(E977=$Z$6,1,"")</f>
        <v/>
      </c>
      <c r="AA977" s="136">
        <f>IF(E977=$AA$6,1,"")</f>
        <v/>
      </c>
      <c r="AB977" s="136">
        <f>IF(E977=$AB$6,1,"")</f>
        <v/>
      </c>
      <c r="AC977" s="136">
        <f>IF(E977=$AC$6,1,"")</f>
        <v/>
      </c>
      <c r="AD977" s="136">
        <f>IF(E977=$AD$6,1,"")</f>
        <v/>
      </c>
      <c r="AE977" s="136">
        <f>IF(E977=$AE$6,1,"")</f>
        <v/>
      </c>
      <c r="AF977" s="136">
        <f>IF(E977=$AF$6,1,"")</f>
        <v/>
      </c>
      <c r="AG977" s="136">
        <f>IF(E977=$AG$6,1,"")</f>
        <v/>
      </c>
      <c r="AH977" s="136">
        <f>IF(E977=$AH$6,1,"")</f>
        <v/>
      </c>
      <c r="AI977" s="136">
        <f>IF(E977=$AI$6,1,"")</f>
        <v/>
      </c>
      <c r="AJ977" s="136">
        <f>IF(E977=$AJ$6,1,"")</f>
        <v/>
      </c>
      <c r="AK977" s="81">
        <f>IF(E977=$AK$6,1,"")</f>
        <v/>
      </c>
      <c r="AL977" s="81">
        <f>IF(E977=$AL$6,1,"")</f>
        <v/>
      </c>
      <c r="AM977" s="81">
        <f>IF(E977=$AM$6,1,"")</f>
        <v/>
      </c>
      <c r="AN977" s="81">
        <f>IF(E977=$AN$6,1,"")</f>
        <v/>
      </c>
      <c r="AO977" s="81">
        <f>IF(E977=$AO$6,1,"")</f>
        <v/>
      </c>
      <c r="AP977" s="81">
        <f>IF(E977=$AP$6,1,"")</f>
        <v/>
      </c>
      <c r="AQ977" s="81">
        <f>IF(E977=$AQ$6,1,"")</f>
        <v/>
      </c>
      <c r="AR977" s="81">
        <f>IF(E977=$AR$6,1,"")</f>
        <v/>
      </c>
      <c r="AS977" s="81" t="n"/>
    </row>
    <row r="978" ht="15.75" customHeight="1" s="80">
      <c r="A978" s="157" t="n"/>
      <c r="B978" s="124" t="n"/>
      <c r="C978" s="125" t="n"/>
      <c r="D978" s="126" t="n"/>
      <c r="E978" s="127" t="n"/>
      <c r="F978" s="128" t="n"/>
      <c r="G978" s="129">
        <f>IF(F978="","",ROUND(F978/60,2))</f>
        <v/>
      </c>
      <c r="H978" s="130" t="n"/>
      <c r="I978" s="131" t="n"/>
      <c r="J978" s="131">
        <f>IF(COUNTIF(B978:E978,"*")=0,"",IF(T978=1,"Invalid Service",IF(AND(V978=1,F978=""),"Add Session Mins",IF(AND(E978&gt;0,H978="",T978=""),"Enter Contract Rate",IF(AND(E978="IEP mtg, prep, rept",F978&gt;0),(G978*H978),IF(AND(E978&gt;0,F978&gt;0,H978&gt;0,I978=""),"Enter Travel",IF(AND(F978&gt;0,I978="Y"),(G978*H978)+$M$10,IF(AND(F978&gt;0,I978="N"),(G978*H978),H978))))))))</f>
        <v/>
      </c>
      <c r="K978" s="132">
        <f>J978</f>
        <v/>
      </c>
      <c r="L978" s="148" t="n"/>
      <c r="M978" s="148" t="n"/>
      <c r="N978" s="148" t="n"/>
      <c r="O978" s="87" t="n"/>
      <c r="P978" s="81" t="n"/>
      <c r="Q978" s="81" t="n"/>
      <c r="R978" s="81" t="n"/>
      <c r="S978" s="81" t="n"/>
      <c r="T978" s="136">
        <f>IF(AND(E978&gt;0,U978=0),1,"")</f>
        <v/>
      </c>
      <c r="U978" s="136">
        <f>SUM(X978:AR978)</f>
        <v/>
      </c>
      <c r="V978" s="136">
        <f>IF(E978=$Q$16,0,SUM(X978:AI978))</f>
        <v/>
      </c>
      <c r="W978" s="136">
        <f>SUM(AK978:AR978)</f>
        <v/>
      </c>
      <c r="X978" s="136">
        <f>IF(E978=$X$6,1,"")</f>
        <v/>
      </c>
      <c r="Y978" s="136">
        <f>IF(E978=$Y$6,1,"")</f>
        <v/>
      </c>
      <c r="Z978" s="136">
        <f>IF(E978=$Z$6,1,"")</f>
        <v/>
      </c>
      <c r="AA978" s="136">
        <f>IF(E978=$AA$6,1,"")</f>
        <v/>
      </c>
      <c r="AB978" s="136">
        <f>IF(E978=$AB$6,1,"")</f>
        <v/>
      </c>
      <c r="AC978" s="136">
        <f>IF(E978=$AC$6,1,"")</f>
        <v/>
      </c>
      <c r="AD978" s="136">
        <f>IF(E978=$AD$6,1,"")</f>
        <v/>
      </c>
      <c r="AE978" s="136">
        <f>IF(E978=$AE$6,1,"")</f>
        <v/>
      </c>
      <c r="AF978" s="136">
        <f>IF(E978=$AF$6,1,"")</f>
        <v/>
      </c>
      <c r="AG978" s="136">
        <f>IF(E978=$AG$6,1,"")</f>
        <v/>
      </c>
      <c r="AH978" s="136">
        <f>IF(E978=$AH$6,1,"")</f>
        <v/>
      </c>
      <c r="AI978" s="136">
        <f>IF(E978=$AI$6,1,"")</f>
        <v/>
      </c>
      <c r="AJ978" s="136">
        <f>IF(E978=$AJ$6,1,"")</f>
        <v/>
      </c>
      <c r="AK978" s="81">
        <f>IF(E978=$AK$6,1,"")</f>
        <v/>
      </c>
      <c r="AL978" s="81">
        <f>IF(E978=$AL$6,1,"")</f>
        <v/>
      </c>
      <c r="AM978" s="81">
        <f>IF(E978=$AM$6,1,"")</f>
        <v/>
      </c>
      <c r="AN978" s="81">
        <f>IF(E978=$AN$6,1,"")</f>
        <v/>
      </c>
      <c r="AO978" s="81">
        <f>IF(E978=$AO$6,1,"")</f>
        <v/>
      </c>
      <c r="AP978" s="81">
        <f>IF(E978=$AP$6,1,"")</f>
        <v/>
      </c>
      <c r="AQ978" s="81">
        <f>IF(E978=$AQ$6,1,"")</f>
        <v/>
      </c>
      <c r="AR978" s="81">
        <f>IF(E978=$AR$6,1,"")</f>
        <v/>
      </c>
      <c r="AS978" s="81" t="n"/>
    </row>
    <row r="979" ht="15.75" customHeight="1" s="80">
      <c r="A979" s="157" t="n"/>
      <c r="B979" s="124" t="n"/>
      <c r="C979" s="125" t="n"/>
      <c r="D979" s="126" t="n"/>
      <c r="E979" s="127" t="n"/>
      <c r="F979" s="128" t="n"/>
      <c r="G979" s="129">
        <f>IF(F979="","",ROUND(F979/60,2))</f>
        <v/>
      </c>
      <c r="H979" s="130" t="n"/>
      <c r="I979" s="131" t="n"/>
      <c r="J979" s="131">
        <f>IF(COUNTIF(B979:E979,"*")=0,"",IF(T979=1,"Invalid Service",IF(AND(V979=1,F979=""),"Add Session Mins",IF(AND(E979&gt;0,H979="",T979=""),"Enter Contract Rate",IF(AND(E979="IEP mtg, prep, rept",F979&gt;0),(G979*H979),IF(AND(E979&gt;0,F979&gt;0,H979&gt;0,I979=""),"Enter Travel",IF(AND(F979&gt;0,I979="Y"),(G979*H979)+$M$10,IF(AND(F979&gt;0,I979="N"),(G979*H979),H979))))))))</f>
        <v/>
      </c>
      <c r="K979" s="132">
        <f>J979</f>
        <v/>
      </c>
      <c r="L979" s="148" t="n"/>
      <c r="M979" s="148" t="n"/>
      <c r="N979" s="148" t="n"/>
      <c r="O979" s="87" t="n"/>
      <c r="P979" s="81" t="n"/>
      <c r="Q979" s="81" t="n"/>
      <c r="R979" s="81" t="n"/>
      <c r="S979" s="81" t="n"/>
      <c r="T979" s="136">
        <f>IF(AND(E979&gt;0,U979=0),1,"")</f>
        <v/>
      </c>
      <c r="U979" s="136">
        <f>SUM(X979:AR979)</f>
        <v/>
      </c>
      <c r="V979" s="136">
        <f>IF(E979=$Q$16,0,SUM(X979:AI979))</f>
        <v/>
      </c>
      <c r="W979" s="136">
        <f>SUM(AK979:AR979)</f>
        <v/>
      </c>
      <c r="X979" s="136">
        <f>IF(E979=$X$6,1,"")</f>
        <v/>
      </c>
      <c r="Y979" s="136">
        <f>IF(E979=$Y$6,1,"")</f>
        <v/>
      </c>
      <c r="Z979" s="136">
        <f>IF(E979=$Z$6,1,"")</f>
        <v/>
      </c>
      <c r="AA979" s="136">
        <f>IF(E979=$AA$6,1,"")</f>
        <v/>
      </c>
      <c r="AB979" s="136">
        <f>IF(E979=$AB$6,1,"")</f>
        <v/>
      </c>
      <c r="AC979" s="136">
        <f>IF(E979=$AC$6,1,"")</f>
        <v/>
      </c>
      <c r="AD979" s="136">
        <f>IF(E979=$AD$6,1,"")</f>
        <v/>
      </c>
      <c r="AE979" s="136">
        <f>IF(E979=$AE$6,1,"")</f>
        <v/>
      </c>
      <c r="AF979" s="136">
        <f>IF(E979=$AF$6,1,"")</f>
        <v/>
      </c>
      <c r="AG979" s="136">
        <f>IF(E979=$AG$6,1,"")</f>
        <v/>
      </c>
      <c r="AH979" s="136">
        <f>IF(E979=$AH$6,1,"")</f>
        <v/>
      </c>
      <c r="AI979" s="136">
        <f>IF(E979=$AI$6,1,"")</f>
        <v/>
      </c>
      <c r="AJ979" s="136">
        <f>IF(E979=$AJ$6,1,"")</f>
        <v/>
      </c>
      <c r="AK979" s="81">
        <f>IF(E979=$AK$6,1,"")</f>
        <v/>
      </c>
      <c r="AL979" s="81">
        <f>IF(E979=$AL$6,1,"")</f>
        <v/>
      </c>
      <c r="AM979" s="81">
        <f>IF(E979=$AM$6,1,"")</f>
        <v/>
      </c>
      <c r="AN979" s="81">
        <f>IF(E979=$AN$6,1,"")</f>
        <v/>
      </c>
      <c r="AO979" s="81">
        <f>IF(E979=$AO$6,1,"")</f>
        <v/>
      </c>
      <c r="AP979" s="81">
        <f>IF(E979=$AP$6,1,"")</f>
        <v/>
      </c>
      <c r="AQ979" s="81">
        <f>IF(E979=$AQ$6,1,"")</f>
        <v/>
      </c>
      <c r="AR979" s="81">
        <f>IF(E979=$AR$6,1,"")</f>
        <v/>
      </c>
      <c r="AS979" s="81" t="n"/>
    </row>
    <row r="980" ht="15.75" customHeight="1" s="80">
      <c r="A980" s="157" t="n"/>
      <c r="B980" s="124" t="n"/>
      <c r="C980" s="125" t="n"/>
      <c r="D980" s="126" t="n"/>
      <c r="E980" s="127" t="n"/>
      <c r="F980" s="128" t="n"/>
      <c r="G980" s="129">
        <f>IF(F980="","",ROUND(F980/60,2))</f>
        <v/>
      </c>
      <c r="H980" s="130" t="n"/>
      <c r="I980" s="131" t="n"/>
      <c r="J980" s="131">
        <f>IF(COUNTIF(B980:E980,"*")=0,"",IF(T980=1,"Invalid Service",IF(AND(V980=1,F980=""),"Add Session Mins",IF(AND(E980&gt;0,H980="",T980=""),"Enter Contract Rate",IF(AND(E980="IEP mtg, prep, rept",F980&gt;0),(G980*H980),IF(AND(E980&gt;0,F980&gt;0,H980&gt;0,I980=""),"Enter Travel",IF(AND(F980&gt;0,I980="Y"),(G980*H980)+$M$10,IF(AND(F980&gt;0,I980="N"),(G980*H980),H980))))))))</f>
        <v/>
      </c>
      <c r="K980" s="132">
        <f>J980</f>
        <v/>
      </c>
      <c r="L980" s="148" t="n"/>
      <c r="M980" s="148" t="n"/>
      <c r="N980" s="148" t="n"/>
      <c r="O980" s="87" t="n"/>
      <c r="P980" s="81" t="n"/>
      <c r="Q980" s="81" t="n"/>
      <c r="R980" s="81" t="n"/>
      <c r="S980" s="81" t="n"/>
      <c r="T980" s="136">
        <f>IF(AND(E980&gt;0,U980=0),1,"")</f>
        <v/>
      </c>
      <c r="U980" s="136">
        <f>SUM(X980:AR980)</f>
        <v/>
      </c>
      <c r="V980" s="136">
        <f>IF(E980=$Q$16,0,SUM(X980:AI980))</f>
        <v/>
      </c>
      <c r="W980" s="136">
        <f>SUM(AK980:AR980)</f>
        <v/>
      </c>
      <c r="X980" s="136">
        <f>IF(E980=$X$6,1,"")</f>
        <v/>
      </c>
      <c r="Y980" s="136">
        <f>IF(E980=$Y$6,1,"")</f>
        <v/>
      </c>
      <c r="Z980" s="136">
        <f>IF(E980=$Z$6,1,"")</f>
        <v/>
      </c>
      <c r="AA980" s="136">
        <f>IF(E980=$AA$6,1,"")</f>
        <v/>
      </c>
      <c r="AB980" s="136">
        <f>IF(E980=$AB$6,1,"")</f>
        <v/>
      </c>
      <c r="AC980" s="136">
        <f>IF(E980=$AC$6,1,"")</f>
        <v/>
      </c>
      <c r="AD980" s="136">
        <f>IF(E980=$AD$6,1,"")</f>
        <v/>
      </c>
      <c r="AE980" s="136">
        <f>IF(E980=$AE$6,1,"")</f>
        <v/>
      </c>
      <c r="AF980" s="136">
        <f>IF(E980=$AF$6,1,"")</f>
        <v/>
      </c>
      <c r="AG980" s="136">
        <f>IF(E980=$AG$6,1,"")</f>
        <v/>
      </c>
      <c r="AH980" s="136">
        <f>IF(E980=$AH$6,1,"")</f>
        <v/>
      </c>
      <c r="AI980" s="136">
        <f>IF(E980=$AI$6,1,"")</f>
        <v/>
      </c>
      <c r="AJ980" s="136">
        <f>IF(E980=$AJ$6,1,"")</f>
        <v/>
      </c>
      <c r="AK980" s="81">
        <f>IF(E980=$AK$6,1,"")</f>
        <v/>
      </c>
      <c r="AL980" s="81">
        <f>IF(E980=$AL$6,1,"")</f>
        <v/>
      </c>
      <c r="AM980" s="81">
        <f>IF(E980=$AM$6,1,"")</f>
        <v/>
      </c>
      <c r="AN980" s="81">
        <f>IF(E980=$AN$6,1,"")</f>
        <v/>
      </c>
      <c r="AO980" s="81">
        <f>IF(E980=$AO$6,1,"")</f>
        <v/>
      </c>
      <c r="AP980" s="81">
        <f>IF(E980=$AP$6,1,"")</f>
        <v/>
      </c>
      <c r="AQ980" s="81">
        <f>IF(E980=$AQ$6,1,"")</f>
        <v/>
      </c>
      <c r="AR980" s="81">
        <f>IF(E980=$AR$6,1,"")</f>
        <v/>
      </c>
      <c r="AS980" s="81" t="n"/>
    </row>
    <row r="981" ht="15.75" customHeight="1" s="80">
      <c r="A981" s="157" t="n"/>
      <c r="B981" s="124" t="n"/>
      <c r="C981" s="125" t="n"/>
      <c r="D981" s="126" t="n"/>
      <c r="E981" s="127" t="n"/>
      <c r="F981" s="128" t="n"/>
      <c r="G981" s="129">
        <f>IF(F981="","",ROUND(F981/60,2))</f>
        <v/>
      </c>
      <c r="H981" s="130" t="n"/>
      <c r="I981" s="131" t="n"/>
      <c r="J981" s="131">
        <f>IF(COUNTIF(B981:E981,"*")=0,"",IF(T981=1,"Invalid Service",IF(AND(V981=1,F981=""),"Add Session Mins",IF(AND(E981&gt;0,H981="",T981=""),"Enter Contract Rate",IF(AND(E981="IEP mtg, prep, rept",F981&gt;0),(G981*H981),IF(AND(E981&gt;0,F981&gt;0,H981&gt;0,I981=""),"Enter Travel",IF(AND(F981&gt;0,I981="Y"),(G981*H981)+$M$10,IF(AND(F981&gt;0,I981="N"),(G981*H981),H981))))))))</f>
        <v/>
      </c>
      <c r="K981" s="132">
        <f>J981</f>
        <v/>
      </c>
      <c r="L981" s="148" t="n"/>
      <c r="M981" s="148" t="n"/>
      <c r="N981" s="148" t="n"/>
      <c r="O981" s="87" t="n"/>
      <c r="P981" s="81" t="n"/>
      <c r="Q981" s="81" t="n"/>
      <c r="R981" s="81" t="n"/>
      <c r="S981" s="81" t="n"/>
      <c r="T981" s="136">
        <f>IF(AND(E981&gt;0,U981=0),1,"")</f>
        <v/>
      </c>
      <c r="U981" s="136">
        <f>SUM(X981:AR981)</f>
        <v/>
      </c>
      <c r="V981" s="136">
        <f>IF(E981=$Q$16,0,SUM(X981:AI981))</f>
        <v/>
      </c>
      <c r="W981" s="136">
        <f>SUM(AK981:AR981)</f>
        <v/>
      </c>
      <c r="X981" s="136">
        <f>IF(E981=$X$6,1,"")</f>
        <v/>
      </c>
      <c r="Y981" s="136">
        <f>IF(E981=$Y$6,1,"")</f>
        <v/>
      </c>
      <c r="Z981" s="136">
        <f>IF(E981=$Z$6,1,"")</f>
        <v/>
      </c>
      <c r="AA981" s="136">
        <f>IF(E981=$AA$6,1,"")</f>
        <v/>
      </c>
      <c r="AB981" s="136">
        <f>IF(E981=$AB$6,1,"")</f>
        <v/>
      </c>
      <c r="AC981" s="136">
        <f>IF(E981=$AC$6,1,"")</f>
        <v/>
      </c>
      <c r="AD981" s="136">
        <f>IF(E981=$AD$6,1,"")</f>
        <v/>
      </c>
      <c r="AE981" s="136">
        <f>IF(E981=$AE$6,1,"")</f>
        <v/>
      </c>
      <c r="AF981" s="136">
        <f>IF(E981=$AF$6,1,"")</f>
        <v/>
      </c>
      <c r="AG981" s="136">
        <f>IF(E981=$AG$6,1,"")</f>
        <v/>
      </c>
      <c r="AH981" s="136">
        <f>IF(E981=$AH$6,1,"")</f>
        <v/>
      </c>
      <c r="AI981" s="136">
        <f>IF(E981=$AI$6,1,"")</f>
        <v/>
      </c>
      <c r="AJ981" s="136">
        <f>IF(E981=$AJ$6,1,"")</f>
        <v/>
      </c>
      <c r="AK981" s="81">
        <f>IF(E981=$AK$6,1,"")</f>
        <v/>
      </c>
      <c r="AL981" s="81">
        <f>IF(E981=$AL$6,1,"")</f>
        <v/>
      </c>
      <c r="AM981" s="81">
        <f>IF(E981=$AM$6,1,"")</f>
        <v/>
      </c>
      <c r="AN981" s="81">
        <f>IF(E981=$AN$6,1,"")</f>
        <v/>
      </c>
      <c r="AO981" s="81">
        <f>IF(E981=$AO$6,1,"")</f>
        <v/>
      </c>
      <c r="AP981" s="81">
        <f>IF(E981=$AP$6,1,"")</f>
        <v/>
      </c>
      <c r="AQ981" s="81">
        <f>IF(E981=$AQ$6,1,"")</f>
        <v/>
      </c>
      <c r="AR981" s="81">
        <f>IF(E981=$AR$6,1,"")</f>
        <v/>
      </c>
      <c r="AS981" s="81" t="n"/>
    </row>
    <row r="982" ht="15.75" customHeight="1" s="80">
      <c r="A982" s="157" t="n"/>
      <c r="B982" s="124" t="n"/>
      <c r="C982" s="125" t="n"/>
      <c r="D982" s="126" t="n"/>
      <c r="E982" s="127" t="n"/>
      <c r="F982" s="128" t="n"/>
      <c r="G982" s="129">
        <f>IF(F982="","",ROUND(F982/60,2))</f>
        <v/>
      </c>
      <c r="H982" s="130" t="n"/>
      <c r="I982" s="131" t="n"/>
      <c r="J982" s="131">
        <f>IF(COUNTIF(B982:E982,"*")=0,"",IF(T982=1,"Invalid Service",IF(AND(V982=1,F982=""),"Add Session Mins",IF(AND(E982&gt;0,H982="",T982=""),"Enter Contract Rate",IF(AND(E982="IEP mtg, prep, rept",F982&gt;0),(G982*H982),IF(AND(E982&gt;0,F982&gt;0,H982&gt;0,I982=""),"Enter Travel",IF(AND(F982&gt;0,I982="Y"),(G982*H982)+$M$10,IF(AND(F982&gt;0,I982="N"),(G982*H982),H982))))))))</f>
        <v/>
      </c>
      <c r="K982" s="132">
        <f>J982</f>
        <v/>
      </c>
      <c r="L982" s="148" t="n"/>
      <c r="M982" s="148" t="n"/>
      <c r="N982" s="148" t="n"/>
      <c r="O982" s="87" t="n"/>
      <c r="P982" s="81" t="n"/>
      <c r="Q982" s="81" t="n"/>
      <c r="R982" s="81" t="n"/>
      <c r="S982" s="81" t="n"/>
      <c r="T982" s="136">
        <f>IF(AND(E982&gt;0,U982=0),1,"")</f>
        <v/>
      </c>
      <c r="U982" s="136">
        <f>SUM(X982:AR982)</f>
        <v/>
      </c>
      <c r="V982" s="136">
        <f>IF(E982=$Q$16,0,SUM(X982:AI982))</f>
        <v/>
      </c>
      <c r="W982" s="136">
        <f>SUM(AK982:AR982)</f>
        <v/>
      </c>
      <c r="X982" s="136">
        <f>IF(E982=$X$6,1,"")</f>
        <v/>
      </c>
      <c r="Y982" s="136">
        <f>IF(E982=$Y$6,1,"")</f>
        <v/>
      </c>
      <c r="Z982" s="136">
        <f>IF(E982=$Z$6,1,"")</f>
        <v/>
      </c>
      <c r="AA982" s="136">
        <f>IF(E982=$AA$6,1,"")</f>
        <v/>
      </c>
      <c r="AB982" s="136">
        <f>IF(E982=$AB$6,1,"")</f>
        <v/>
      </c>
      <c r="AC982" s="136">
        <f>IF(E982=$AC$6,1,"")</f>
        <v/>
      </c>
      <c r="AD982" s="136">
        <f>IF(E982=$AD$6,1,"")</f>
        <v/>
      </c>
      <c r="AE982" s="136">
        <f>IF(E982=$AE$6,1,"")</f>
        <v/>
      </c>
      <c r="AF982" s="136">
        <f>IF(E982=$AF$6,1,"")</f>
        <v/>
      </c>
      <c r="AG982" s="136">
        <f>IF(E982=$AG$6,1,"")</f>
        <v/>
      </c>
      <c r="AH982" s="136">
        <f>IF(E982=$AH$6,1,"")</f>
        <v/>
      </c>
      <c r="AI982" s="136">
        <f>IF(E982=$AI$6,1,"")</f>
        <v/>
      </c>
      <c r="AJ982" s="136">
        <f>IF(E982=$AJ$6,1,"")</f>
        <v/>
      </c>
      <c r="AK982" s="81">
        <f>IF(E982=$AK$6,1,"")</f>
        <v/>
      </c>
      <c r="AL982" s="81">
        <f>IF(E982=$AL$6,1,"")</f>
        <v/>
      </c>
      <c r="AM982" s="81">
        <f>IF(E982=$AM$6,1,"")</f>
        <v/>
      </c>
      <c r="AN982" s="81">
        <f>IF(E982=$AN$6,1,"")</f>
        <v/>
      </c>
      <c r="AO982" s="81">
        <f>IF(E982=$AO$6,1,"")</f>
        <v/>
      </c>
      <c r="AP982" s="81">
        <f>IF(E982=$AP$6,1,"")</f>
        <v/>
      </c>
      <c r="AQ982" s="81">
        <f>IF(E982=$AQ$6,1,"")</f>
        <v/>
      </c>
      <c r="AR982" s="81">
        <f>IF(E982=$AR$6,1,"")</f>
        <v/>
      </c>
      <c r="AS982" s="81" t="n"/>
    </row>
    <row r="983" ht="15.75" customHeight="1" s="80">
      <c r="A983" s="157" t="n"/>
      <c r="B983" s="124" t="n"/>
      <c r="C983" s="125" t="n"/>
      <c r="D983" s="126" t="n"/>
      <c r="E983" s="127" t="n"/>
      <c r="F983" s="128" t="n"/>
      <c r="G983" s="129">
        <f>IF(F983="","",ROUND(F983/60,2))</f>
        <v/>
      </c>
      <c r="H983" s="130" t="n"/>
      <c r="I983" s="131" t="n"/>
      <c r="J983" s="131">
        <f>IF(COUNTIF(B983:E983,"*")=0,"",IF(T983=1,"Invalid Service",IF(AND(V983=1,F983=""),"Add Session Mins",IF(AND(E983&gt;0,H983="",T983=""),"Enter Contract Rate",IF(AND(E983="IEP mtg, prep, rept",F983&gt;0),(G983*H983),IF(AND(E983&gt;0,F983&gt;0,H983&gt;0,I983=""),"Enter Travel",IF(AND(F983&gt;0,I983="Y"),(G983*H983)+$M$10,IF(AND(F983&gt;0,I983="N"),(G983*H983),H983))))))))</f>
        <v/>
      </c>
      <c r="K983" s="132">
        <f>J983</f>
        <v/>
      </c>
      <c r="L983" s="148" t="n"/>
      <c r="M983" s="148" t="n"/>
      <c r="N983" s="148" t="n"/>
      <c r="O983" s="87" t="n"/>
      <c r="P983" s="81" t="n"/>
      <c r="Q983" s="81" t="n"/>
      <c r="R983" s="81" t="n"/>
      <c r="S983" s="81" t="n"/>
      <c r="T983" s="136">
        <f>IF(AND(E983&gt;0,U983=0),1,"")</f>
        <v/>
      </c>
      <c r="U983" s="136">
        <f>SUM(X983:AR983)</f>
        <v/>
      </c>
      <c r="V983" s="136">
        <f>IF(E983=$Q$16,0,SUM(X983:AI983))</f>
        <v/>
      </c>
      <c r="W983" s="136">
        <f>SUM(AK983:AR983)</f>
        <v/>
      </c>
      <c r="X983" s="136">
        <f>IF(E983=$X$6,1,"")</f>
        <v/>
      </c>
      <c r="Y983" s="136">
        <f>IF(E983=$Y$6,1,"")</f>
        <v/>
      </c>
      <c r="Z983" s="136">
        <f>IF(E983=$Z$6,1,"")</f>
        <v/>
      </c>
      <c r="AA983" s="136">
        <f>IF(E983=$AA$6,1,"")</f>
        <v/>
      </c>
      <c r="AB983" s="136">
        <f>IF(E983=$AB$6,1,"")</f>
        <v/>
      </c>
      <c r="AC983" s="136">
        <f>IF(E983=$AC$6,1,"")</f>
        <v/>
      </c>
      <c r="AD983" s="136">
        <f>IF(E983=$AD$6,1,"")</f>
        <v/>
      </c>
      <c r="AE983" s="136">
        <f>IF(E983=$AE$6,1,"")</f>
        <v/>
      </c>
      <c r="AF983" s="136">
        <f>IF(E983=$AF$6,1,"")</f>
        <v/>
      </c>
      <c r="AG983" s="136">
        <f>IF(E983=$AG$6,1,"")</f>
        <v/>
      </c>
      <c r="AH983" s="136">
        <f>IF(E983=$AH$6,1,"")</f>
        <v/>
      </c>
      <c r="AI983" s="136">
        <f>IF(E983=$AI$6,1,"")</f>
        <v/>
      </c>
      <c r="AJ983" s="136">
        <f>IF(E983=$AJ$6,1,"")</f>
        <v/>
      </c>
      <c r="AK983" s="81">
        <f>IF(E983=$AK$6,1,"")</f>
        <v/>
      </c>
      <c r="AL983" s="81">
        <f>IF(E983=$AL$6,1,"")</f>
        <v/>
      </c>
      <c r="AM983" s="81">
        <f>IF(E983=$AM$6,1,"")</f>
        <v/>
      </c>
      <c r="AN983" s="81">
        <f>IF(E983=$AN$6,1,"")</f>
        <v/>
      </c>
      <c r="AO983" s="81">
        <f>IF(E983=$AO$6,1,"")</f>
        <v/>
      </c>
      <c r="AP983" s="81">
        <f>IF(E983=$AP$6,1,"")</f>
        <v/>
      </c>
      <c r="AQ983" s="81">
        <f>IF(E983=$AQ$6,1,"")</f>
        <v/>
      </c>
      <c r="AR983" s="81">
        <f>IF(E983=$AR$6,1,"")</f>
        <v/>
      </c>
      <c r="AS983" s="81" t="n"/>
    </row>
    <row r="984" ht="15.75" customHeight="1" s="80">
      <c r="A984" s="157" t="n"/>
      <c r="B984" s="124" t="n"/>
      <c r="C984" s="125" t="n"/>
      <c r="D984" s="126" t="n"/>
      <c r="E984" s="127" t="n"/>
      <c r="F984" s="128" t="n"/>
      <c r="G984" s="129">
        <f>IF(F984="","",ROUND(F984/60,2))</f>
        <v/>
      </c>
      <c r="H984" s="130" t="n"/>
      <c r="I984" s="131" t="n"/>
      <c r="J984" s="131">
        <f>IF(COUNTIF(B984:E984,"*")=0,"",IF(T984=1,"Invalid Service",IF(AND(V984=1,F984=""),"Add Session Mins",IF(AND(E984&gt;0,H984="",T984=""),"Enter Contract Rate",IF(AND(E984="IEP mtg, prep, rept",F984&gt;0),(G984*H984),IF(AND(E984&gt;0,F984&gt;0,H984&gt;0,I984=""),"Enter Travel",IF(AND(F984&gt;0,I984="Y"),(G984*H984)+$M$10,IF(AND(F984&gt;0,I984="N"),(G984*H984),H984))))))))</f>
        <v/>
      </c>
      <c r="K984" s="132">
        <f>J984</f>
        <v/>
      </c>
      <c r="L984" s="148" t="n"/>
      <c r="M984" s="148" t="n"/>
      <c r="N984" s="148" t="n"/>
      <c r="O984" s="87" t="n"/>
      <c r="P984" s="81" t="n"/>
      <c r="Q984" s="81" t="n"/>
      <c r="R984" s="81" t="n"/>
      <c r="S984" s="81" t="n"/>
      <c r="T984" s="136">
        <f>IF(AND(E984&gt;0,U984=0),1,"")</f>
        <v/>
      </c>
      <c r="U984" s="136">
        <f>SUM(X984:AR984)</f>
        <v/>
      </c>
      <c r="V984" s="136">
        <f>IF(E984=$Q$16,0,SUM(X984:AI984))</f>
        <v/>
      </c>
      <c r="W984" s="136">
        <f>SUM(AK984:AR984)</f>
        <v/>
      </c>
      <c r="X984" s="136">
        <f>IF(E984=$X$6,1,"")</f>
        <v/>
      </c>
      <c r="Y984" s="136">
        <f>IF(E984=$Y$6,1,"")</f>
        <v/>
      </c>
      <c r="Z984" s="136">
        <f>IF(E984=$Z$6,1,"")</f>
        <v/>
      </c>
      <c r="AA984" s="136">
        <f>IF(E984=$AA$6,1,"")</f>
        <v/>
      </c>
      <c r="AB984" s="136">
        <f>IF(E984=$AB$6,1,"")</f>
        <v/>
      </c>
      <c r="AC984" s="136">
        <f>IF(E984=$AC$6,1,"")</f>
        <v/>
      </c>
      <c r="AD984" s="136">
        <f>IF(E984=$AD$6,1,"")</f>
        <v/>
      </c>
      <c r="AE984" s="136">
        <f>IF(E984=$AE$6,1,"")</f>
        <v/>
      </c>
      <c r="AF984" s="136">
        <f>IF(E984=$AF$6,1,"")</f>
        <v/>
      </c>
      <c r="AG984" s="136">
        <f>IF(E984=$AG$6,1,"")</f>
        <v/>
      </c>
      <c r="AH984" s="136">
        <f>IF(E984=$AH$6,1,"")</f>
        <v/>
      </c>
      <c r="AI984" s="136">
        <f>IF(E984=$AI$6,1,"")</f>
        <v/>
      </c>
      <c r="AJ984" s="136">
        <f>IF(E984=$AJ$6,1,"")</f>
        <v/>
      </c>
      <c r="AK984" s="81">
        <f>IF(E984=$AK$6,1,"")</f>
        <v/>
      </c>
      <c r="AL984" s="81">
        <f>IF(E984=$AL$6,1,"")</f>
        <v/>
      </c>
      <c r="AM984" s="81">
        <f>IF(E984=$AM$6,1,"")</f>
        <v/>
      </c>
      <c r="AN984" s="81">
        <f>IF(E984=$AN$6,1,"")</f>
        <v/>
      </c>
      <c r="AO984" s="81">
        <f>IF(E984=$AO$6,1,"")</f>
        <v/>
      </c>
      <c r="AP984" s="81">
        <f>IF(E984=$AP$6,1,"")</f>
        <v/>
      </c>
      <c r="AQ984" s="81">
        <f>IF(E984=$AQ$6,1,"")</f>
        <v/>
      </c>
      <c r="AR984" s="81">
        <f>IF(E984=$AR$6,1,"")</f>
        <v/>
      </c>
      <c r="AS984" s="81" t="n"/>
    </row>
    <row r="985" ht="15.75" customHeight="1" s="80">
      <c r="A985" s="157" t="n"/>
      <c r="B985" s="124" t="n"/>
      <c r="C985" s="125" t="n"/>
      <c r="D985" s="126" t="n"/>
      <c r="E985" s="127" t="n"/>
      <c r="F985" s="128" t="n"/>
      <c r="G985" s="129">
        <f>IF(F985="","",ROUND(F985/60,2))</f>
        <v/>
      </c>
      <c r="H985" s="130" t="n"/>
      <c r="I985" s="131" t="n"/>
      <c r="J985" s="131">
        <f>IF(COUNTIF(B985:E985,"*")=0,"",IF(T985=1,"Invalid Service",IF(AND(V985=1,F985=""),"Add Session Mins",IF(AND(E985&gt;0,H985="",T985=""),"Enter Contract Rate",IF(AND(E985="IEP mtg, prep, rept",F985&gt;0),(G985*H985),IF(AND(E985&gt;0,F985&gt;0,H985&gt;0,I985=""),"Enter Travel",IF(AND(F985&gt;0,I985="Y"),(G985*H985)+$M$10,IF(AND(F985&gt;0,I985="N"),(G985*H985),H985))))))))</f>
        <v/>
      </c>
      <c r="K985" s="132">
        <f>J985</f>
        <v/>
      </c>
      <c r="L985" s="148" t="n"/>
      <c r="M985" s="148" t="n"/>
      <c r="N985" s="148" t="n"/>
      <c r="O985" s="87" t="n"/>
      <c r="P985" s="81" t="n"/>
      <c r="Q985" s="81" t="n"/>
      <c r="R985" s="81" t="n"/>
      <c r="S985" s="81" t="n"/>
      <c r="T985" s="136">
        <f>IF(AND(E985&gt;0,U985=0),1,"")</f>
        <v/>
      </c>
      <c r="U985" s="136">
        <f>SUM(X985:AR985)</f>
        <v/>
      </c>
      <c r="V985" s="136">
        <f>IF(E985=$Q$16,0,SUM(X985:AI985))</f>
        <v/>
      </c>
      <c r="W985" s="136">
        <f>SUM(AK985:AR985)</f>
        <v/>
      </c>
      <c r="X985" s="136">
        <f>IF(E985=$X$6,1,"")</f>
        <v/>
      </c>
      <c r="Y985" s="136">
        <f>IF(E985=$Y$6,1,"")</f>
        <v/>
      </c>
      <c r="Z985" s="136">
        <f>IF(E985=$Z$6,1,"")</f>
        <v/>
      </c>
      <c r="AA985" s="136">
        <f>IF(E985=$AA$6,1,"")</f>
        <v/>
      </c>
      <c r="AB985" s="136">
        <f>IF(E985=$AB$6,1,"")</f>
        <v/>
      </c>
      <c r="AC985" s="136">
        <f>IF(E985=$AC$6,1,"")</f>
        <v/>
      </c>
      <c r="AD985" s="136">
        <f>IF(E985=$AD$6,1,"")</f>
        <v/>
      </c>
      <c r="AE985" s="136">
        <f>IF(E985=$AE$6,1,"")</f>
        <v/>
      </c>
      <c r="AF985" s="136">
        <f>IF(E985=$AF$6,1,"")</f>
        <v/>
      </c>
      <c r="AG985" s="136">
        <f>IF(E985=$AG$6,1,"")</f>
        <v/>
      </c>
      <c r="AH985" s="136">
        <f>IF(E985=$AH$6,1,"")</f>
        <v/>
      </c>
      <c r="AI985" s="136">
        <f>IF(E985=$AI$6,1,"")</f>
        <v/>
      </c>
      <c r="AJ985" s="136">
        <f>IF(E985=$AJ$6,1,"")</f>
        <v/>
      </c>
      <c r="AK985" s="81">
        <f>IF(E985=$AK$6,1,"")</f>
        <v/>
      </c>
      <c r="AL985" s="81">
        <f>IF(E985=$AL$6,1,"")</f>
        <v/>
      </c>
      <c r="AM985" s="81">
        <f>IF(E985=$AM$6,1,"")</f>
        <v/>
      </c>
      <c r="AN985" s="81">
        <f>IF(E985=$AN$6,1,"")</f>
        <v/>
      </c>
      <c r="AO985" s="81">
        <f>IF(E985=$AO$6,1,"")</f>
        <v/>
      </c>
      <c r="AP985" s="81">
        <f>IF(E985=$AP$6,1,"")</f>
        <v/>
      </c>
      <c r="AQ985" s="81">
        <f>IF(E985=$AQ$6,1,"")</f>
        <v/>
      </c>
      <c r="AR985" s="81">
        <f>IF(E985=$AR$6,1,"")</f>
        <v/>
      </c>
      <c r="AS985" s="81" t="n"/>
    </row>
    <row r="986" ht="15.75" customHeight="1" s="80">
      <c r="A986" s="157" t="n"/>
      <c r="B986" s="124" t="n"/>
      <c r="C986" s="125" t="n"/>
      <c r="D986" s="126" t="n"/>
      <c r="E986" s="127" t="n"/>
      <c r="F986" s="128" t="n"/>
      <c r="G986" s="129">
        <f>IF(F986="","",ROUND(F986/60,2))</f>
        <v/>
      </c>
      <c r="H986" s="130" t="n"/>
      <c r="I986" s="131" t="n"/>
      <c r="J986" s="131">
        <f>IF(COUNTIF(B986:E986,"*")=0,"",IF(T986=1,"Invalid Service",IF(AND(V986=1,F986=""),"Add Session Mins",IF(AND(E986&gt;0,H986="",T986=""),"Enter Contract Rate",IF(AND(E986="IEP mtg, prep, rept",F986&gt;0),(G986*H986),IF(AND(E986&gt;0,F986&gt;0,H986&gt;0,I986=""),"Enter Travel",IF(AND(F986&gt;0,I986="Y"),(G986*H986)+$M$10,IF(AND(F986&gt;0,I986="N"),(G986*H986),H986))))))))</f>
        <v/>
      </c>
      <c r="K986" s="132">
        <f>J986</f>
        <v/>
      </c>
      <c r="L986" s="148" t="n"/>
      <c r="M986" s="148" t="n"/>
      <c r="N986" s="148" t="n"/>
      <c r="O986" s="87" t="n"/>
      <c r="P986" s="81" t="n"/>
      <c r="Q986" s="81" t="n"/>
      <c r="R986" s="81" t="n"/>
      <c r="S986" s="81" t="n"/>
      <c r="T986" s="136">
        <f>IF(AND(E986&gt;0,U986=0),1,"")</f>
        <v/>
      </c>
      <c r="U986" s="136">
        <f>SUM(X986:AR986)</f>
        <v/>
      </c>
      <c r="V986" s="136">
        <f>IF(E986=$Q$16,0,SUM(X986:AI986))</f>
        <v/>
      </c>
      <c r="W986" s="136">
        <f>SUM(AK986:AR986)</f>
        <v/>
      </c>
      <c r="X986" s="136">
        <f>IF(E986=$X$6,1,"")</f>
        <v/>
      </c>
      <c r="Y986" s="136">
        <f>IF(E986=$Y$6,1,"")</f>
        <v/>
      </c>
      <c r="Z986" s="136">
        <f>IF(E986=$Z$6,1,"")</f>
        <v/>
      </c>
      <c r="AA986" s="136">
        <f>IF(E986=$AA$6,1,"")</f>
        <v/>
      </c>
      <c r="AB986" s="136">
        <f>IF(E986=$AB$6,1,"")</f>
        <v/>
      </c>
      <c r="AC986" s="136">
        <f>IF(E986=$AC$6,1,"")</f>
        <v/>
      </c>
      <c r="AD986" s="136">
        <f>IF(E986=$AD$6,1,"")</f>
        <v/>
      </c>
      <c r="AE986" s="136">
        <f>IF(E986=$AE$6,1,"")</f>
        <v/>
      </c>
      <c r="AF986" s="136">
        <f>IF(E986=$AF$6,1,"")</f>
        <v/>
      </c>
      <c r="AG986" s="136">
        <f>IF(E986=$AG$6,1,"")</f>
        <v/>
      </c>
      <c r="AH986" s="136">
        <f>IF(E986=$AH$6,1,"")</f>
        <v/>
      </c>
      <c r="AI986" s="136">
        <f>IF(E986=$AI$6,1,"")</f>
        <v/>
      </c>
      <c r="AJ986" s="136">
        <f>IF(E986=$AJ$6,1,"")</f>
        <v/>
      </c>
      <c r="AK986" s="81">
        <f>IF(E986=$AK$6,1,"")</f>
        <v/>
      </c>
      <c r="AL986" s="81">
        <f>IF(E986=$AL$6,1,"")</f>
        <v/>
      </c>
      <c r="AM986" s="81">
        <f>IF(E986=$AM$6,1,"")</f>
        <v/>
      </c>
      <c r="AN986" s="81">
        <f>IF(E986=$AN$6,1,"")</f>
        <v/>
      </c>
      <c r="AO986" s="81">
        <f>IF(E986=$AO$6,1,"")</f>
        <v/>
      </c>
      <c r="AP986" s="81">
        <f>IF(E986=$AP$6,1,"")</f>
        <v/>
      </c>
      <c r="AQ986" s="81">
        <f>IF(E986=$AQ$6,1,"")</f>
        <v/>
      </c>
      <c r="AR986" s="81">
        <f>IF(E986=$AR$6,1,"")</f>
        <v/>
      </c>
      <c r="AS986" s="81" t="n"/>
    </row>
    <row r="987" ht="15.75" customHeight="1" s="80">
      <c r="A987" s="157" t="n"/>
      <c r="B987" s="124" t="n"/>
      <c r="C987" s="125" t="n"/>
      <c r="D987" s="126" t="n"/>
      <c r="E987" s="127" t="n"/>
      <c r="F987" s="128" t="n"/>
      <c r="G987" s="129">
        <f>IF(F987="","",ROUND(F987/60,2))</f>
        <v/>
      </c>
      <c r="H987" s="130" t="n"/>
      <c r="I987" s="131" t="n"/>
      <c r="J987" s="131">
        <f>IF(COUNTIF(B987:E987,"*")=0,"",IF(T987=1,"Invalid Service",IF(AND(V987=1,F987=""),"Add Session Mins",IF(AND(E987&gt;0,H987="",T987=""),"Enter Contract Rate",IF(AND(E987="IEP mtg, prep, rept",F987&gt;0),(G987*H987),IF(AND(E987&gt;0,F987&gt;0,H987&gt;0,I987=""),"Enter Travel",IF(AND(F987&gt;0,I987="Y"),(G987*H987)+$M$10,IF(AND(F987&gt;0,I987="N"),(G987*H987),H987))))))))</f>
        <v/>
      </c>
      <c r="K987" s="132">
        <f>J987</f>
        <v/>
      </c>
      <c r="L987" s="148" t="n"/>
      <c r="M987" s="148" t="n"/>
      <c r="N987" s="148" t="n"/>
      <c r="O987" s="87" t="n"/>
      <c r="P987" s="81" t="n"/>
      <c r="Q987" s="81" t="n"/>
      <c r="R987" s="81" t="n"/>
      <c r="S987" s="81" t="n"/>
      <c r="T987" s="136">
        <f>IF(AND(E987&gt;0,U987=0),1,"")</f>
        <v/>
      </c>
      <c r="U987" s="136">
        <f>SUM(X987:AR987)</f>
        <v/>
      </c>
      <c r="V987" s="136">
        <f>IF(E987=$Q$16,0,SUM(X987:AI987))</f>
        <v/>
      </c>
      <c r="W987" s="136">
        <f>SUM(AK987:AR987)</f>
        <v/>
      </c>
      <c r="X987" s="136">
        <f>IF(E987=$X$6,1,"")</f>
        <v/>
      </c>
      <c r="Y987" s="136">
        <f>IF(E987=$Y$6,1,"")</f>
        <v/>
      </c>
      <c r="Z987" s="136">
        <f>IF(E987=$Z$6,1,"")</f>
        <v/>
      </c>
      <c r="AA987" s="136">
        <f>IF(E987=$AA$6,1,"")</f>
        <v/>
      </c>
      <c r="AB987" s="136">
        <f>IF(E987=$AB$6,1,"")</f>
        <v/>
      </c>
      <c r="AC987" s="136">
        <f>IF(E987=$AC$6,1,"")</f>
        <v/>
      </c>
      <c r="AD987" s="136">
        <f>IF(E987=$AD$6,1,"")</f>
        <v/>
      </c>
      <c r="AE987" s="136">
        <f>IF(E987=$AE$6,1,"")</f>
        <v/>
      </c>
      <c r="AF987" s="136">
        <f>IF(E987=$AF$6,1,"")</f>
        <v/>
      </c>
      <c r="AG987" s="136">
        <f>IF(E987=$AG$6,1,"")</f>
        <v/>
      </c>
      <c r="AH987" s="136">
        <f>IF(E987=$AH$6,1,"")</f>
        <v/>
      </c>
      <c r="AI987" s="136">
        <f>IF(E987=$AI$6,1,"")</f>
        <v/>
      </c>
      <c r="AJ987" s="136">
        <f>IF(E987=$AJ$6,1,"")</f>
        <v/>
      </c>
      <c r="AK987" s="81">
        <f>IF(E987=$AK$6,1,"")</f>
        <v/>
      </c>
      <c r="AL987" s="81">
        <f>IF(E987=$AL$6,1,"")</f>
        <v/>
      </c>
      <c r="AM987" s="81">
        <f>IF(E987=$AM$6,1,"")</f>
        <v/>
      </c>
      <c r="AN987" s="81">
        <f>IF(E987=$AN$6,1,"")</f>
        <v/>
      </c>
      <c r="AO987" s="81">
        <f>IF(E987=$AO$6,1,"")</f>
        <v/>
      </c>
      <c r="AP987" s="81">
        <f>IF(E987=$AP$6,1,"")</f>
        <v/>
      </c>
      <c r="AQ987" s="81">
        <f>IF(E987=$AQ$6,1,"")</f>
        <v/>
      </c>
      <c r="AR987" s="81">
        <f>IF(E987=$AR$6,1,"")</f>
        <v/>
      </c>
      <c r="AS987" s="81" t="n"/>
    </row>
    <row r="988" ht="15.75" customHeight="1" s="80">
      <c r="A988" s="157" t="n"/>
      <c r="B988" s="124" t="n"/>
      <c r="C988" s="125" t="n"/>
      <c r="D988" s="126" t="n"/>
      <c r="E988" s="127" t="n"/>
      <c r="F988" s="128" t="n"/>
      <c r="G988" s="129">
        <f>IF(F988="","",ROUND(F988/60,2))</f>
        <v/>
      </c>
      <c r="H988" s="130" t="n"/>
      <c r="I988" s="131" t="n"/>
      <c r="J988" s="131">
        <f>IF(COUNTIF(B988:E988,"*")=0,"",IF(T988=1,"Invalid Service",IF(AND(V988=1,F988=""),"Add Session Mins",IF(AND(E988&gt;0,H988="",T988=""),"Enter Contract Rate",IF(AND(E988="IEP mtg, prep, rept",F988&gt;0),(G988*H988),IF(AND(E988&gt;0,F988&gt;0,H988&gt;0,I988=""),"Enter Travel",IF(AND(F988&gt;0,I988="Y"),(G988*H988)+$M$10,IF(AND(F988&gt;0,I988="N"),(G988*H988),H988))))))))</f>
        <v/>
      </c>
      <c r="K988" s="132">
        <f>J988</f>
        <v/>
      </c>
      <c r="L988" s="148" t="n"/>
      <c r="M988" s="87" t="n"/>
      <c r="N988" s="87" t="n"/>
      <c r="O988" s="87" t="n"/>
      <c r="P988" s="81" t="n"/>
      <c r="Q988" s="81" t="n"/>
      <c r="R988" s="81" t="n"/>
      <c r="S988" s="81" t="n"/>
      <c r="T988" s="136">
        <f>IF(AND(E988&gt;0,U988=0),1,"")</f>
        <v/>
      </c>
      <c r="U988" s="136">
        <f>SUM(X988:AR988)</f>
        <v/>
      </c>
      <c r="V988" s="136">
        <f>IF(E988=$Q$16,0,SUM(X988:AI988))</f>
        <v/>
      </c>
      <c r="W988" s="136">
        <f>SUM(AK988:AR988)</f>
        <v/>
      </c>
      <c r="X988" s="136">
        <f>IF(E988=$X$6,1,"")</f>
        <v/>
      </c>
      <c r="Y988" s="136">
        <f>IF(E988=$Y$6,1,"")</f>
        <v/>
      </c>
      <c r="Z988" s="136">
        <f>IF(E988=$Z$6,1,"")</f>
        <v/>
      </c>
      <c r="AA988" s="136">
        <f>IF(E988=$AA$6,1,"")</f>
        <v/>
      </c>
      <c r="AB988" s="136">
        <f>IF(E988=$AB$6,1,"")</f>
        <v/>
      </c>
      <c r="AC988" s="136">
        <f>IF(E988=$AC$6,1,"")</f>
        <v/>
      </c>
      <c r="AD988" s="136">
        <f>IF(E988=$AD$6,1,"")</f>
        <v/>
      </c>
      <c r="AE988" s="136">
        <f>IF(E988=$AE$6,1,"")</f>
        <v/>
      </c>
      <c r="AF988" s="136">
        <f>IF(E988=$AF$6,1,"")</f>
        <v/>
      </c>
      <c r="AG988" s="136">
        <f>IF(E988=$AG$6,1,"")</f>
        <v/>
      </c>
      <c r="AH988" s="136">
        <f>IF(E988=$AH$6,1,"")</f>
        <v/>
      </c>
      <c r="AI988" s="136">
        <f>IF(E988=$AI$6,1,"")</f>
        <v/>
      </c>
      <c r="AJ988" s="136">
        <f>IF(E988=$AJ$6,1,"")</f>
        <v/>
      </c>
      <c r="AK988" s="81">
        <f>IF(E988=$AK$6,1,"")</f>
        <v/>
      </c>
      <c r="AL988" s="81">
        <f>IF(E988=$AL$6,1,"")</f>
        <v/>
      </c>
      <c r="AM988" s="81">
        <f>IF(E988=$AM$6,1,"")</f>
        <v/>
      </c>
      <c r="AN988" s="81">
        <f>IF(E988=$AN$6,1,"")</f>
        <v/>
      </c>
      <c r="AO988" s="81">
        <f>IF(E988=$AO$6,1,"")</f>
        <v/>
      </c>
      <c r="AP988" s="81">
        <f>IF(E988=$AP$6,1,"")</f>
        <v/>
      </c>
      <c r="AQ988" s="81">
        <f>IF(E988=$AQ$6,1,"")</f>
        <v/>
      </c>
      <c r="AR988" s="81">
        <f>IF(E988=$AR$6,1,"")</f>
        <v/>
      </c>
      <c r="AS988" s="81" t="n"/>
    </row>
    <row r="989" ht="15.75" customHeight="1" s="80">
      <c r="A989" s="157" t="n"/>
      <c r="B989" s="124" t="n"/>
      <c r="C989" s="125" t="n"/>
      <c r="D989" s="126" t="n"/>
      <c r="E989" s="127" t="n"/>
      <c r="F989" s="128" t="n"/>
      <c r="G989" s="129">
        <f>IF(F989="","",ROUND(F989/60,2))</f>
        <v/>
      </c>
      <c r="H989" s="130" t="n"/>
      <c r="I989" s="131" t="n"/>
      <c r="J989" s="131">
        <f>IF(COUNTIF(B989:E989,"*")=0,"",IF(T989=1,"Invalid Service",IF(AND(V989=1,F989=""),"Add Session Mins",IF(AND(E989&gt;0,H989="",T989=""),"Enter Contract Rate",IF(AND(E989="IEP mtg, prep, rept",F989&gt;0),(G989*H989),IF(AND(E989&gt;0,F989&gt;0,H989&gt;0,I989=""),"Enter Travel",IF(AND(F989&gt;0,I989="Y"),(G989*H989)+$M$10,IF(AND(F989&gt;0,I989="N"),(G989*H989),H989))))))))</f>
        <v/>
      </c>
      <c r="K989" s="132">
        <f>J989</f>
        <v/>
      </c>
      <c r="L989" s="87" t="n"/>
      <c r="M989" s="87" t="n"/>
      <c r="N989" s="87" t="n"/>
      <c r="O989" s="87" t="n"/>
      <c r="P989" s="81" t="n"/>
      <c r="Q989" s="81" t="n"/>
      <c r="R989" s="81" t="n"/>
      <c r="S989" s="81" t="n"/>
      <c r="T989" s="136">
        <f>IF(AND(E989&gt;0,U989=0),1,"")</f>
        <v/>
      </c>
      <c r="U989" s="136">
        <f>SUM(X989:AR989)</f>
        <v/>
      </c>
      <c r="V989" s="136">
        <f>IF(E989=$Q$16,0,SUM(X989:AI989))</f>
        <v/>
      </c>
      <c r="W989" s="136">
        <f>SUM(AK989:AR989)</f>
        <v/>
      </c>
      <c r="X989" s="136">
        <f>IF(E989=$X$6,1,"")</f>
        <v/>
      </c>
      <c r="Y989" s="136">
        <f>IF(E989=$Y$6,1,"")</f>
        <v/>
      </c>
      <c r="Z989" s="136">
        <f>IF(E989=$Z$6,1,"")</f>
        <v/>
      </c>
      <c r="AA989" s="136">
        <f>IF(E989=$AA$6,1,"")</f>
        <v/>
      </c>
      <c r="AB989" s="136">
        <f>IF(E989=$AB$6,1,"")</f>
        <v/>
      </c>
      <c r="AC989" s="136">
        <f>IF(E989=$AC$6,1,"")</f>
        <v/>
      </c>
      <c r="AD989" s="136">
        <f>IF(E989=$AD$6,1,"")</f>
        <v/>
      </c>
      <c r="AE989" s="136">
        <f>IF(E989=$AE$6,1,"")</f>
        <v/>
      </c>
      <c r="AF989" s="136">
        <f>IF(E989=$AF$6,1,"")</f>
        <v/>
      </c>
      <c r="AG989" s="136">
        <f>IF(E989=$AG$6,1,"")</f>
        <v/>
      </c>
      <c r="AH989" s="136">
        <f>IF(E989=$AH$6,1,"")</f>
        <v/>
      </c>
      <c r="AI989" s="136">
        <f>IF(E989=$AI$6,1,"")</f>
        <v/>
      </c>
      <c r="AJ989" s="136">
        <f>IF(E989=$AJ$6,1,"")</f>
        <v/>
      </c>
      <c r="AK989" s="81">
        <f>IF(E989=$AK$6,1,"")</f>
        <v/>
      </c>
      <c r="AL989" s="81">
        <f>IF(E989=$AL$6,1,"")</f>
        <v/>
      </c>
      <c r="AM989" s="81">
        <f>IF(E989=$AM$6,1,"")</f>
        <v/>
      </c>
      <c r="AN989" s="81">
        <f>IF(E989=$AN$6,1,"")</f>
        <v/>
      </c>
      <c r="AO989" s="81">
        <f>IF(E989=$AO$6,1,"")</f>
        <v/>
      </c>
      <c r="AP989" s="81">
        <f>IF(E989=$AP$6,1,"")</f>
        <v/>
      </c>
      <c r="AQ989" s="81">
        <f>IF(E989=$AQ$6,1,"")</f>
        <v/>
      </c>
      <c r="AR989" s="81">
        <f>IF(E989=$AR$6,1,"")</f>
        <v/>
      </c>
      <c r="AS989" s="81" t="n"/>
    </row>
    <row r="990" ht="15.75" customHeight="1" s="80">
      <c r="A990" s="157" t="n"/>
      <c r="B990" s="124" t="n"/>
      <c r="C990" s="125" t="n"/>
      <c r="D990" s="126" t="n"/>
      <c r="E990" s="127" t="n"/>
      <c r="F990" s="128" t="n"/>
      <c r="G990" s="129">
        <f>IF(F990="","",ROUND(F990/60,2))</f>
        <v/>
      </c>
      <c r="H990" s="130" t="n"/>
      <c r="I990" s="131" t="n"/>
      <c r="J990" s="131">
        <f>IF(COUNTIF(B990:E990,"*")=0,"",IF(T990=1,"Invalid Service",IF(AND(V990=1,F990=""),"Add Session Mins",IF(AND(E990&gt;0,H990="",T990=""),"Enter Contract Rate",IF(AND(E990="IEP mtg, prep, rept",F990&gt;0),(G990*H990),IF(AND(E990&gt;0,F990&gt;0,H990&gt;0,I990=""),"Enter Travel",IF(AND(F990&gt;0,I990="Y"),(G990*H990)+$M$10,IF(AND(F990&gt;0,I990="N"),(G990*H990),H990))))))))</f>
        <v/>
      </c>
      <c r="K990" s="132">
        <f>J990</f>
        <v/>
      </c>
      <c r="L990" s="87" t="n"/>
      <c r="M990" s="87" t="n"/>
      <c r="N990" s="87" t="n"/>
      <c r="O990" s="87" t="n"/>
      <c r="P990" s="81" t="n"/>
      <c r="Q990" s="81" t="n"/>
      <c r="R990" s="81" t="n"/>
      <c r="S990" s="81" t="n"/>
      <c r="T990" s="136">
        <f>IF(AND(E990&gt;0,U990=0),1,"")</f>
        <v/>
      </c>
      <c r="U990" s="136">
        <f>SUM(X990:AR990)</f>
        <v/>
      </c>
      <c r="V990" s="136">
        <f>IF(E990=$Q$16,0,SUM(X990:AI990))</f>
        <v/>
      </c>
      <c r="W990" s="136">
        <f>SUM(AK990:AR990)</f>
        <v/>
      </c>
      <c r="X990" s="136">
        <f>IF(E990=$X$6,1,"")</f>
        <v/>
      </c>
      <c r="Y990" s="136">
        <f>IF(E990=$Y$6,1,"")</f>
        <v/>
      </c>
      <c r="Z990" s="136">
        <f>IF(E990=$Z$6,1,"")</f>
        <v/>
      </c>
      <c r="AA990" s="136">
        <f>IF(E990=$AA$6,1,"")</f>
        <v/>
      </c>
      <c r="AB990" s="136">
        <f>IF(E990=$AB$6,1,"")</f>
        <v/>
      </c>
      <c r="AC990" s="136">
        <f>IF(E990=$AC$6,1,"")</f>
        <v/>
      </c>
      <c r="AD990" s="136">
        <f>IF(E990=$AD$6,1,"")</f>
        <v/>
      </c>
      <c r="AE990" s="136">
        <f>IF(E990=$AE$6,1,"")</f>
        <v/>
      </c>
      <c r="AF990" s="136">
        <f>IF(E990=$AF$6,1,"")</f>
        <v/>
      </c>
      <c r="AG990" s="136">
        <f>IF(E990=$AG$6,1,"")</f>
        <v/>
      </c>
      <c r="AH990" s="136">
        <f>IF(E990=$AH$6,1,"")</f>
        <v/>
      </c>
      <c r="AI990" s="136">
        <f>IF(E990=$AI$6,1,"")</f>
        <v/>
      </c>
      <c r="AJ990" s="136">
        <f>IF(E990=$AJ$6,1,"")</f>
        <v/>
      </c>
      <c r="AK990" s="81">
        <f>IF(E990=$AK$6,1,"")</f>
        <v/>
      </c>
      <c r="AL990" s="81">
        <f>IF(E990=$AL$6,1,"")</f>
        <v/>
      </c>
      <c r="AM990" s="81">
        <f>IF(E990=$AM$6,1,"")</f>
        <v/>
      </c>
      <c r="AN990" s="81">
        <f>IF(E990=$AN$6,1,"")</f>
        <v/>
      </c>
      <c r="AO990" s="81">
        <f>IF(E990=$AO$6,1,"")</f>
        <v/>
      </c>
      <c r="AP990" s="81">
        <f>IF(E990=$AP$6,1,"")</f>
        <v/>
      </c>
      <c r="AQ990" s="81">
        <f>IF(E990=$AQ$6,1,"")</f>
        <v/>
      </c>
      <c r="AR990" s="81">
        <f>IF(E990=$AR$6,1,"")</f>
        <v/>
      </c>
      <c r="AS990" s="81" t="n"/>
    </row>
    <row r="991" ht="15.75" customHeight="1" s="80">
      <c r="A991" s="157" t="n"/>
      <c r="B991" s="124" t="n"/>
      <c r="C991" s="125" t="n"/>
      <c r="D991" s="126" t="n"/>
      <c r="E991" s="127" t="n"/>
      <c r="F991" s="128" t="n"/>
      <c r="G991" s="129">
        <f>IF(F991="","",ROUND(F991/60,2))</f>
        <v/>
      </c>
      <c r="H991" s="130" t="n"/>
      <c r="I991" s="131" t="n"/>
      <c r="J991" s="131">
        <f>IF(COUNTIF(B991:E991,"*")=0,"",IF(T991=1,"Invalid Service",IF(AND(V991=1,F991=""),"Add Session Mins",IF(AND(E991&gt;0,H991="",T991=""),"Enter Contract Rate",IF(AND(E991="IEP mtg, prep, rept",F991&gt;0),(G991*H991),IF(AND(E991&gt;0,F991&gt;0,H991&gt;0,I991=""),"Enter Travel",IF(AND(F991&gt;0,I991="Y"),(G991*H991)+$M$10,IF(AND(F991&gt;0,I991="N"),(G991*H991),H991))))))))</f>
        <v/>
      </c>
      <c r="K991" s="132">
        <f>J991</f>
        <v/>
      </c>
      <c r="L991" s="87" t="n"/>
      <c r="M991" s="87" t="n"/>
      <c r="N991" s="87" t="n"/>
      <c r="O991" s="87" t="n"/>
      <c r="P991" s="81" t="n"/>
      <c r="Q991" s="81" t="n"/>
      <c r="R991" s="81" t="n"/>
      <c r="S991" s="81" t="n"/>
      <c r="T991" s="136">
        <f>IF(AND(E991&gt;0,U991=0),1,"")</f>
        <v/>
      </c>
      <c r="U991" s="136">
        <f>SUM(X991:AR991)</f>
        <v/>
      </c>
      <c r="V991" s="136">
        <f>IF(E991=$Q$16,0,SUM(X991:AI991))</f>
        <v/>
      </c>
      <c r="W991" s="136">
        <f>SUM(AK991:AR991)</f>
        <v/>
      </c>
      <c r="X991" s="136">
        <f>IF(E991=$X$6,1,"")</f>
        <v/>
      </c>
      <c r="Y991" s="136">
        <f>IF(E991=$Y$6,1,"")</f>
        <v/>
      </c>
      <c r="Z991" s="136">
        <f>IF(E991=$Z$6,1,"")</f>
        <v/>
      </c>
      <c r="AA991" s="136">
        <f>IF(E991=$AA$6,1,"")</f>
        <v/>
      </c>
      <c r="AB991" s="136">
        <f>IF(E991=$AB$6,1,"")</f>
        <v/>
      </c>
      <c r="AC991" s="136">
        <f>IF(E991=$AC$6,1,"")</f>
        <v/>
      </c>
      <c r="AD991" s="136">
        <f>IF(E991=$AD$6,1,"")</f>
        <v/>
      </c>
      <c r="AE991" s="136">
        <f>IF(E991=$AE$6,1,"")</f>
        <v/>
      </c>
      <c r="AF991" s="136">
        <f>IF(E991=$AF$6,1,"")</f>
        <v/>
      </c>
      <c r="AG991" s="136">
        <f>IF(E991=$AG$6,1,"")</f>
        <v/>
      </c>
      <c r="AH991" s="136">
        <f>IF(E991=$AH$6,1,"")</f>
        <v/>
      </c>
      <c r="AI991" s="136">
        <f>IF(E991=$AI$6,1,"")</f>
        <v/>
      </c>
      <c r="AJ991" s="136">
        <f>IF(E991=$AJ$6,1,"")</f>
        <v/>
      </c>
      <c r="AK991" s="81">
        <f>IF(E991=$AK$6,1,"")</f>
        <v/>
      </c>
      <c r="AL991" s="81">
        <f>IF(E991=$AL$6,1,"")</f>
        <v/>
      </c>
      <c r="AM991" s="81">
        <f>IF(E991=$AM$6,1,"")</f>
        <v/>
      </c>
      <c r="AN991" s="81">
        <f>IF(E991=$AN$6,1,"")</f>
        <v/>
      </c>
      <c r="AO991" s="81">
        <f>IF(E991=$AO$6,1,"")</f>
        <v/>
      </c>
      <c r="AP991" s="81">
        <f>IF(E991=$AP$6,1,"")</f>
        <v/>
      </c>
      <c r="AQ991" s="81">
        <f>IF(E991=$AQ$6,1,"")</f>
        <v/>
      </c>
      <c r="AR991" s="81">
        <f>IF(E991=$AR$6,1,"")</f>
        <v/>
      </c>
      <c r="AS991" s="81" t="n"/>
    </row>
    <row r="992" ht="15.75" customHeight="1" s="80">
      <c r="A992" s="157" t="n"/>
      <c r="B992" s="124" t="n"/>
      <c r="C992" s="125" t="n"/>
      <c r="D992" s="126" t="n"/>
      <c r="E992" s="127" t="n"/>
      <c r="F992" s="128" t="n"/>
      <c r="G992" s="129">
        <f>IF(F992="","",ROUND(F992/60,2))</f>
        <v/>
      </c>
      <c r="H992" s="130" t="n"/>
      <c r="I992" s="131" t="n"/>
      <c r="J992" s="131">
        <f>IF(COUNTIF(B992:E992,"*")=0,"",IF(T992=1,"Invalid Service",IF(AND(V992=1,F992=""),"Add Session Mins",IF(AND(E992&gt;0,H992="",T992=""),"Enter Contract Rate",IF(AND(E992="IEP mtg, prep, rept",F992&gt;0),(G992*H992),IF(AND(E992&gt;0,F992&gt;0,H992&gt;0,I992=""),"Enter Travel",IF(AND(F992&gt;0,I992="Y"),(G992*H992)+$M$10,IF(AND(F992&gt;0,I992="N"),(G992*H992),H992))))))))</f>
        <v/>
      </c>
      <c r="K992" s="132">
        <f>J992</f>
        <v/>
      </c>
      <c r="L992" s="87" t="n"/>
      <c r="M992" s="87" t="n"/>
      <c r="N992" s="87" t="n"/>
      <c r="O992" s="87" t="n"/>
      <c r="P992" s="81" t="n"/>
      <c r="Q992" s="81" t="n"/>
      <c r="R992" s="81" t="n"/>
      <c r="S992" s="81" t="n"/>
      <c r="T992" s="136">
        <f>IF(AND(E992&gt;0,U992=0),1,"")</f>
        <v/>
      </c>
      <c r="U992" s="136">
        <f>SUM(X992:AR992)</f>
        <v/>
      </c>
      <c r="V992" s="136">
        <f>IF(E992=$Q$16,0,SUM(X992:AI992))</f>
        <v/>
      </c>
      <c r="W992" s="136">
        <f>SUM(AK992:AR992)</f>
        <v/>
      </c>
      <c r="X992" s="136">
        <f>IF(E992=$X$6,1,"")</f>
        <v/>
      </c>
      <c r="Y992" s="136">
        <f>IF(E992=$Y$6,1,"")</f>
        <v/>
      </c>
      <c r="Z992" s="136">
        <f>IF(E992=$Z$6,1,"")</f>
        <v/>
      </c>
      <c r="AA992" s="136">
        <f>IF(E992=$AA$6,1,"")</f>
        <v/>
      </c>
      <c r="AB992" s="136">
        <f>IF(E992=$AB$6,1,"")</f>
        <v/>
      </c>
      <c r="AC992" s="136">
        <f>IF(E992=$AC$6,1,"")</f>
        <v/>
      </c>
      <c r="AD992" s="136">
        <f>IF(E992=$AD$6,1,"")</f>
        <v/>
      </c>
      <c r="AE992" s="136">
        <f>IF(E992=$AE$6,1,"")</f>
        <v/>
      </c>
      <c r="AF992" s="136">
        <f>IF(E992=$AF$6,1,"")</f>
        <v/>
      </c>
      <c r="AG992" s="136">
        <f>IF(E992=$AG$6,1,"")</f>
        <v/>
      </c>
      <c r="AH992" s="136">
        <f>IF(E992=$AH$6,1,"")</f>
        <v/>
      </c>
      <c r="AI992" s="136">
        <f>IF(E992=$AI$6,1,"")</f>
        <v/>
      </c>
      <c r="AJ992" s="136">
        <f>IF(E992=$AJ$6,1,"")</f>
        <v/>
      </c>
      <c r="AK992" s="81">
        <f>IF(E992=$AK$6,1,"")</f>
        <v/>
      </c>
      <c r="AL992" s="81">
        <f>IF(E992=$AL$6,1,"")</f>
        <v/>
      </c>
      <c r="AM992" s="81">
        <f>IF(E992=$AM$6,1,"")</f>
        <v/>
      </c>
      <c r="AN992" s="81">
        <f>IF(E992=$AN$6,1,"")</f>
        <v/>
      </c>
      <c r="AO992" s="81">
        <f>IF(E992=$AO$6,1,"")</f>
        <v/>
      </c>
      <c r="AP992" s="81">
        <f>IF(E992=$AP$6,1,"")</f>
        <v/>
      </c>
      <c r="AQ992" s="81">
        <f>IF(E992=$AQ$6,1,"")</f>
        <v/>
      </c>
      <c r="AR992" s="81">
        <f>IF(E992=$AR$6,1,"")</f>
        <v/>
      </c>
      <c r="AS992" s="81" t="n"/>
    </row>
    <row r="993" ht="15.75" customHeight="1" s="80">
      <c r="A993" s="157" t="n"/>
      <c r="B993" s="124" t="n"/>
      <c r="C993" s="125" t="n"/>
      <c r="D993" s="126" t="n"/>
      <c r="E993" s="127" t="n"/>
      <c r="F993" s="128" t="n"/>
      <c r="G993" s="129">
        <f>IF(F993="","",ROUND(F993/60,2))</f>
        <v/>
      </c>
      <c r="H993" s="130" t="n"/>
      <c r="I993" s="131" t="n"/>
      <c r="J993" s="131">
        <f>IF(COUNTIF(B993:E993,"*")=0,"",IF(T993=1,"Invalid Service",IF(AND(V993=1,F993=""),"Add Session Mins",IF(AND(E993&gt;0,H993="",T993=""),"Enter Contract Rate",IF(AND(E993="IEP mtg, prep, rept",F993&gt;0),(G993*H993),IF(AND(E993&gt;0,F993&gt;0,H993&gt;0,I993=""),"Enter Travel",IF(AND(F993&gt;0,I993="Y"),(G993*H993)+$M$10,IF(AND(F993&gt;0,I993="N"),(G993*H993),H993))))))))</f>
        <v/>
      </c>
      <c r="K993" s="132">
        <f>J993</f>
        <v/>
      </c>
      <c r="L993" s="87" t="n"/>
      <c r="M993" s="87" t="n"/>
      <c r="N993" s="87" t="n"/>
      <c r="O993" s="87" t="n"/>
      <c r="P993" s="81" t="n"/>
      <c r="Q993" s="81" t="n"/>
      <c r="R993" s="81" t="n"/>
      <c r="S993" s="81" t="n"/>
      <c r="T993" s="136">
        <f>IF(AND(E993&gt;0,U993=0),1,"")</f>
        <v/>
      </c>
      <c r="U993" s="136">
        <f>SUM(X993:AR993)</f>
        <v/>
      </c>
      <c r="V993" s="136">
        <f>IF(E993=$Q$16,0,SUM(X993:AI993))</f>
        <v/>
      </c>
      <c r="W993" s="136">
        <f>SUM(AK993:AR993)</f>
        <v/>
      </c>
      <c r="X993" s="136">
        <f>IF(E993=$X$6,1,"")</f>
        <v/>
      </c>
      <c r="Y993" s="136">
        <f>IF(E993=$Y$6,1,"")</f>
        <v/>
      </c>
      <c r="Z993" s="136">
        <f>IF(E993=$Z$6,1,"")</f>
        <v/>
      </c>
      <c r="AA993" s="136">
        <f>IF(E993=$AA$6,1,"")</f>
        <v/>
      </c>
      <c r="AB993" s="136">
        <f>IF(E993=$AB$6,1,"")</f>
        <v/>
      </c>
      <c r="AC993" s="136">
        <f>IF(E993=$AC$6,1,"")</f>
        <v/>
      </c>
      <c r="AD993" s="136">
        <f>IF(E993=$AD$6,1,"")</f>
        <v/>
      </c>
      <c r="AE993" s="136">
        <f>IF(E993=$AE$6,1,"")</f>
        <v/>
      </c>
      <c r="AF993" s="136">
        <f>IF(E993=$AF$6,1,"")</f>
        <v/>
      </c>
      <c r="AG993" s="136">
        <f>IF(E993=$AG$6,1,"")</f>
        <v/>
      </c>
      <c r="AH993" s="136">
        <f>IF(E993=$AH$6,1,"")</f>
        <v/>
      </c>
      <c r="AI993" s="136">
        <f>IF(E993=$AI$6,1,"")</f>
        <v/>
      </c>
      <c r="AJ993" s="136">
        <f>IF(E993=$AJ$6,1,"")</f>
        <v/>
      </c>
      <c r="AK993" s="81">
        <f>IF(E993=$AK$6,1,"")</f>
        <v/>
      </c>
      <c r="AL993" s="81">
        <f>IF(E993=$AL$6,1,"")</f>
        <v/>
      </c>
      <c r="AM993" s="81">
        <f>IF(E993=$AM$6,1,"")</f>
        <v/>
      </c>
      <c r="AN993" s="81">
        <f>IF(E993=$AN$6,1,"")</f>
        <v/>
      </c>
      <c r="AO993" s="81">
        <f>IF(E993=$AO$6,1,"")</f>
        <v/>
      </c>
      <c r="AP993" s="81">
        <f>IF(E993=$AP$6,1,"")</f>
        <v/>
      </c>
      <c r="AQ993" s="81">
        <f>IF(E993=$AQ$6,1,"")</f>
        <v/>
      </c>
      <c r="AR993" s="81">
        <f>IF(E993=$AR$6,1,"")</f>
        <v/>
      </c>
      <c r="AS993" s="81" t="n"/>
    </row>
    <row r="994" ht="15.75" customHeight="1" s="80">
      <c r="A994" s="157" t="n"/>
      <c r="B994" s="124" t="n"/>
      <c r="C994" s="125" t="n"/>
      <c r="D994" s="126" t="n"/>
      <c r="E994" s="127" t="n"/>
      <c r="F994" s="128" t="n"/>
      <c r="G994" s="129">
        <f>IF(F994="","",ROUND(F994/60,2))</f>
        <v/>
      </c>
      <c r="H994" s="130" t="n"/>
      <c r="I994" s="131" t="n"/>
      <c r="J994" s="131">
        <f>IF(COUNTIF(B994:E994,"*")=0,"",IF(T994=1,"Invalid Service",IF(AND(V994=1,F994=""),"Add Session Mins",IF(AND(E994&gt;0,H994="",T994=""),"Enter Contract Rate",IF(AND(E994="IEP mtg, prep, rept",F994&gt;0),(G994*H994),IF(AND(E994&gt;0,F994&gt;0,H994&gt;0,I994=""),"Enter Travel",IF(AND(F994&gt;0,I994="Y"),(G994*H994)+$M$10,IF(AND(F994&gt;0,I994="N"),(G994*H994),H994))))))))</f>
        <v/>
      </c>
      <c r="K994" s="132">
        <f>J994</f>
        <v/>
      </c>
      <c r="L994" s="87" t="n"/>
      <c r="M994" s="87" t="n"/>
      <c r="N994" s="87" t="n"/>
      <c r="O994" s="87" t="n"/>
      <c r="P994" s="81" t="n"/>
      <c r="Q994" s="81" t="n"/>
      <c r="R994" s="81" t="n"/>
      <c r="S994" s="81" t="n"/>
      <c r="T994" s="136">
        <f>IF(AND(E994&gt;0,U994=0),1,"")</f>
        <v/>
      </c>
      <c r="U994" s="136">
        <f>SUM(X994:AR994)</f>
        <v/>
      </c>
      <c r="V994" s="136">
        <f>IF(E994=$Q$16,0,SUM(X994:AI994))</f>
        <v/>
      </c>
      <c r="W994" s="136">
        <f>SUM(AK994:AR994)</f>
        <v/>
      </c>
      <c r="X994" s="136">
        <f>IF(E994=$X$6,1,"")</f>
        <v/>
      </c>
      <c r="Y994" s="136">
        <f>IF(E994=$Y$6,1,"")</f>
        <v/>
      </c>
      <c r="Z994" s="136">
        <f>IF(E994=$Z$6,1,"")</f>
        <v/>
      </c>
      <c r="AA994" s="136">
        <f>IF(E994=$AA$6,1,"")</f>
        <v/>
      </c>
      <c r="AB994" s="136">
        <f>IF(E994=$AB$6,1,"")</f>
        <v/>
      </c>
      <c r="AC994" s="136">
        <f>IF(E994=$AC$6,1,"")</f>
        <v/>
      </c>
      <c r="AD994" s="136">
        <f>IF(E994=$AD$6,1,"")</f>
        <v/>
      </c>
      <c r="AE994" s="136">
        <f>IF(E994=$AE$6,1,"")</f>
        <v/>
      </c>
      <c r="AF994" s="136">
        <f>IF(E994=$AF$6,1,"")</f>
        <v/>
      </c>
      <c r="AG994" s="136">
        <f>IF(E994=$AG$6,1,"")</f>
        <v/>
      </c>
      <c r="AH994" s="136">
        <f>IF(E994=$AH$6,1,"")</f>
        <v/>
      </c>
      <c r="AI994" s="136">
        <f>IF(E994=$AI$6,1,"")</f>
        <v/>
      </c>
      <c r="AJ994" s="136">
        <f>IF(E994=$AJ$6,1,"")</f>
        <v/>
      </c>
      <c r="AK994" s="81">
        <f>IF(E994=$AK$6,1,"")</f>
        <v/>
      </c>
      <c r="AL994" s="81">
        <f>IF(E994=$AL$6,1,"")</f>
        <v/>
      </c>
      <c r="AM994" s="81">
        <f>IF(E994=$AM$6,1,"")</f>
        <v/>
      </c>
      <c r="AN994" s="81">
        <f>IF(E994=$AN$6,1,"")</f>
        <v/>
      </c>
      <c r="AO994" s="81">
        <f>IF(E994=$AO$6,1,"")</f>
        <v/>
      </c>
      <c r="AP994" s="81">
        <f>IF(E994=$AP$6,1,"")</f>
        <v/>
      </c>
      <c r="AQ994" s="81">
        <f>IF(E994=$AQ$6,1,"")</f>
        <v/>
      </c>
      <c r="AR994" s="81">
        <f>IF(E994=$AR$6,1,"")</f>
        <v/>
      </c>
      <c r="AS994" s="81" t="n"/>
    </row>
    <row r="995" ht="15.75" customHeight="1" s="80">
      <c r="A995" s="157" t="n"/>
      <c r="B995" s="124" t="n"/>
      <c r="C995" s="125" t="n"/>
      <c r="D995" s="126" t="n"/>
      <c r="E995" s="127" t="n"/>
      <c r="F995" s="128" t="n"/>
      <c r="G995" s="129">
        <f>IF(F995="","",ROUND(F995/60,2))</f>
        <v/>
      </c>
      <c r="H995" s="130" t="n"/>
      <c r="I995" s="131" t="n"/>
      <c r="J995" s="131">
        <f>IF(COUNTIF(B995:E995,"*")=0,"",IF(T995=1,"Invalid Service",IF(AND(V995=1,F995=""),"Add Session Mins",IF(AND(E995&gt;0,H995="",T995=""),"Enter Contract Rate",IF(AND(E995="IEP mtg, prep, rept",F995&gt;0),(G995*H995),IF(AND(E995&gt;0,F995&gt;0,H995&gt;0,I995=""),"Enter Travel",IF(AND(F995&gt;0,I995="Y"),(G995*H995)+$M$10,IF(AND(F995&gt;0,I995="N"),(G995*H995),H995))))))))</f>
        <v/>
      </c>
      <c r="K995" s="132">
        <f>J995</f>
        <v/>
      </c>
      <c r="L995" s="87" t="n"/>
      <c r="M995" s="87" t="n"/>
      <c r="N995" s="87" t="n"/>
      <c r="O995" s="87" t="n"/>
      <c r="P995" s="81" t="n"/>
      <c r="Q995" s="81" t="n"/>
      <c r="R995" s="81" t="n"/>
      <c r="S995" s="81" t="n"/>
      <c r="T995" s="136">
        <f>IF(AND(E995&gt;0,U995=0),1,"")</f>
        <v/>
      </c>
      <c r="U995" s="136">
        <f>SUM(X995:AR995)</f>
        <v/>
      </c>
      <c r="V995" s="136">
        <f>IF(E995=$Q$16,0,SUM(X995:AI995))</f>
        <v/>
      </c>
      <c r="W995" s="136">
        <f>SUM(AK995:AR995)</f>
        <v/>
      </c>
      <c r="X995" s="136">
        <f>IF(E995=$X$6,1,"")</f>
        <v/>
      </c>
      <c r="Y995" s="136">
        <f>IF(E995=$Y$6,1,"")</f>
        <v/>
      </c>
      <c r="Z995" s="136">
        <f>IF(E995=$Z$6,1,"")</f>
        <v/>
      </c>
      <c r="AA995" s="136">
        <f>IF(E995=$AA$6,1,"")</f>
        <v/>
      </c>
      <c r="AB995" s="136">
        <f>IF(E995=$AB$6,1,"")</f>
        <v/>
      </c>
      <c r="AC995" s="136">
        <f>IF(E995=$AC$6,1,"")</f>
        <v/>
      </c>
      <c r="AD995" s="136">
        <f>IF(E995=$AD$6,1,"")</f>
        <v/>
      </c>
      <c r="AE995" s="136">
        <f>IF(E995=$AE$6,1,"")</f>
        <v/>
      </c>
      <c r="AF995" s="136">
        <f>IF(E995=$AF$6,1,"")</f>
        <v/>
      </c>
      <c r="AG995" s="136">
        <f>IF(E995=$AG$6,1,"")</f>
        <v/>
      </c>
      <c r="AH995" s="136">
        <f>IF(E995=$AH$6,1,"")</f>
        <v/>
      </c>
      <c r="AI995" s="136">
        <f>IF(E995=$AI$6,1,"")</f>
        <v/>
      </c>
      <c r="AJ995" s="136">
        <f>IF(E995=$AJ$6,1,"")</f>
        <v/>
      </c>
      <c r="AK995" s="81">
        <f>IF(E995=$AK$6,1,"")</f>
        <v/>
      </c>
      <c r="AL995" s="81">
        <f>IF(E995=$AL$6,1,"")</f>
        <v/>
      </c>
      <c r="AM995" s="81">
        <f>IF(E995=$AM$6,1,"")</f>
        <v/>
      </c>
      <c r="AN995" s="81">
        <f>IF(E995=$AN$6,1,"")</f>
        <v/>
      </c>
      <c r="AO995" s="81">
        <f>IF(E995=$AO$6,1,"")</f>
        <v/>
      </c>
      <c r="AP995" s="81">
        <f>IF(E995=$AP$6,1,"")</f>
        <v/>
      </c>
      <c r="AQ995" s="81">
        <f>IF(E995=$AQ$6,1,"")</f>
        <v/>
      </c>
      <c r="AR995" s="81">
        <f>IF(E995=$AR$6,1,"")</f>
        <v/>
      </c>
      <c r="AS995" s="81" t="n"/>
    </row>
    <row r="996" ht="15.75" customHeight="1" s="80">
      <c r="A996" s="157" t="n"/>
      <c r="B996" s="124" t="n"/>
      <c r="C996" s="125" t="n"/>
      <c r="D996" s="126" t="n"/>
      <c r="E996" s="127" t="n"/>
      <c r="F996" s="128" t="n"/>
      <c r="G996" s="129">
        <f>IF(F996="","",ROUND(F996/60,2))</f>
        <v/>
      </c>
      <c r="H996" s="130" t="n"/>
      <c r="I996" s="131" t="n"/>
      <c r="J996" s="131">
        <f>IF(COUNTIF(B996:E996,"*")=0,"",IF(T996=1,"Invalid Service",IF(AND(V996=1,F996=""),"Add Session Mins",IF(AND(E996&gt;0,H996="",T996=""),"Enter Contract Rate",IF(AND(E996="IEP mtg, prep, rept",F996&gt;0),(G996*H996),IF(AND(E996&gt;0,F996&gt;0,H996&gt;0,I996=""),"Enter Travel",IF(AND(F996&gt;0,I996="Y"),(G996*H996)+$M$10,IF(AND(F996&gt;0,I996="N"),(G996*H996),H996))))))))</f>
        <v/>
      </c>
      <c r="K996" s="132">
        <f>J996</f>
        <v/>
      </c>
      <c r="L996" s="87" t="n"/>
      <c r="M996" s="87" t="n"/>
      <c r="N996" s="87" t="n"/>
      <c r="O996" s="87" t="n"/>
      <c r="P996" s="81" t="n"/>
      <c r="Q996" s="81" t="n"/>
      <c r="R996" s="81" t="n"/>
      <c r="S996" s="81" t="n"/>
      <c r="T996" s="136">
        <f>IF(AND(E996&gt;0,U996=0),1,"")</f>
        <v/>
      </c>
      <c r="U996" s="136">
        <f>SUM(X996:AR996)</f>
        <v/>
      </c>
      <c r="V996" s="136">
        <f>IF(E996=$Q$16,0,SUM(X996:AI996))</f>
        <v/>
      </c>
      <c r="W996" s="136">
        <f>SUM(AK996:AR996)</f>
        <v/>
      </c>
      <c r="X996" s="136">
        <f>IF(E996=$X$6,1,"")</f>
        <v/>
      </c>
      <c r="Y996" s="136">
        <f>IF(E996=$Y$6,1,"")</f>
        <v/>
      </c>
      <c r="Z996" s="136">
        <f>IF(E996=$Z$6,1,"")</f>
        <v/>
      </c>
      <c r="AA996" s="136">
        <f>IF(E996=$AA$6,1,"")</f>
        <v/>
      </c>
      <c r="AB996" s="136">
        <f>IF(E996=$AB$6,1,"")</f>
        <v/>
      </c>
      <c r="AC996" s="136">
        <f>IF(E996=$AC$6,1,"")</f>
        <v/>
      </c>
      <c r="AD996" s="136">
        <f>IF(E996=$AD$6,1,"")</f>
        <v/>
      </c>
      <c r="AE996" s="136">
        <f>IF(E996=$AE$6,1,"")</f>
        <v/>
      </c>
      <c r="AF996" s="136">
        <f>IF(E996=$AF$6,1,"")</f>
        <v/>
      </c>
      <c r="AG996" s="136">
        <f>IF(E996=$AG$6,1,"")</f>
        <v/>
      </c>
      <c r="AH996" s="136">
        <f>IF(E996=$AH$6,1,"")</f>
        <v/>
      </c>
      <c r="AI996" s="136">
        <f>IF(E996=$AI$6,1,"")</f>
        <v/>
      </c>
      <c r="AJ996" s="136">
        <f>IF(E996=$AJ$6,1,"")</f>
        <v/>
      </c>
      <c r="AK996" s="81">
        <f>IF(E996=$AK$6,1,"")</f>
        <v/>
      </c>
      <c r="AL996" s="81">
        <f>IF(E996=$AL$6,1,"")</f>
        <v/>
      </c>
      <c r="AM996" s="81">
        <f>IF(E996=$AM$6,1,"")</f>
        <v/>
      </c>
      <c r="AN996" s="81">
        <f>IF(E996=$AN$6,1,"")</f>
        <v/>
      </c>
      <c r="AO996" s="81">
        <f>IF(E996=$AO$6,1,"")</f>
        <v/>
      </c>
      <c r="AP996" s="81">
        <f>IF(E996=$AP$6,1,"")</f>
        <v/>
      </c>
      <c r="AQ996" s="81">
        <f>IF(E996=$AQ$6,1,"")</f>
        <v/>
      </c>
      <c r="AR996" s="81">
        <f>IF(E996=$AR$6,1,"")</f>
        <v/>
      </c>
      <c r="AS996" s="81" t="n"/>
    </row>
    <row r="997" ht="15.75" customHeight="1" s="80">
      <c r="A997" s="157" t="n"/>
      <c r="B997" s="124" t="n"/>
      <c r="C997" s="125" t="n"/>
      <c r="D997" s="126" t="n"/>
      <c r="E997" s="127" t="n"/>
      <c r="F997" s="128" t="n"/>
      <c r="G997" s="129">
        <f>IF(F997="","",ROUND(F997/60,2))</f>
        <v/>
      </c>
      <c r="H997" s="130" t="n"/>
      <c r="I997" s="131" t="n"/>
      <c r="J997" s="131">
        <f>IF(COUNTIF(B997:E997,"*")=0,"",IF(T997=1,"Invalid Service",IF(AND(V997=1,F997=""),"Add Session Mins",IF(AND(E997&gt;0,H997="",T997=""),"Enter Contract Rate",IF(AND(E997="IEP mtg, prep, rept",F997&gt;0),(G997*H997),IF(AND(E997&gt;0,F997&gt;0,H997&gt;0,I997=""),"Enter Travel",IF(AND(F997&gt;0,I997="Y"),(G997*H997)+$M$10,IF(AND(F997&gt;0,I997="N"),(G997*H997),H997))))))))</f>
        <v/>
      </c>
      <c r="K997" s="132">
        <f>J997</f>
        <v/>
      </c>
      <c r="L997" s="87" t="n"/>
      <c r="M997" s="87" t="n"/>
      <c r="N997" s="87" t="n"/>
      <c r="O997" s="87" t="n"/>
      <c r="P997" s="81" t="n"/>
      <c r="Q997" s="81" t="n"/>
      <c r="R997" s="81" t="n"/>
      <c r="S997" s="81" t="n"/>
      <c r="T997" s="136">
        <f>IF(AND(E997&gt;0,U997=0),1,"")</f>
        <v/>
      </c>
      <c r="U997" s="136">
        <f>SUM(X997:AR997)</f>
        <v/>
      </c>
      <c r="V997" s="136">
        <f>IF(E997=$Q$16,0,SUM(X997:AI997))</f>
        <v/>
      </c>
      <c r="W997" s="136">
        <f>SUM(AK997:AR997)</f>
        <v/>
      </c>
      <c r="X997" s="136">
        <f>IF(E997=$X$6,1,"")</f>
        <v/>
      </c>
      <c r="Y997" s="136">
        <f>IF(E997=$Y$6,1,"")</f>
        <v/>
      </c>
      <c r="Z997" s="136">
        <f>IF(E997=$Z$6,1,"")</f>
        <v/>
      </c>
      <c r="AA997" s="136">
        <f>IF(E997=$AA$6,1,"")</f>
        <v/>
      </c>
      <c r="AB997" s="136">
        <f>IF(E997=$AB$6,1,"")</f>
        <v/>
      </c>
      <c r="AC997" s="136">
        <f>IF(E997=$AC$6,1,"")</f>
        <v/>
      </c>
      <c r="AD997" s="136">
        <f>IF(E997=$AD$6,1,"")</f>
        <v/>
      </c>
      <c r="AE997" s="136">
        <f>IF(E997=$AE$6,1,"")</f>
        <v/>
      </c>
      <c r="AF997" s="136">
        <f>IF(E997=$AF$6,1,"")</f>
        <v/>
      </c>
      <c r="AG997" s="136">
        <f>IF(E997=$AG$6,1,"")</f>
        <v/>
      </c>
      <c r="AH997" s="136">
        <f>IF(E997=$AH$6,1,"")</f>
        <v/>
      </c>
      <c r="AI997" s="136">
        <f>IF(E997=$AI$6,1,"")</f>
        <v/>
      </c>
      <c r="AJ997" s="136">
        <f>IF(E997=$AJ$6,1,"")</f>
        <v/>
      </c>
      <c r="AK997" s="81">
        <f>IF(E997=$AK$6,1,"")</f>
        <v/>
      </c>
      <c r="AL997" s="81">
        <f>IF(E997=$AL$6,1,"")</f>
        <v/>
      </c>
      <c r="AM997" s="81">
        <f>IF(E997=$AM$6,1,"")</f>
        <v/>
      </c>
      <c r="AN997" s="81">
        <f>IF(E997=$AN$6,1,"")</f>
        <v/>
      </c>
      <c r="AO997" s="81">
        <f>IF(E997=$AO$6,1,"")</f>
        <v/>
      </c>
      <c r="AP997" s="81">
        <f>IF(E997=$AP$6,1,"")</f>
        <v/>
      </c>
      <c r="AQ997" s="81">
        <f>IF(E997=$AQ$6,1,"")</f>
        <v/>
      </c>
      <c r="AR997" s="81">
        <f>IF(E997=$AR$6,1,"")</f>
        <v/>
      </c>
      <c r="AS997" s="81" t="n"/>
    </row>
    <row r="998" ht="15.75" customHeight="1" s="80">
      <c r="A998" s="157" t="n"/>
      <c r="B998" s="124" t="n"/>
      <c r="C998" s="125" t="n"/>
      <c r="D998" s="126" t="n"/>
      <c r="E998" s="127" t="n"/>
      <c r="F998" s="128" t="n"/>
      <c r="G998" s="129">
        <f>IF(F998="","",ROUND(F998/60,2))</f>
        <v/>
      </c>
      <c r="H998" s="130" t="n"/>
      <c r="I998" s="131" t="n"/>
      <c r="J998" s="131">
        <f>IF(COUNTIF(B998:E998,"*")=0,"",IF(T998=1,"Invalid Service",IF(AND(V998=1,F998=""),"Add Session Mins",IF(AND(E998&gt;0,H998="",T998=""),"Enter Contract Rate",IF(AND(E998="IEP mtg, prep, rept",F998&gt;0),(G998*H998),IF(AND(E998&gt;0,F998&gt;0,H998&gt;0,I998=""),"Enter Travel",IF(AND(F998&gt;0,I998="Y"),(G998*H998)+$M$10,IF(AND(F998&gt;0,I998="N"),(G998*H998),H998))))))))</f>
        <v/>
      </c>
      <c r="K998" s="132">
        <f>J998</f>
        <v/>
      </c>
      <c r="L998" s="87" t="n"/>
      <c r="M998" s="87" t="n"/>
      <c r="N998" s="87" t="n"/>
      <c r="O998" s="87" t="n"/>
      <c r="P998" s="81" t="n"/>
      <c r="Q998" s="81" t="n"/>
      <c r="R998" s="81" t="n"/>
      <c r="S998" s="81" t="n"/>
      <c r="T998" s="136">
        <f>IF(AND(E998&gt;0,U998=0),1,"")</f>
        <v/>
      </c>
      <c r="U998" s="136">
        <f>SUM(X998:AR998)</f>
        <v/>
      </c>
      <c r="V998" s="136">
        <f>IF(E998=$Q$16,0,SUM(X998:AI998))</f>
        <v/>
      </c>
      <c r="W998" s="136">
        <f>SUM(AK998:AR998)</f>
        <v/>
      </c>
      <c r="X998" s="136">
        <f>IF(E998=$X$6,1,"")</f>
        <v/>
      </c>
      <c r="Y998" s="136">
        <f>IF(E998=$Y$6,1,"")</f>
        <v/>
      </c>
      <c r="Z998" s="136">
        <f>IF(E998=$Z$6,1,"")</f>
        <v/>
      </c>
      <c r="AA998" s="136">
        <f>IF(E998=$AA$6,1,"")</f>
        <v/>
      </c>
      <c r="AB998" s="136">
        <f>IF(E998=$AB$6,1,"")</f>
        <v/>
      </c>
      <c r="AC998" s="136">
        <f>IF(E998=$AC$6,1,"")</f>
        <v/>
      </c>
      <c r="AD998" s="136">
        <f>IF(E998=$AD$6,1,"")</f>
        <v/>
      </c>
      <c r="AE998" s="136">
        <f>IF(E998=$AE$6,1,"")</f>
        <v/>
      </c>
      <c r="AF998" s="136">
        <f>IF(E998=$AF$6,1,"")</f>
        <v/>
      </c>
      <c r="AG998" s="136">
        <f>IF(E998=$AG$6,1,"")</f>
        <v/>
      </c>
      <c r="AH998" s="136">
        <f>IF(E998=$AH$6,1,"")</f>
        <v/>
      </c>
      <c r="AI998" s="136">
        <f>IF(E998=$AI$6,1,"")</f>
        <v/>
      </c>
      <c r="AJ998" s="136">
        <f>IF(E998=$AJ$6,1,"")</f>
        <v/>
      </c>
      <c r="AK998" s="81">
        <f>IF(E998=$AK$6,1,"")</f>
        <v/>
      </c>
      <c r="AL998" s="81">
        <f>IF(E998=$AL$6,1,"")</f>
        <v/>
      </c>
      <c r="AM998" s="81">
        <f>IF(E998=$AM$6,1,"")</f>
        <v/>
      </c>
      <c r="AN998" s="81">
        <f>IF(E998=$AN$6,1,"")</f>
        <v/>
      </c>
      <c r="AO998" s="81">
        <f>IF(E998=$AO$6,1,"")</f>
        <v/>
      </c>
      <c r="AP998" s="81">
        <f>IF(E998=$AP$6,1,"")</f>
        <v/>
      </c>
      <c r="AQ998" s="81">
        <f>IF(E998=$AQ$6,1,"")</f>
        <v/>
      </c>
      <c r="AR998" s="81">
        <f>IF(E998=$AR$6,1,"")</f>
        <v/>
      </c>
      <c r="AS998" s="81" t="n"/>
    </row>
    <row r="999" ht="15.75" customHeight="1" s="80">
      <c r="A999" s="157" t="n"/>
      <c r="B999" s="124" t="n"/>
      <c r="C999" s="125" t="n"/>
      <c r="D999" s="126" t="n"/>
      <c r="E999" s="127" t="n"/>
      <c r="F999" s="128" t="n"/>
      <c r="G999" s="129">
        <f>IF(F999="","",ROUND(F999/60,2))</f>
        <v/>
      </c>
      <c r="H999" s="130" t="n"/>
      <c r="I999" s="131" t="n"/>
      <c r="J999" s="131">
        <f>IF(COUNTIF(B999:E999,"*")=0,"",IF(T999=1,"Invalid Service",IF(AND(V999=1,F999=""),"Add Session Mins",IF(AND(E999&gt;0,H999="",T999=""),"Enter Contract Rate",IF(AND(E999="IEP mtg, prep, rept",F999&gt;0),(G999*H999),IF(AND(E999&gt;0,F999&gt;0,H999&gt;0,I999=""),"Enter Travel",IF(AND(F999&gt;0,I999="Y"),(G999*H999)+$M$10,IF(AND(F999&gt;0,I999="N"),(G999*H999),H999))))))))</f>
        <v/>
      </c>
      <c r="K999" s="132">
        <f>J999</f>
        <v/>
      </c>
      <c r="L999" s="87" t="n"/>
      <c r="M999" s="87" t="n"/>
      <c r="N999" s="87" t="n"/>
      <c r="O999" s="87" t="n"/>
      <c r="P999" s="81" t="n"/>
      <c r="Q999" s="81" t="n"/>
      <c r="R999" s="81" t="n"/>
      <c r="S999" s="81" t="n"/>
      <c r="T999" s="136">
        <f>IF(AND(E999&gt;0,U999=0),1,"")</f>
        <v/>
      </c>
      <c r="U999" s="136">
        <f>SUM(X999:AR999)</f>
        <v/>
      </c>
      <c r="V999" s="136">
        <f>IF(E999=$Q$16,0,SUM(X999:AI999))</f>
        <v/>
      </c>
      <c r="W999" s="136">
        <f>SUM(AK999:AR999)</f>
        <v/>
      </c>
      <c r="X999" s="136">
        <f>IF(E999=$X$6,1,"")</f>
        <v/>
      </c>
      <c r="Y999" s="136">
        <f>IF(E999=$Y$6,1,"")</f>
        <v/>
      </c>
      <c r="Z999" s="136">
        <f>IF(E999=$Z$6,1,"")</f>
        <v/>
      </c>
      <c r="AA999" s="136">
        <f>IF(E999=$AA$6,1,"")</f>
        <v/>
      </c>
      <c r="AB999" s="136">
        <f>IF(E999=$AB$6,1,"")</f>
        <v/>
      </c>
      <c r="AC999" s="136">
        <f>IF(E999=$AC$6,1,"")</f>
        <v/>
      </c>
      <c r="AD999" s="136">
        <f>IF(E999=$AD$6,1,"")</f>
        <v/>
      </c>
      <c r="AE999" s="136">
        <f>IF(E999=$AE$6,1,"")</f>
        <v/>
      </c>
      <c r="AF999" s="136">
        <f>IF(E999=$AF$6,1,"")</f>
        <v/>
      </c>
      <c r="AG999" s="136">
        <f>IF(E999=$AG$6,1,"")</f>
        <v/>
      </c>
      <c r="AH999" s="136">
        <f>IF(E999=$AH$6,1,"")</f>
        <v/>
      </c>
      <c r="AI999" s="136">
        <f>IF(E999=$AI$6,1,"")</f>
        <v/>
      </c>
      <c r="AJ999" s="136">
        <f>IF(E999=$AJ$6,1,"")</f>
        <v/>
      </c>
      <c r="AK999" s="81">
        <f>IF(E999=$AK$6,1,"")</f>
        <v/>
      </c>
      <c r="AL999" s="81">
        <f>IF(E999=$AL$6,1,"")</f>
        <v/>
      </c>
      <c r="AM999" s="81">
        <f>IF(E999=$AM$6,1,"")</f>
        <v/>
      </c>
      <c r="AN999" s="81">
        <f>IF(E999=$AN$6,1,"")</f>
        <v/>
      </c>
      <c r="AO999" s="81">
        <f>IF(E999=$AO$6,1,"")</f>
        <v/>
      </c>
      <c r="AP999" s="81">
        <f>IF(E999=$AP$6,1,"")</f>
        <v/>
      </c>
      <c r="AQ999" s="81">
        <f>IF(E999=$AQ$6,1,"")</f>
        <v/>
      </c>
      <c r="AR999" s="81">
        <f>IF(E999=$AR$6,1,"")</f>
        <v/>
      </c>
      <c r="AS999" s="81" t="n"/>
    </row>
    <row r="1000" ht="15.75" customHeight="1" s="80">
      <c r="A1000" s="157" t="n"/>
      <c r="B1000" s="124" t="n"/>
      <c r="C1000" s="125" t="n"/>
      <c r="D1000" s="126" t="n"/>
      <c r="E1000" s="127" t="n"/>
      <c r="F1000" s="128" t="n"/>
      <c r="G1000" s="129">
        <f>IF(F1000="","",ROUND(F1000/60,2))</f>
        <v/>
      </c>
      <c r="H1000" s="130" t="n"/>
      <c r="I1000" s="131" t="n"/>
      <c r="J1000" s="131">
        <f>IF(COUNTIF(B1000:E1000,"*")=0,"",IF(T1000=1,"Invalid Service",IF(AND(V1000=1,F1000=""),"Add Session Mins",IF(AND(E1000&gt;0,H1000="",T1000=""),"Enter Contract Rate",IF(AND(E1000="IEP mtg, prep, rept",F1000&gt;0),(G1000*H1000),IF(AND(E1000&gt;0,F1000&gt;0,H1000&gt;0,I1000=""),"Enter Travel",IF(AND(F1000&gt;0,I1000="Y"),(G1000*H1000)+$M$10,IF(AND(F1000&gt;0,I1000="N"),(G1000*H1000),H1000))))))))</f>
        <v/>
      </c>
      <c r="K1000" s="132">
        <f>J1000</f>
        <v/>
      </c>
      <c r="L1000" s="87" t="n"/>
      <c r="M1000" s="87" t="n"/>
      <c r="N1000" s="87" t="n"/>
      <c r="O1000" s="87" t="n"/>
      <c r="P1000" s="81" t="n"/>
      <c r="Q1000" s="81" t="n"/>
      <c r="R1000" s="81" t="n"/>
      <c r="S1000" s="81" t="n"/>
      <c r="T1000" s="136">
        <f>IF(AND(E1000&gt;0,U1000=0),1,"")</f>
        <v/>
      </c>
      <c r="U1000" s="136">
        <f>SUM(X1000:AR1000)</f>
        <v/>
      </c>
      <c r="V1000" s="136">
        <f>IF(E1000=$Q$16,0,SUM(X1000:AI1000))</f>
        <v/>
      </c>
      <c r="W1000" s="136">
        <f>SUM(AK1000:AR1000)</f>
        <v/>
      </c>
      <c r="X1000" s="136">
        <f>IF(E1000=$X$6,1,"")</f>
        <v/>
      </c>
      <c r="Y1000" s="136">
        <f>IF(E1000=$Y$6,1,"")</f>
        <v/>
      </c>
      <c r="Z1000" s="136">
        <f>IF(E1000=$Z$6,1,"")</f>
        <v/>
      </c>
      <c r="AA1000" s="136">
        <f>IF(E1000=$AA$6,1,"")</f>
        <v/>
      </c>
      <c r="AB1000" s="136">
        <f>IF(E1000=$AB$6,1,"")</f>
        <v/>
      </c>
      <c r="AC1000" s="136">
        <f>IF(E1000=$AC$6,1,"")</f>
        <v/>
      </c>
      <c r="AD1000" s="136">
        <f>IF(E1000=$AD$6,1,"")</f>
        <v/>
      </c>
      <c r="AE1000" s="136">
        <f>IF(E1000=$AE$6,1,"")</f>
        <v/>
      </c>
      <c r="AF1000" s="136">
        <f>IF(E1000=$AF$6,1,"")</f>
        <v/>
      </c>
      <c r="AG1000" s="136">
        <f>IF(E1000=$AG$6,1,"")</f>
        <v/>
      </c>
      <c r="AH1000" s="136">
        <f>IF(E1000=$AH$6,1,"")</f>
        <v/>
      </c>
      <c r="AI1000" s="136">
        <f>IF(E1000=$AI$6,1,"")</f>
        <v/>
      </c>
      <c r="AJ1000" s="136">
        <f>IF(E1000=$AJ$6,1,"")</f>
        <v/>
      </c>
      <c r="AK1000" s="81">
        <f>IF(E1000=$AK$6,1,"")</f>
        <v/>
      </c>
      <c r="AL1000" s="81">
        <f>IF(E1000=$AL$6,1,"")</f>
        <v/>
      </c>
      <c r="AM1000" s="81">
        <f>IF(E1000=$AM$6,1,"")</f>
        <v/>
      </c>
      <c r="AN1000" s="81">
        <f>IF(E1000=$AN$6,1,"")</f>
        <v/>
      </c>
      <c r="AO1000" s="81">
        <f>IF(E1000=$AO$6,1,"")</f>
        <v/>
      </c>
      <c r="AP1000" s="81">
        <f>IF(E1000=$AP$6,1,"")</f>
        <v/>
      </c>
      <c r="AQ1000" s="81">
        <f>IF(E1000=$AQ$6,1,"")</f>
        <v/>
      </c>
      <c r="AR1000" s="81">
        <f>IF(E1000=$AR$6,1,"")</f>
        <v/>
      </c>
      <c r="AS1000" s="81" t="n"/>
    </row>
    <row r="1001" ht="15.75" customHeight="1" s="80">
      <c r="A1001" s="157" t="n"/>
      <c r="B1001" s="124" t="n"/>
      <c r="C1001" s="125" t="n"/>
      <c r="D1001" s="126" t="n"/>
      <c r="E1001" s="127" t="n"/>
      <c r="F1001" s="128" t="n"/>
      <c r="G1001" s="129">
        <f>IF(F1001="","",ROUND(F1001/60,2))</f>
        <v/>
      </c>
      <c r="H1001" s="130" t="n"/>
      <c r="I1001" s="131" t="n"/>
      <c r="J1001" s="131">
        <f>IF(COUNTIF(B1001:E1001,"*")=0,"",IF(T1001=1,"Invalid Service",IF(AND(V1001=1,F1001=""),"Add Session Mins",IF(AND(E1001&gt;0,H1001="",T1001=""),"Enter Contract Rate",IF(AND(E1001="IEP mtg, prep, rept",F1001&gt;0),(G1001*H1001),IF(AND(E1001&gt;0,F1001&gt;0,H1001&gt;0,I1001=""),"Enter Travel",IF(AND(F1001&gt;0,I1001="Y"),(G1001*H1001)+$M$10,IF(AND(F1001&gt;0,I1001="N"),(G1001*H1001),H1001))))))))</f>
        <v/>
      </c>
      <c r="K1001" s="132">
        <f>J1001</f>
        <v/>
      </c>
      <c r="L1001" s="87" t="n"/>
      <c r="M1001" s="87" t="n"/>
      <c r="N1001" s="87" t="n"/>
      <c r="O1001" s="87" t="n"/>
      <c r="P1001" s="81" t="n"/>
      <c r="Q1001" s="81" t="n"/>
      <c r="R1001" s="81" t="n"/>
      <c r="S1001" s="81" t="n"/>
      <c r="T1001" s="136">
        <f>IF(AND(E1001&gt;0,U1001=0),1,"")</f>
        <v/>
      </c>
      <c r="U1001" s="136">
        <f>SUM(X1001:AR1001)</f>
        <v/>
      </c>
      <c r="V1001" s="136">
        <f>IF(E1001=$Q$16,0,SUM(X1001:AI1001))</f>
        <v/>
      </c>
      <c r="W1001" s="136">
        <f>SUM(AK1001:AR1001)</f>
        <v/>
      </c>
      <c r="X1001" s="136">
        <f>IF(E1001=$X$6,1,"")</f>
        <v/>
      </c>
      <c r="Y1001" s="136">
        <f>IF(E1001=$Y$6,1,"")</f>
        <v/>
      </c>
      <c r="Z1001" s="136">
        <f>IF(E1001=$Z$6,1,"")</f>
        <v/>
      </c>
      <c r="AA1001" s="136">
        <f>IF(E1001=$AA$6,1,"")</f>
        <v/>
      </c>
      <c r="AB1001" s="136">
        <f>IF(E1001=$AB$6,1,"")</f>
        <v/>
      </c>
      <c r="AC1001" s="136">
        <f>IF(E1001=$AC$6,1,"")</f>
        <v/>
      </c>
      <c r="AD1001" s="136">
        <f>IF(E1001=$AD$6,1,"")</f>
        <v/>
      </c>
      <c r="AE1001" s="136">
        <f>IF(E1001=$AE$6,1,"")</f>
        <v/>
      </c>
      <c r="AF1001" s="136">
        <f>IF(E1001=$AF$6,1,"")</f>
        <v/>
      </c>
      <c r="AG1001" s="136">
        <f>IF(E1001=$AG$6,1,"")</f>
        <v/>
      </c>
      <c r="AH1001" s="136">
        <f>IF(E1001=$AH$6,1,"")</f>
        <v/>
      </c>
      <c r="AI1001" s="136">
        <f>IF(E1001=$AI$6,1,"")</f>
        <v/>
      </c>
      <c r="AJ1001" s="136">
        <f>IF(E1001=$AJ$6,1,"")</f>
        <v/>
      </c>
      <c r="AK1001" s="81">
        <f>IF(E1001=$AK$6,1,"")</f>
        <v/>
      </c>
      <c r="AL1001" s="81">
        <f>IF(E1001=$AL$6,1,"")</f>
        <v/>
      </c>
      <c r="AM1001" s="81">
        <f>IF(E1001=$AM$6,1,"")</f>
        <v/>
      </c>
      <c r="AN1001" s="81">
        <f>IF(E1001=$AN$6,1,"")</f>
        <v/>
      </c>
      <c r="AO1001" s="81">
        <f>IF(E1001=$AO$6,1,"")</f>
        <v/>
      </c>
      <c r="AP1001" s="81">
        <f>IF(E1001=$AP$6,1,"")</f>
        <v/>
      </c>
      <c r="AQ1001" s="81">
        <f>IF(E1001=$AQ$6,1,"")</f>
        <v/>
      </c>
      <c r="AR1001" s="81">
        <f>IF(E1001=$AR$6,1,"")</f>
        <v/>
      </c>
      <c r="AS1001" s="81" t="n"/>
    </row>
    <row r="1002" ht="15.75" customHeight="1" s="80">
      <c r="A1002" s="157" t="n"/>
      <c r="B1002" s="124" t="n"/>
      <c r="C1002" s="125" t="n"/>
      <c r="D1002" s="126" t="n"/>
      <c r="E1002" s="127" t="n"/>
      <c r="F1002" s="128" t="n"/>
      <c r="G1002" s="129">
        <f>IF(F1002="","",ROUND(F1002/60,2))</f>
        <v/>
      </c>
      <c r="H1002" s="130" t="n"/>
      <c r="I1002" s="131" t="n"/>
      <c r="J1002" s="131">
        <f>IF(COUNTIF(B1002:E1002,"*")=0,"",IF(T1002=1,"Invalid Service",IF(AND(V1002=1,F1002=""),"Add Session Mins",IF(AND(E1002&gt;0,H1002="",T1002=""),"Enter Contract Rate",IF(AND(E1002="IEP mtg, prep, rept",F1002&gt;0),(G1002*H1002),IF(AND(E1002&gt;0,F1002&gt;0,H1002&gt;0,I1002=""),"Enter Travel",IF(AND(F1002&gt;0,I1002="Y"),(G1002*H1002)+$M$10,IF(AND(F1002&gt;0,I1002="N"),(G1002*H1002),H1002))))))))</f>
        <v/>
      </c>
      <c r="K1002" s="132">
        <f>J1002</f>
        <v/>
      </c>
      <c r="L1002" s="87" t="n"/>
      <c r="M1002" s="87" t="n"/>
      <c r="N1002" s="87" t="n"/>
      <c r="O1002" s="87" t="n"/>
      <c r="P1002" s="81" t="n"/>
      <c r="Q1002" s="81" t="n"/>
      <c r="R1002" s="81" t="n"/>
      <c r="S1002" s="81" t="n"/>
      <c r="T1002" s="136">
        <f>IF(AND(E1002&gt;0,U1002=0),1,"")</f>
        <v/>
      </c>
      <c r="U1002" s="136">
        <f>SUM(X1002:AR1002)</f>
        <v/>
      </c>
      <c r="V1002" s="136">
        <f>IF(E1002=$Q$16,0,SUM(X1002:AI1002))</f>
        <v/>
      </c>
      <c r="W1002" s="136">
        <f>SUM(AK1002:AR1002)</f>
        <v/>
      </c>
      <c r="X1002" s="136">
        <f>IF(E1002=$X$6,1,"")</f>
        <v/>
      </c>
      <c r="Y1002" s="136">
        <f>IF(E1002=$Y$6,1,"")</f>
        <v/>
      </c>
      <c r="Z1002" s="136">
        <f>IF(E1002=$Z$6,1,"")</f>
        <v/>
      </c>
      <c r="AA1002" s="136">
        <f>IF(E1002=$AA$6,1,"")</f>
        <v/>
      </c>
      <c r="AB1002" s="136">
        <f>IF(E1002=$AB$6,1,"")</f>
        <v/>
      </c>
      <c r="AC1002" s="136">
        <f>IF(E1002=$AC$6,1,"")</f>
        <v/>
      </c>
      <c r="AD1002" s="136">
        <f>IF(E1002=$AD$6,1,"")</f>
        <v/>
      </c>
      <c r="AE1002" s="136">
        <f>IF(E1002=$AE$6,1,"")</f>
        <v/>
      </c>
      <c r="AF1002" s="136">
        <f>IF(E1002=$AF$6,1,"")</f>
        <v/>
      </c>
      <c r="AG1002" s="136">
        <f>IF(E1002=$AG$6,1,"")</f>
        <v/>
      </c>
      <c r="AH1002" s="136">
        <f>IF(E1002=$AH$6,1,"")</f>
        <v/>
      </c>
      <c r="AI1002" s="136">
        <f>IF(E1002=$AI$6,1,"")</f>
        <v/>
      </c>
      <c r="AJ1002" s="136">
        <f>IF(E1002=$AJ$6,1,"")</f>
        <v/>
      </c>
      <c r="AK1002" s="81">
        <f>IF(E1002=$AK$6,1,"")</f>
        <v/>
      </c>
      <c r="AL1002" s="81">
        <f>IF(E1002=$AL$6,1,"")</f>
        <v/>
      </c>
      <c r="AM1002" s="81">
        <f>IF(E1002=$AM$6,1,"")</f>
        <v/>
      </c>
      <c r="AN1002" s="81">
        <f>IF(E1002=$AN$6,1,"")</f>
        <v/>
      </c>
      <c r="AO1002" s="81">
        <f>IF(E1002=$AO$6,1,"")</f>
        <v/>
      </c>
      <c r="AP1002" s="81">
        <f>IF(E1002=$AP$6,1,"")</f>
        <v/>
      </c>
      <c r="AQ1002" s="81">
        <f>IF(E1002=$AQ$6,1,"")</f>
        <v/>
      </c>
      <c r="AR1002" s="81">
        <f>IF(E1002=$AR$6,1,"")</f>
        <v/>
      </c>
      <c r="AS1002" s="81" t="n"/>
    </row>
    <row r="1003" ht="15.75" customHeight="1" s="80">
      <c r="A1003" s="157" t="n"/>
      <c r="B1003" s="124" t="n"/>
      <c r="C1003" s="125" t="n"/>
      <c r="D1003" s="126" t="n"/>
      <c r="E1003" s="127" t="n"/>
      <c r="F1003" s="128" t="n"/>
      <c r="G1003" s="129">
        <f>IF(F1003="","",ROUND(F1003/60,2))</f>
        <v/>
      </c>
      <c r="H1003" s="130" t="n"/>
      <c r="I1003" s="131" t="n"/>
      <c r="J1003" s="131">
        <f>IF(COUNTIF(B1003:E1003,"*")=0,"",IF(T1003=1,"Invalid Service",IF(AND(V1003=1,F1003=""),"Add Session Mins",IF(AND(E1003&gt;0,H1003="",T1003=""),"Enter Contract Rate",IF(AND(E1003="IEP mtg, prep, rept",F1003&gt;0),(G1003*H1003),IF(AND(E1003&gt;0,F1003&gt;0,H1003&gt;0,I1003=""),"Enter Travel",IF(AND(F1003&gt;0,I1003="Y"),(G1003*H1003)+$M$10,IF(AND(F1003&gt;0,I1003="N"),(G1003*H1003),H1003))))))))</f>
        <v/>
      </c>
      <c r="K1003" s="132">
        <f>J1003</f>
        <v/>
      </c>
      <c r="L1003" s="87" t="n"/>
      <c r="M1003" s="87" t="n"/>
      <c r="N1003" s="87" t="n"/>
      <c r="O1003" s="87" t="n"/>
      <c r="P1003" s="81" t="n"/>
      <c r="Q1003" s="81" t="n"/>
      <c r="R1003" s="81" t="n"/>
      <c r="S1003" s="81" t="n"/>
      <c r="T1003" s="136">
        <f>IF(AND(E1003&gt;0,U1003=0),1,"")</f>
        <v/>
      </c>
      <c r="U1003" s="136">
        <f>SUM(X1003:AR1003)</f>
        <v/>
      </c>
      <c r="V1003" s="136">
        <f>IF(E1003=$Q$16,0,SUM(X1003:AI1003))</f>
        <v/>
      </c>
      <c r="W1003" s="136">
        <f>SUM(AK1003:AR1003)</f>
        <v/>
      </c>
      <c r="X1003" s="136">
        <f>IF(E1003=$X$6,1,"")</f>
        <v/>
      </c>
      <c r="Y1003" s="136">
        <f>IF(E1003=$Y$6,1,"")</f>
        <v/>
      </c>
      <c r="Z1003" s="136">
        <f>IF(E1003=$Z$6,1,"")</f>
        <v/>
      </c>
      <c r="AA1003" s="136">
        <f>IF(E1003=$AA$6,1,"")</f>
        <v/>
      </c>
      <c r="AB1003" s="136">
        <f>IF(E1003=$AB$6,1,"")</f>
        <v/>
      </c>
      <c r="AC1003" s="136">
        <f>IF(E1003=$AC$6,1,"")</f>
        <v/>
      </c>
      <c r="AD1003" s="136">
        <f>IF(E1003=$AD$6,1,"")</f>
        <v/>
      </c>
      <c r="AE1003" s="136">
        <f>IF(E1003=$AE$6,1,"")</f>
        <v/>
      </c>
      <c r="AF1003" s="136">
        <f>IF(E1003=$AF$6,1,"")</f>
        <v/>
      </c>
      <c r="AG1003" s="136">
        <f>IF(E1003=$AG$6,1,"")</f>
        <v/>
      </c>
      <c r="AH1003" s="136">
        <f>IF(E1003=$AH$6,1,"")</f>
        <v/>
      </c>
      <c r="AI1003" s="136">
        <f>IF(E1003=$AI$6,1,"")</f>
        <v/>
      </c>
      <c r="AJ1003" s="136">
        <f>IF(E1003=$AJ$6,1,"")</f>
        <v/>
      </c>
      <c r="AK1003" s="81">
        <f>IF(E1003=$AK$6,1,"")</f>
        <v/>
      </c>
      <c r="AL1003" s="81">
        <f>IF(E1003=$AL$6,1,"")</f>
        <v/>
      </c>
      <c r="AM1003" s="81">
        <f>IF(E1003=$AM$6,1,"")</f>
        <v/>
      </c>
      <c r="AN1003" s="81">
        <f>IF(E1003=$AN$6,1,"")</f>
        <v/>
      </c>
      <c r="AO1003" s="81">
        <f>IF(E1003=$AO$6,1,"")</f>
        <v/>
      </c>
      <c r="AP1003" s="81">
        <f>IF(E1003=$AP$6,1,"")</f>
        <v/>
      </c>
      <c r="AQ1003" s="81">
        <f>IF(E1003=$AQ$6,1,"")</f>
        <v/>
      </c>
      <c r="AR1003" s="81">
        <f>IF(E1003=$AR$6,1,"")</f>
        <v/>
      </c>
      <c r="AS1003" s="81" t="n"/>
    </row>
    <row r="1004" ht="15.75" customHeight="1" s="80">
      <c r="A1004" s="157" t="n"/>
      <c r="B1004" s="124" t="n"/>
      <c r="C1004" s="125" t="n"/>
      <c r="D1004" s="126" t="n"/>
      <c r="E1004" s="127" t="n"/>
      <c r="F1004" s="128" t="n"/>
      <c r="G1004" s="129">
        <f>IF(F1004="","",ROUND(F1004/60,2))</f>
        <v/>
      </c>
      <c r="H1004" s="130" t="n"/>
      <c r="I1004" s="131" t="n"/>
      <c r="J1004" s="131">
        <f>IF(COUNTIF(B1004:E1004,"*")=0,"",IF(T1004=1,"Invalid Service",IF(AND(V1004=1,F1004=""),"Add Session Mins",IF(AND(E1004&gt;0,H1004="",T1004=""),"Enter Contract Rate",IF(AND(E1004="IEP mtg, prep, rept",F1004&gt;0),(G1004*H1004),IF(AND(E1004&gt;0,F1004&gt;0,H1004&gt;0,I1004=""),"Enter Travel",IF(AND(F1004&gt;0,I1004="Y"),(G1004*H1004)+$M$10,IF(AND(F1004&gt;0,I1004="N"),(G1004*H1004),H1004))))))))</f>
        <v/>
      </c>
      <c r="K1004" s="132">
        <f>J1004</f>
        <v/>
      </c>
      <c r="L1004" s="87" t="n"/>
      <c r="M1004" s="87" t="n"/>
      <c r="N1004" s="87" t="n"/>
      <c r="O1004" s="87" t="n"/>
      <c r="P1004" s="81" t="n"/>
      <c r="Q1004" s="81" t="n"/>
      <c r="R1004" s="81" t="n"/>
      <c r="S1004" s="81" t="n"/>
      <c r="T1004" s="136">
        <f>IF(AND(E1004&gt;0,U1004=0),1,"")</f>
        <v/>
      </c>
      <c r="U1004" s="136">
        <f>SUM(X1004:AR1004)</f>
        <v/>
      </c>
      <c r="V1004" s="136">
        <f>IF(E1004=$Q$16,0,SUM(X1004:AI1004))</f>
        <v/>
      </c>
      <c r="W1004" s="136">
        <f>SUM(AK1004:AR1004)</f>
        <v/>
      </c>
      <c r="X1004" s="136">
        <f>IF(E1004=$X$6,1,"")</f>
        <v/>
      </c>
      <c r="Y1004" s="136">
        <f>IF(E1004=$Y$6,1,"")</f>
        <v/>
      </c>
      <c r="Z1004" s="136">
        <f>IF(E1004=$Z$6,1,"")</f>
        <v/>
      </c>
      <c r="AA1004" s="136">
        <f>IF(E1004=$AA$6,1,"")</f>
        <v/>
      </c>
      <c r="AB1004" s="136">
        <f>IF(E1004=$AB$6,1,"")</f>
        <v/>
      </c>
      <c r="AC1004" s="136">
        <f>IF(E1004=$AC$6,1,"")</f>
        <v/>
      </c>
      <c r="AD1004" s="136">
        <f>IF(E1004=$AD$6,1,"")</f>
        <v/>
      </c>
      <c r="AE1004" s="136">
        <f>IF(E1004=$AE$6,1,"")</f>
        <v/>
      </c>
      <c r="AF1004" s="136">
        <f>IF(E1004=$AF$6,1,"")</f>
        <v/>
      </c>
      <c r="AG1004" s="136">
        <f>IF(E1004=$AG$6,1,"")</f>
        <v/>
      </c>
      <c r="AH1004" s="136">
        <f>IF(E1004=$AH$6,1,"")</f>
        <v/>
      </c>
      <c r="AI1004" s="136">
        <f>IF(E1004=$AI$6,1,"")</f>
        <v/>
      </c>
      <c r="AJ1004" s="136">
        <f>IF(E1004=$AJ$6,1,"")</f>
        <v/>
      </c>
      <c r="AK1004" s="81">
        <f>IF(E1004=$AK$6,1,"")</f>
        <v/>
      </c>
      <c r="AL1004" s="81">
        <f>IF(E1004=$AL$6,1,"")</f>
        <v/>
      </c>
      <c r="AM1004" s="81">
        <f>IF(E1004=$AM$6,1,"")</f>
        <v/>
      </c>
      <c r="AN1004" s="81">
        <f>IF(E1004=$AN$6,1,"")</f>
        <v/>
      </c>
      <c r="AO1004" s="81">
        <f>IF(E1004=$AO$6,1,"")</f>
        <v/>
      </c>
      <c r="AP1004" s="81">
        <f>IF(E1004=$AP$6,1,"")</f>
        <v/>
      </c>
      <c r="AQ1004" s="81">
        <f>IF(E1004=$AQ$6,1,"")</f>
        <v/>
      </c>
      <c r="AR1004" s="81">
        <f>IF(E1004=$AR$6,1,"")</f>
        <v/>
      </c>
      <c r="AS1004" s="81" t="n"/>
    </row>
    <row r="1005" ht="15.75" customHeight="1" s="80">
      <c r="A1005" s="157" t="n"/>
      <c r="B1005" s="124" t="n"/>
      <c r="C1005" s="125" t="n"/>
      <c r="D1005" s="126" t="n"/>
      <c r="E1005" s="127" t="n"/>
      <c r="F1005" s="128" t="n"/>
      <c r="G1005" s="129">
        <f>IF(F1005="","",ROUND(F1005/60,2))</f>
        <v/>
      </c>
      <c r="H1005" s="130" t="n"/>
      <c r="I1005" s="131" t="n"/>
      <c r="J1005" s="131">
        <f>IF(COUNTIF(B1005:E1005,"*")=0,"",IF(T1005=1,"Invalid Service",IF(AND(V1005=1,F1005=""),"Add Session Mins",IF(AND(E1005&gt;0,H1005="",T1005=""),"Enter Contract Rate",IF(AND(E1005="IEP mtg, prep, rept",F1005&gt;0),(G1005*H1005),IF(AND(E1005&gt;0,F1005&gt;0,H1005&gt;0,I1005=""),"Enter Travel",IF(AND(F1005&gt;0,I1005="Y"),(G1005*H1005)+$M$10,IF(AND(F1005&gt;0,I1005="N"),(G1005*H1005),H1005))))))))</f>
        <v/>
      </c>
      <c r="K1005" s="132">
        <f>J1005</f>
        <v/>
      </c>
      <c r="L1005" s="87" t="n"/>
      <c r="M1005" s="87" t="n"/>
      <c r="N1005" s="87" t="n"/>
      <c r="O1005" s="87" t="n"/>
      <c r="P1005" s="81" t="n"/>
      <c r="Q1005" s="81" t="n"/>
      <c r="R1005" s="81" t="n"/>
      <c r="S1005" s="81" t="n"/>
      <c r="T1005" s="136">
        <f>IF(AND(E1005&gt;0,U1005=0),1,"")</f>
        <v/>
      </c>
      <c r="U1005" s="136">
        <f>SUM(X1005:AR1005)</f>
        <v/>
      </c>
      <c r="V1005" s="136">
        <f>IF(E1005=$Q$16,0,SUM(X1005:AI1005))</f>
        <v/>
      </c>
      <c r="W1005" s="136">
        <f>SUM(AK1005:AR1005)</f>
        <v/>
      </c>
      <c r="X1005" s="136">
        <f>IF(E1005=$X$6,1,"")</f>
        <v/>
      </c>
      <c r="Y1005" s="136">
        <f>IF(E1005=$Y$6,1,"")</f>
        <v/>
      </c>
      <c r="Z1005" s="136">
        <f>IF(E1005=$Z$6,1,"")</f>
        <v/>
      </c>
      <c r="AA1005" s="136">
        <f>IF(E1005=$AA$6,1,"")</f>
        <v/>
      </c>
      <c r="AB1005" s="136">
        <f>IF(E1005=$AB$6,1,"")</f>
        <v/>
      </c>
      <c r="AC1005" s="136">
        <f>IF(E1005=$AC$6,1,"")</f>
        <v/>
      </c>
      <c r="AD1005" s="136">
        <f>IF(E1005=$AD$6,1,"")</f>
        <v/>
      </c>
      <c r="AE1005" s="136">
        <f>IF(E1005=$AE$6,1,"")</f>
        <v/>
      </c>
      <c r="AF1005" s="136">
        <f>IF(E1005=$AF$6,1,"")</f>
        <v/>
      </c>
      <c r="AG1005" s="136">
        <f>IF(E1005=$AG$6,1,"")</f>
        <v/>
      </c>
      <c r="AH1005" s="136">
        <f>IF(E1005=$AH$6,1,"")</f>
        <v/>
      </c>
      <c r="AI1005" s="136">
        <f>IF(E1005=$AI$6,1,"")</f>
        <v/>
      </c>
      <c r="AJ1005" s="136">
        <f>IF(E1005=$AJ$6,1,"")</f>
        <v/>
      </c>
      <c r="AK1005" s="81">
        <f>IF(E1005=$AK$6,1,"")</f>
        <v/>
      </c>
      <c r="AL1005" s="81">
        <f>IF(E1005=$AL$6,1,"")</f>
        <v/>
      </c>
      <c r="AM1005" s="81">
        <f>IF(E1005=$AM$6,1,"")</f>
        <v/>
      </c>
      <c r="AN1005" s="81">
        <f>IF(E1005=$AN$6,1,"")</f>
        <v/>
      </c>
      <c r="AO1005" s="81">
        <f>IF(E1005=$AO$6,1,"")</f>
        <v/>
      </c>
      <c r="AP1005" s="81">
        <f>IF(E1005=$AP$6,1,"")</f>
        <v/>
      </c>
      <c r="AQ1005" s="81">
        <f>IF(E1005=$AQ$6,1,"")</f>
        <v/>
      </c>
      <c r="AR1005" s="81">
        <f>IF(E1005=$AR$6,1,"")</f>
        <v/>
      </c>
      <c r="AS1005" s="81" t="n"/>
    </row>
    <row r="1006" ht="15.75" customHeight="1" s="80">
      <c r="A1006" s="157" t="n"/>
      <c r="B1006" s="124" t="n"/>
      <c r="C1006" s="125" t="n"/>
      <c r="D1006" s="126" t="n"/>
      <c r="E1006" s="127" t="n"/>
      <c r="F1006" s="128" t="n"/>
      <c r="G1006" s="129">
        <f>IF(F1006="","",ROUND(F1006/60,2))</f>
        <v/>
      </c>
      <c r="H1006" s="130" t="n"/>
      <c r="I1006" s="131" t="n"/>
      <c r="J1006" s="131">
        <f>IF(COUNTIF(B1006:E1006,"*")=0,"",IF(T1006=1,"Invalid Service",IF(AND(V1006=1,F1006=""),"Add Session Mins",IF(AND(E1006&gt;0,H1006="",T1006=""),"Enter Contract Rate",IF(AND(E1006="IEP mtg, prep, rept",F1006&gt;0),(G1006*H1006),IF(AND(E1006&gt;0,F1006&gt;0,H1006&gt;0,I1006=""),"Enter Travel",IF(AND(F1006&gt;0,I1006="Y"),(G1006*H1006)+$M$10,IF(AND(F1006&gt;0,I1006="N"),(G1006*H1006),H1006))))))))</f>
        <v/>
      </c>
      <c r="K1006" s="132">
        <f>J1006</f>
        <v/>
      </c>
      <c r="L1006" s="87" t="n"/>
      <c r="M1006" s="87" t="n"/>
      <c r="N1006" s="87" t="n"/>
      <c r="O1006" s="87" t="n"/>
      <c r="P1006" s="81" t="n"/>
      <c r="Q1006" s="81" t="n"/>
      <c r="R1006" s="81" t="n"/>
      <c r="S1006" s="81" t="n"/>
      <c r="T1006" s="136">
        <f>IF(AND(E1006&gt;0,U1006=0),1,"")</f>
        <v/>
      </c>
      <c r="U1006" s="136">
        <f>SUM(X1006:AR1006)</f>
        <v/>
      </c>
      <c r="V1006" s="136">
        <f>IF(E1006=$Q$16,0,SUM(X1006:AI1006))</f>
        <v/>
      </c>
      <c r="W1006" s="136">
        <f>SUM(AK1006:AR1006)</f>
        <v/>
      </c>
      <c r="X1006" s="136">
        <f>IF(E1006=$X$6,1,"")</f>
        <v/>
      </c>
      <c r="Y1006" s="136">
        <f>IF(E1006=$Y$6,1,"")</f>
        <v/>
      </c>
      <c r="Z1006" s="136">
        <f>IF(E1006=$Z$6,1,"")</f>
        <v/>
      </c>
      <c r="AA1006" s="136">
        <f>IF(E1006=$AA$6,1,"")</f>
        <v/>
      </c>
      <c r="AB1006" s="136">
        <f>IF(E1006=$AB$6,1,"")</f>
        <v/>
      </c>
      <c r="AC1006" s="136">
        <f>IF(E1006=$AC$6,1,"")</f>
        <v/>
      </c>
      <c r="AD1006" s="136">
        <f>IF(E1006=$AD$6,1,"")</f>
        <v/>
      </c>
      <c r="AE1006" s="136">
        <f>IF(E1006=$AE$6,1,"")</f>
        <v/>
      </c>
      <c r="AF1006" s="136">
        <f>IF(E1006=$AF$6,1,"")</f>
        <v/>
      </c>
      <c r="AG1006" s="136">
        <f>IF(E1006=$AG$6,1,"")</f>
        <v/>
      </c>
      <c r="AH1006" s="136">
        <f>IF(E1006=$AH$6,1,"")</f>
        <v/>
      </c>
      <c r="AI1006" s="136">
        <f>IF(E1006=$AI$6,1,"")</f>
        <v/>
      </c>
      <c r="AJ1006" s="136">
        <f>IF(E1006=$AJ$6,1,"")</f>
        <v/>
      </c>
      <c r="AK1006" s="81">
        <f>IF(E1006=$AK$6,1,"")</f>
        <v/>
      </c>
      <c r="AL1006" s="81">
        <f>IF(E1006=$AL$6,1,"")</f>
        <v/>
      </c>
      <c r="AM1006" s="81">
        <f>IF(E1006=$AM$6,1,"")</f>
        <v/>
      </c>
      <c r="AN1006" s="81">
        <f>IF(E1006=$AN$6,1,"")</f>
        <v/>
      </c>
      <c r="AO1006" s="81">
        <f>IF(E1006=$AO$6,1,"")</f>
        <v/>
      </c>
      <c r="AP1006" s="81">
        <f>IF(E1006=$AP$6,1,"")</f>
        <v/>
      </c>
      <c r="AQ1006" s="81">
        <f>IF(E1006=$AQ$6,1,"")</f>
        <v/>
      </c>
      <c r="AR1006" s="81">
        <f>IF(E1006=$AR$6,1,"")</f>
        <v/>
      </c>
      <c r="AS1006" s="81" t="n"/>
    </row>
    <row r="1007" ht="15.75" customHeight="1" s="80">
      <c r="A1007" s="157" t="n"/>
      <c r="B1007" s="124" t="n"/>
      <c r="C1007" s="125" t="n"/>
      <c r="D1007" s="126" t="n"/>
      <c r="E1007" s="127" t="n"/>
      <c r="F1007" s="128" t="n"/>
      <c r="G1007" s="129">
        <f>IF(F1007="","",ROUND(F1007/60,2))</f>
        <v/>
      </c>
      <c r="H1007" s="130" t="n"/>
      <c r="I1007" s="131" t="n"/>
      <c r="J1007" s="131">
        <f>IF(COUNTIF(B1007:E1007,"*")=0,"",IF(T1007=1,"Invalid Service",IF(AND(V1007=1,F1007=""),"Add Session Mins",IF(AND(E1007&gt;0,H1007="",T1007=""),"Enter Contract Rate",IF(AND(E1007="IEP mtg, prep, rept",F1007&gt;0),(G1007*H1007),IF(AND(E1007&gt;0,F1007&gt;0,H1007&gt;0,I1007=""),"Enter Travel",IF(AND(F1007&gt;0,I1007="Y"),(G1007*H1007)+$M$10,IF(AND(F1007&gt;0,I1007="N"),(G1007*H1007),H1007))))))))</f>
        <v/>
      </c>
      <c r="K1007" s="132">
        <f>J1007</f>
        <v/>
      </c>
      <c r="L1007" s="87" t="n"/>
      <c r="M1007" s="104" t="n"/>
      <c r="N1007" s="104" t="n"/>
      <c r="O1007" s="87" t="n"/>
      <c r="P1007" s="81" t="n"/>
      <c r="Q1007" s="81" t="n"/>
      <c r="R1007" s="81" t="n"/>
      <c r="S1007" s="81" t="n"/>
      <c r="T1007" s="136">
        <f>IF(AND(E1007&gt;0,U1007=0),1,"")</f>
        <v/>
      </c>
      <c r="U1007" s="136">
        <f>SUM(X1007:AR1007)</f>
        <v/>
      </c>
      <c r="V1007" s="136">
        <f>IF(E1007=$Q$16,0,SUM(X1007:AI1007))</f>
        <v/>
      </c>
      <c r="W1007" s="136">
        <f>SUM(AK1007:AR1007)</f>
        <v/>
      </c>
      <c r="X1007" s="136">
        <f>IF(E1007=$X$6,1,"")</f>
        <v/>
      </c>
      <c r="Y1007" s="136">
        <f>IF(E1007=$Y$6,1,"")</f>
        <v/>
      </c>
      <c r="Z1007" s="136">
        <f>IF(E1007=$Z$6,1,"")</f>
        <v/>
      </c>
      <c r="AA1007" s="136">
        <f>IF(E1007=$AA$6,1,"")</f>
        <v/>
      </c>
      <c r="AB1007" s="136">
        <f>IF(E1007=$AB$6,1,"")</f>
        <v/>
      </c>
      <c r="AC1007" s="136">
        <f>IF(E1007=$AC$6,1,"")</f>
        <v/>
      </c>
      <c r="AD1007" s="136">
        <f>IF(E1007=$AD$6,1,"")</f>
        <v/>
      </c>
      <c r="AE1007" s="136">
        <f>IF(E1007=$AE$6,1,"")</f>
        <v/>
      </c>
      <c r="AF1007" s="136">
        <f>IF(E1007=$AF$6,1,"")</f>
        <v/>
      </c>
      <c r="AG1007" s="136">
        <f>IF(E1007=$AG$6,1,"")</f>
        <v/>
      </c>
      <c r="AH1007" s="136">
        <f>IF(E1007=$AH$6,1,"")</f>
        <v/>
      </c>
      <c r="AI1007" s="136">
        <f>IF(E1007=$AI$6,1,"")</f>
        <v/>
      </c>
      <c r="AJ1007" s="136">
        <f>IF(E1007=$AJ$6,1,"")</f>
        <v/>
      </c>
      <c r="AK1007" s="81">
        <f>IF(E1007=$AK$6,1,"")</f>
        <v/>
      </c>
      <c r="AL1007" s="81">
        <f>IF(E1007=$AL$6,1,"")</f>
        <v/>
      </c>
      <c r="AM1007" s="81">
        <f>IF(E1007=$AM$6,1,"")</f>
        <v/>
      </c>
      <c r="AN1007" s="81">
        <f>IF(E1007=$AN$6,1,"")</f>
        <v/>
      </c>
      <c r="AO1007" s="81">
        <f>IF(E1007=$AO$6,1,"")</f>
        <v/>
      </c>
      <c r="AP1007" s="81">
        <f>IF(E1007=$AP$6,1,"")</f>
        <v/>
      </c>
      <c r="AQ1007" s="81">
        <f>IF(E1007=$AQ$6,1,"")</f>
        <v/>
      </c>
      <c r="AR1007" s="81">
        <f>IF(E1007=$AR$6,1,"")</f>
        <v/>
      </c>
      <c r="AS1007" s="81" t="n"/>
    </row>
  </sheetData>
  <mergeCells count="9">
    <mergeCell ref="E4:F4"/>
    <mergeCell ref="K4:N4"/>
    <mergeCell ref="B1:E1"/>
    <mergeCell ref="I4:J4"/>
    <mergeCell ref="J5:P5"/>
    <mergeCell ref="L3:N3"/>
    <mergeCell ref="E3:F3"/>
    <mergeCell ref="B2:J2"/>
    <mergeCell ref="I3:J3"/>
  </mergeCells>
  <conditionalFormatting sqref="F7:F1007">
    <cfRule type="expression" rank="0" priority="2" equalAverage="0" aboveAverage="0" dxfId="0" text="" percent="0" bottom="0">
      <formula>AND(V7=1, ISBLANK(F7))</formula>
    </cfRule>
  </conditionalFormatting>
  <conditionalFormatting sqref="E7:E118 E121:E1007">
    <cfRule type="expression" rank="0" priority="3" equalAverage="0" aboveAverage="0" dxfId="1" text="" percent="0" bottom="0">
      <formula>T7=1</formula>
    </cfRule>
  </conditionalFormatting>
  <conditionalFormatting sqref="I7:I1007">
    <cfRule type="expression" rank="0" priority="4" equalAverage="0" aboveAverage="0" dxfId="0" text="" percent="0" bottom="0">
      <formula>AND(V7=1, ISBLANK(I7))</formula>
    </cfRule>
  </conditionalFormatting>
  <conditionalFormatting sqref="E119">
    <cfRule type="expression" rank="0" priority="5" equalAverage="0" aboveAverage="0" dxfId="1" text="" percent="0" bottom="0">
      <formula>T120=1</formula>
    </cfRule>
  </conditionalFormatting>
  <conditionalFormatting sqref="H7:H1007">
    <cfRule type="expression" rank="0" priority="6" equalAverage="0" aboveAverage="0" dxfId="0" text="" percent="0" bottom="0">
      <formula>AND(AJ7=1, ISBLANK(H7))</formula>
    </cfRule>
    <cfRule type="expression" rank="0" priority="7" equalAverage="0" aboveAverage="0" dxfId="0" text="" percent="0" bottom="0">
      <formula>AND(V7=1, ISBLANK(H7))</formula>
    </cfRule>
    <cfRule type="expression" rank="0" priority="8" equalAverage="0" aboveAverage="0" dxfId="0" text="" percent="0" bottom="0">
      <formula>AND(W7=1, ISBLANK(H7))</formula>
    </cfRule>
  </conditionalFormatting>
  <dataValidations count="3">
    <dataValidation sqref="F7:F1007" showDropDown="0" showInputMessage="1" showErrorMessage="1" allowBlank="1" prompt="Oops - Please Enter Contracted Rate ONLY. CLICK Cancel." type="custom" errorStyle="stop" operator="between">
      <formula1>V7=1</formula1>
      <formula2>0</formula2>
    </dataValidation>
    <dataValidation sqref="E7:E119 E121:E1007" showDropDown="0" showInputMessage="1" showErrorMessage="0" allowBlank="1" prompt="Data Input - Please choose an item from the drop down list only." type="list" errorStyle="stop" operator="between">
      <formula1>$R$7:$R$31</formula1>
      <formula2>0</formula2>
    </dataValidation>
    <dataValidation sqref="I7:I1007" showDropDown="0" showInputMessage="0" showErrorMessage="1" allowBlank="1" type="list" errorStyle="stop" operator="between">
      <formula1>$S$7:$S$8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2025-11-08T09:36:38Z</dcterms:created>
  <dcterms:modified xsi:type="dcterms:W3CDTF">2025-11-08T09:36:38Z</dcterms:modified>
  <cp:revision>1</cp:revision>
</cp:coreProperties>
</file>